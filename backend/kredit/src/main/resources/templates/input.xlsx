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9.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730"/>
  <workbookPr codeName="BuÇalismaKitabi" defaultThemeVersion="124226"/>
  <mc:AlternateContent xmlns:mc="http://schemas.openxmlformats.org/markup-compatibility/2006">
    <mc:Choice Requires="x15">
      <x15ac:absPath xmlns:x15ac="http://schemas.microsoft.com/office/spreadsheetml/2010/11/ac" url="C:\github_cihan\AA_ELSHAN\ideal_kredit\backend\kredit\src\main\resources\templates\"/>
    </mc:Choice>
  </mc:AlternateContent>
  <xr:revisionPtr revIDLastSave="0" documentId="13_ncr:1_{67302503-5221-4C74-9D93-413BF77290C1}" xr6:coauthVersionLast="47" xr6:coauthVersionMax="47" xr10:uidLastSave="{00000000-0000-0000-0000-000000000000}"/>
  <bookViews>
    <workbookView xWindow="-120" yWindow="-120" windowWidth="29040" windowHeight="15720" tabRatio="966" activeTab="1" xr2:uid="{00000000-000D-0000-FFFF-FFFF00000000}"/>
  </bookViews>
  <sheets>
    <sheet name="Data" sheetId="21" r:id="rId1"/>
    <sheet name="Ərizə" sheetId="42" r:id="rId2"/>
    <sheet name="PP" sheetId="18" r:id="rId3"/>
    <sheet name="KR" sheetId="60" r:id="rId4"/>
    <sheet name="M-Forması" sheetId="72" r:id="rId5"/>
    <sheet name="Kredit sifarişi" sheetId="57" r:id="rId6"/>
    <sheet name="ZAMIN 1" sheetId="61" r:id="rId7"/>
    <sheet name="ZAMIN 2" sheetId="68" r:id="rId8"/>
    <sheet name="TT-Akt-Kart" sheetId="71" state="hidden" r:id="rId9"/>
    <sheet name="Girov" sheetId="70" state="hidden" r:id="rId10"/>
    <sheet name="Rəy" sheetId="50" state="hidden" r:id="rId11"/>
    <sheet name="OPİS" sheetId="54" state="hidden" r:id="rId12"/>
    <sheet name="Ödəniş Tapşırığı" sheetId="66" state="hidden" r:id="rId13"/>
    <sheet name="Məxaric" sheetId="58" state="hidden" r:id="rId14"/>
    <sheet name="Xidmət h" sheetId="59" state="hidden" r:id="rId15"/>
    <sheet name="Sığorta" sheetId="65" state="hidden" r:id="rId16"/>
    <sheet name="İmza n-2" sheetId="51" state="hidden" r:id="rId17"/>
    <sheet name="İmza n-1" sheetId="49" state="hidden" r:id="rId18"/>
    <sheet name="Formula 2" sheetId="74" state="hidden" r:id="rId19"/>
    <sheet name="Лист1" sheetId="52" state="hidden" r:id="rId20"/>
    <sheet name="Лист2" sheetId="53" state="hidden" r:id="rId21"/>
    <sheet name="year" sheetId="25" state="hidden" r:id="rId22"/>
    <sheet name="Annuity" sheetId="19" state="hidden" r:id="rId23"/>
    <sheet name="an" sheetId="22" state="hidden" r:id="rId24"/>
    <sheet name="gr" sheetId="20" state="hidden" r:id="rId25"/>
    <sheet name="am" sheetId="4" state="hidden" r:id="rId26"/>
    <sheet name="am1" sheetId="15" state="hidden" r:id="rId27"/>
    <sheet name="int" sheetId="6" state="hidden" r:id="rId28"/>
    <sheet name="int1" sheetId="9" state="hidden" r:id="rId29"/>
    <sheet name="per" sheetId="5" state="hidden" r:id="rId30"/>
    <sheet name="per2" sheetId="10" state="hidden" r:id="rId31"/>
    <sheet name="per3" sheetId="11" state="hidden" r:id="rId32"/>
    <sheet name="per4" sheetId="12" state="hidden" r:id="rId33"/>
    <sheet name="per5" sheetId="13" state="hidden" r:id="rId34"/>
    <sheet name="per6" sheetId="17" state="hidden" r:id="rId35"/>
    <sheet name="AKB" sheetId="75" r:id="rId36"/>
    <sheet name="ASAN Finans" sheetId="76" r:id="rId37"/>
    <sheet name="Formula 1" sheetId="73" state="hidden" r:id="rId38"/>
  </sheets>
  <definedNames>
    <definedName name="am" localSheetId="22">Annuity!$C$1</definedName>
    <definedName name="gr" localSheetId="22">Annuity!$C$3</definedName>
    <definedName name="ir" localSheetId="22">Annuity!$C$5</definedName>
    <definedName name="per" localSheetId="22">Annuity!$C$2</definedName>
    <definedName name="pi" localSheetId="22">Annuity!$E$2</definedName>
    <definedName name="_xlnm.Print_Area" localSheetId="36">'ASAN Finans'!$A$1:$L$38</definedName>
    <definedName name="_xlnm.Print_Area" localSheetId="3">KR!$A$1:$O$176</definedName>
    <definedName name="_xlnm.Print_Area" localSheetId="5">'Kredit sifarişi'!$A$1:$BD$68</definedName>
    <definedName name="_xlnm.Print_Area" localSheetId="2">PP!$A$1:$R$89</definedName>
    <definedName name="_xlnm.Print_Area" localSheetId="6">'ZAMIN 1'!$A$1:$N$90</definedName>
    <definedName name="_xlnm.Print_Area" localSheetId="7">'ZAMIN 2'!$A$1:$O$90</definedName>
    <definedName name="_xlnm.Print_Titles" localSheetId="2">PP!$6:$16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S45" i="73" l="1"/>
  <c r="S44" i="73"/>
  <c r="S43" i="73"/>
  <c r="S42" i="73"/>
  <c r="S41" i="73"/>
  <c r="S40" i="73"/>
  <c r="S39" i="73"/>
  <c r="S38" i="73"/>
  <c r="S37" i="73"/>
  <c r="S36" i="73"/>
  <c r="S35" i="73"/>
  <c r="S34" i="73"/>
  <c r="S33" i="73"/>
  <c r="S32" i="73"/>
  <c r="S31" i="73"/>
  <c r="S30" i="73"/>
  <c r="S29" i="73"/>
  <c r="S28" i="73"/>
  <c r="S27" i="73"/>
  <c r="S26" i="73"/>
  <c r="S25" i="73"/>
  <c r="S24" i="73"/>
  <c r="S23" i="73"/>
  <c r="S22" i="73"/>
  <c r="O22" i="73"/>
  <c r="P22" i="73"/>
  <c r="T45" i="73"/>
  <c r="T44" i="73"/>
  <c r="T43" i="73"/>
  <c r="T42" i="73"/>
  <c r="T41" i="73"/>
  <c r="T40" i="73"/>
  <c r="T39" i="73"/>
  <c r="T38" i="73"/>
  <c r="T37" i="73"/>
  <c r="C86" i="21" l="1"/>
  <c r="Y28" i="73" l="1"/>
  <c r="Y24" i="73"/>
  <c r="Y27" i="73"/>
  <c r="Y23" i="73"/>
  <c r="Y26" i="73"/>
  <c r="Y22" i="73"/>
  <c r="Y25" i="73"/>
  <c r="Z20" i="73"/>
  <c r="U25" i="73" l="1"/>
  <c r="U27" i="73"/>
  <c r="U26" i="73"/>
  <c r="U32" i="73"/>
  <c r="U31" i="73"/>
  <c r="U33" i="73"/>
  <c r="U39" i="73"/>
  <c r="U37" i="73"/>
  <c r="U38" i="73"/>
  <c r="U24" i="73"/>
  <c r="U23" i="73"/>
  <c r="U28" i="73"/>
  <c r="U29" i="73"/>
  <c r="U30" i="73"/>
  <c r="U36" i="73"/>
  <c r="U35" i="73"/>
  <c r="U34" i="73"/>
  <c r="U45" i="73"/>
  <c r="U44" i="73"/>
  <c r="U40" i="73"/>
  <c r="U43" i="73"/>
  <c r="U41" i="73"/>
  <c r="U42" i="73"/>
  <c r="J22" i="75"/>
  <c r="G23" i="75"/>
  <c r="AE36" i="75"/>
  <c r="H7" i="76"/>
  <c r="AE36" i="76"/>
  <c r="O7" i="75" l="1"/>
  <c r="J7" i="75"/>
  <c r="D6" i="75" l="1"/>
  <c r="C11" i="76"/>
  <c r="C7" i="76"/>
  <c r="AE36" i="42" l="1"/>
  <c r="BA22" i="73" l="1"/>
  <c r="Q22" i="73"/>
  <c r="T36" i="73"/>
  <c r="T35" i="73"/>
  <c r="T34" i="73"/>
  <c r="T33" i="73"/>
  <c r="T32" i="73"/>
  <c r="T31" i="73"/>
  <c r="T30" i="73"/>
  <c r="T29" i="73"/>
  <c r="T28" i="73"/>
  <c r="T27" i="73"/>
  <c r="T26" i="73"/>
  <c r="T25" i="73"/>
  <c r="T24" i="73"/>
  <c r="T23" i="73"/>
  <c r="T22" i="73"/>
  <c r="U22" i="73" s="1"/>
  <c r="P16" i="18"/>
  <c r="P134" i="60"/>
  <c r="AZ22" i="73" l="1"/>
  <c r="BB46" i="73"/>
  <c r="BB27" i="73"/>
  <c r="BB24" i="73"/>
  <c r="BB41" i="73"/>
  <c r="BB33" i="73"/>
  <c r="BB37" i="73"/>
  <c r="BB29" i="73"/>
  <c r="BB45" i="73"/>
  <c r="BB22" i="73"/>
  <c r="BB26" i="73"/>
  <c r="BB31" i="73"/>
  <c r="BB35" i="73"/>
  <c r="BB39" i="73"/>
  <c r="BB43" i="73"/>
  <c r="BB23" i="73"/>
  <c r="BB28" i="73"/>
  <c r="BB32" i="73"/>
  <c r="BB36" i="73"/>
  <c r="BB40" i="73"/>
  <c r="BB44" i="73"/>
  <c r="BB25" i="73"/>
  <c r="BB30" i="73"/>
  <c r="BB34" i="73"/>
  <c r="BB38" i="73"/>
  <c r="BB42" i="73"/>
  <c r="AA10" i="74"/>
  <c r="AA9" i="74"/>
  <c r="AA8" i="74"/>
  <c r="AA7" i="74"/>
  <c r="AA6" i="74"/>
  <c r="AA5" i="74"/>
  <c r="AA4" i="74"/>
  <c r="AA3" i="74"/>
  <c r="W30" i="57"/>
  <c r="P132" i="60" l="1"/>
  <c r="AY22" i="73" l="1"/>
  <c r="P11" i="18"/>
  <c r="G19" i="60"/>
  <c r="P136" i="60" l="1"/>
  <c r="F132" i="60" s="1"/>
  <c r="D109" i="72" s="1"/>
  <c r="E95" i="72"/>
  <c r="G36" i="72"/>
  <c r="P399" i="74" l="1"/>
  <c r="P398" i="74"/>
  <c r="P397" i="74"/>
  <c r="P396" i="74"/>
  <c r="P395" i="74"/>
  <c r="P394" i="74"/>
  <c r="P393" i="74"/>
  <c r="P392" i="74"/>
  <c r="P391" i="74"/>
  <c r="P390" i="74"/>
  <c r="P389" i="74"/>
  <c r="P388" i="74"/>
  <c r="P387" i="74"/>
  <c r="P386" i="74"/>
  <c r="P385" i="74"/>
  <c r="P384" i="74"/>
  <c r="P383" i="74"/>
  <c r="P382" i="74"/>
  <c r="P381" i="74"/>
  <c r="P380" i="74"/>
  <c r="P379" i="74"/>
  <c r="P378" i="74"/>
  <c r="P377" i="74"/>
  <c r="P376" i="74"/>
  <c r="P375" i="74"/>
  <c r="P374" i="74"/>
  <c r="P373" i="74"/>
  <c r="P372" i="74"/>
  <c r="P371" i="74"/>
  <c r="P370" i="74"/>
  <c r="P369" i="74"/>
  <c r="P368" i="74"/>
  <c r="P367" i="74"/>
  <c r="P366" i="74"/>
  <c r="P365" i="74"/>
  <c r="P364" i="74"/>
  <c r="P363" i="74"/>
  <c r="P362" i="74"/>
  <c r="P361" i="74"/>
  <c r="P360" i="74"/>
  <c r="P359" i="74"/>
  <c r="P358" i="74"/>
  <c r="P357" i="74"/>
  <c r="P356" i="74"/>
  <c r="P355" i="74"/>
  <c r="P354" i="74"/>
  <c r="P353" i="74"/>
  <c r="P352" i="74"/>
  <c r="P351" i="74"/>
  <c r="P350" i="74"/>
  <c r="P349" i="74"/>
  <c r="P348" i="74"/>
  <c r="P347" i="74"/>
  <c r="P346" i="74"/>
  <c r="P345" i="74"/>
  <c r="P344" i="74"/>
  <c r="P343" i="74"/>
  <c r="P342" i="74"/>
  <c r="P341" i="74"/>
  <c r="P340" i="74"/>
  <c r="P339" i="74"/>
  <c r="P338" i="74"/>
  <c r="P337" i="74"/>
  <c r="P336" i="74"/>
  <c r="P335" i="74"/>
  <c r="P334" i="74"/>
  <c r="P333" i="74"/>
  <c r="P332" i="74"/>
  <c r="P331" i="74"/>
  <c r="P330" i="74"/>
  <c r="P329" i="74"/>
  <c r="P328" i="74"/>
  <c r="P327" i="74"/>
  <c r="P326" i="74"/>
  <c r="P325" i="74"/>
  <c r="P324" i="74"/>
  <c r="P323" i="74"/>
  <c r="P322" i="74"/>
  <c r="P321" i="74"/>
  <c r="P320" i="74"/>
  <c r="P319" i="74"/>
  <c r="P318" i="74"/>
  <c r="P317" i="74"/>
  <c r="P316" i="74"/>
  <c r="P315" i="74"/>
  <c r="P314" i="74"/>
  <c r="P313" i="74"/>
  <c r="P312" i="74"/>
  <c r="P311" i="74"/>
  <c r="P310" i="74"/>
  <c r="P309" i="74"/>
  <c r="P308" i="74"/>
  <c r="P307" i="74"/>
  <c r="P306" i="74"/>
  <c r="P305" i="74"/>
  <c r="P304" i="74"/>
  <c r="P303" i="74"/>
  <c r="P302" i="74"/>
  <c r="P301" i="74"/>
  <c r="P300" i="74"/>
  <c r="P39" i="74"/>
  <c r="P38" i="74"/>
  <c r="P37" i="74"/>
  <c r="P36" i="74"/>
  <c r="P35" i="74"/>
  <c r="P34" i="74"/>
  <c r="P33" i="74"/>
  <c r="P32" i="74"/>
  <c r="P31" i="74"/>
  <c r="P30" i="74"/>
  <c r="E3" i="74" l="1"/>
  <c r="F3" i="74" s="1"/>
  <c r="E13" i="21"/>
  <c r="P502" i="74"/>
  <c r="O502" i="74"/>
  <c r="N502" i="74"/>
  <c r="M502" i="74"/>
  <c r="L502" i="74"/>
  <c r="K502" i="74"/>
  <c r="J502" i="74"/>
  <c r="I502" i="74"/>
  <c r="H502" i="74"/>
  <c r="F502" i="74"/>
  <c r="P501" i="74"/>
  <c r="O501" i="74"/>
  <c r="N501" i="74"/>
  <c r="M501" i="74"/>
  <c r="L501" i="74"/>
  <c r="K501" i="74"/>
  <c r="J501" i="74"/>
  <c r="I501" i="74"/>
  <c r="H501" i="74"/>
  <c r="F501" i="74"/>
  <c r="P500" i="74"/>
  <c r="O500" i="74"/>
  <c r="N500" i="74"/>
  <c r="M500" i="74"/>
  <c r="L500" i="74"/>
  <c r="K500" i="74"/>
  <c r="J500" i="74"/>
  <c r="I500" i="74"/>
  <c r="H500" i="74"/>
  <c r="F500" i="74"/>
  <c r="P499" i="74"/>
  <c r="O499" i="74"/>
  <c r="N499" i="74"/>
  <c r="M499" i="74"/>
  <c r="L499" i="74"/>
  <c r="K499" i="74"/>
  <c r="J499" i="74"/>
  <c r="I499" i="74"/>
  <c r="H499" i="74"/>
  <c r="F499" i="74"/>
  <c r="P498" i="74"/>
  <c r="O498" i="74"/>
  <c r="N498" i="74"/>
  <c r="M498" i="74"/>
  <c r="L498" i="74"/>
  <c r="K498" i="74"/>
  <c r="J498" i="74"/>
  <c r="I498" i="74"/>
  <c r="H498" i="74"/>
  <c r="F498" i="74"/>
  <c r="P497" i="74"/>
  <c r="O497" i="74"/>
  <c r="N497" i="74"/>
  <c r="M497" i="74"/>
  <c r="L497" i="74"/>
  <c r="K497" i="74"/>
  <c r="J497" i="74"/>
  <c r="I497" i="74"/>
  <c r="H497" i="74"/>
  <c r="F497" i="74"/>
  <c r="P496" i="74"/>
  <c r="O496" i="74"/>
  <c r="N496" i="74"/>
  <c r="M496" i="74"/>
  <c r="L496" i="74"/>
  <c r="K496" i="74"/>
  <c r="J496" i="74"/>
  <c r="I496" i="74"/>
  <c r="H496" i="74"/>
  <c r="F496" i="74"/>
  <c r="P495" i="74"/>
  <c r="O495" i="74"/>
  <c r="N495" i="74"/>
  <c r="M495" i="74"/>
  <c r="L495" i="74"/>
  <c r="K495" i="74"/>
  <c r="J495" i="74"/>
  <c r="I495" i="74"/>
  <c r="H495" i="74"/>
  <c r="F495" i="74"/>
  <c r="P494" i="74"/>
  <c r="O494" i="74"/>
  <c r="N494" i="74"/>
  <c r="M494" i="74"/>
  <c r="L494" i="74"/>
  <c r="K494" i="74"/>
  <c r="J494" i="74"/>
  <c r="I494" i="74"/>
  <c r="H494" i="74"/>
  <c r="F494" i="74"/>
  <c r="P493" i="74"/>
  <c r="O493" i="74"/>
  <c r="N493" i="74"/>
  <c r="M493" i="74"/>
  <c r="L493" i="74"/>
  <c r="K493" i="74"/>
  <c r="J493" i="74"/>
  <c r="I493" i="74"/>
  <c r="H493" i="74"/>
  <c r="F493" i="74"/>
  <c r="P492" i="74"/>
  <c r="O492" i="74"/>
  <c r="N492" i="74"/>
  <c r="M492" i="74"/>
  <c r="L492" i="74"/>
  <c r="K492" i="74"/>
  <c r="J492" i="74"/>
  <c r="I492" i="74"/>
  <c r="H492" i="74"/>
  <c r="F492" i="74"/>
  <c r="P491" i="74"/>
  <c r="O491" i="74"/>
  <c r="N491" i="74"/>
  <c r="M491" i="74"/>
  <c r="L491" i="74"/>
  <c r="K491" i="74"/>
  <c r="J491" i="74"/>
  <c r="I491" i="74"/>
  <c r="H491" i="74"/>
  <c r="F491" i="74"/>
  <c r="P490" i="74"/>
  <c r="O490" i="74"/>
  <c r="N490" i="74"/>
  <c r="M490" i="74"/>
  <c r="L490" i="74"/>
  <c r="K490" i="74"/>
  <c r="J490" i="74"/>
  <c r="I490" i="74"/>
  <c r="H490" i="74"/>
  <c r="F490" i="74"/>
  <c r="P489" i="74"/>
  <c r="O489" i="74"/>
  <c r="N489" i="74"/>
  <c r="M489" i="74"/>
  <c r="L489" i="74"/>
  <c r="K489" i="74"/>
  <c r="J489" i="74"/>
  <c r="I489" i="74"/>
  <c r="H489" i="74"/>
  <c r="F489" i="74"/>
  <c r="P488" i="74"/>
  <c r="O488" i="74"/>
  <c r="N488" i="74"/>
  <c r="M488" i="74"/>
  <c r="L488" i="74"/>
  <c r="K488" i="74"/>
  <c r="J488" i="74"/>
  <c r="I488" i="74"/>
  <c r="H488" i="74"/>
  <c r="F488" i="74"/>
  <c r="P487" i="74"/>
  <c r="O487" i="74"/>
  <c r="N487" i="74"/>
  <c r="M487" i="74"/>
  <c r="L487" i="74"/>
  <c r="K487" i="74"/>
  <c r="J487" i="74"/>
  <c r="I487" i="74"/>
  <c r="H487" i="74"/>
  <c r="F487" i="74"/>
  <c r="P486" i="74"/>
  <c r="O486" i="74"/>
  <c r="N486" i="74"/>
  <c r="M486" i="74"/>
  <c r="L486" i="74"/>
  <c r="K486" i="74"/>
  <c r="J486" i="74"/>
  <c r="I486" i="74"/>
  <c r="H486" i="74"/>
  <c r="F486" i="74"/>
  <c r="P485" i="74"/>
  <c r="O485" i="74"/>
  <c r="N485" i="74"/>
  <c r="M485" i="74"/>
  <c r="L485" i="74"/>
  <c r="K485" i="74"/>
  <c r="J485" i="74"/>
  <c r="I485" i="74"/>
  <c r="H485" i="74"/>
  <c r="F485" i="74"/>
  <c r="P484" i="74"/>
  <c r="O484" i="74"/>
  <c r="N484" i="74"/>
  <c r="M484" i="74"/>
  <c r="L484" i="74"/>
  <c r="K484" i="74"/>
  <c r="J484" i="74"/>
  <c r="I484" i="74"/>
  <c r="H484" i="74"/>
  <c r="F484" i="74"/>
  <c r="P483" i="74"/>
  <c r="O483" i="74"/>
  <c r="N483" i="74"/>
  <c r="M483" i="74"/>
  <c r="L483" i="74"/>
  <c r="K483" i="74"/>
  <c r="J483" i="74"/>
  <c r="I483" i="74"/>
  <c r="H483" i="74"/>
  <c r="F483" i="74"/>
  <c r="P482" i="74"/>
  <c r="O482" i="74"/>
  <c r="N482" i="74"/>
  <c r="M482" i="74"/>
  <c r="L482" i="74"/>
  <c r="K482" i="74"/>
  <c r="J482" i="74"/>
  <c r="I482" i="74"/>
  <c r="H482" i="74"/>
  <c r="F482" i="74"/>
  <c r="P481" i="74"/>
  <c r="O481" i="74"/>
  <c r="N481" i="74"/>
  <c r="M481" i="74"/>
  <c r="L481" i="74"/>
  <c r="K481" i="74"/>
  <c r="J481" i="74"/>
  <c r="I481" i="74"/>
  <c r="H481" i="74"/>
  <c r="F481" i="74"/>
  <c r="P480" i="74"/>
  <c r="O480" i="74"/>
  <c r="N480" i="74"/>
  <c r="M480" i="74"/>
  <c r="L480" i="74"/>
  <c r="K480" i="74"/>
  <c r="J480" i="74"/>
  <c r="I480" i="74"/>
  <c r="H480" i="74"/>
  <c r="F480" i="74"/>
  <c r="P479" i="74"/>
  <c r="O479" i="74"/>
  <c r="N479" i="74"/>
  <c r="M479" i="74"/>
  <c r="L479" i="74"/>
  <c r="K479" i="74"/>
  <c r="J479" i="74"/>
  <c r="I479" i="74"/>
  <c r="H479" i="74"/>
  <c r="F479" i="74"/>
  <c r="P478" i="74"/>
  <c r="O478" i="74"/>
  <c r="N478" i="74"/>
  <c r="M478" i="74"/>
  <c r="L478" i="74"/>
  <c r="K478" i="74"/>
  <c r="J478" i="74"/>
  <c r="I478" i="74"/>
  <c r="H478" i="74"/>
  <c r="F478" i="74"/>
  <c r="P477" i="74"/>
  <c r="O477" i="74"/>
  <c r="N477" i="74"/>
  <c r="M477" i="74"/>
  <c r="L477" i="74"/>
  <c r="K477" i="74"/>
  <c r="J477" i="74"/>
  <c r="I477" i="74"/>
  <c r="H477" i="74"/>
  <c r="F477" i="74"/>
  <c r="P476" i="74"/>
  <c r="O476" i="74"/>
  <c r="N476" i="74"/>
  <c r="M476" i="74"/>
  <c r="L476" i="74"/>
  <c r="K476" i="74"/>
  <c r="J476" i="74"/>
  <c r="I476" i="74"/>
  <c r="H476" i="74"/>
  <c r="F476" i="74"/>
  <c r="P475" i="74"/>
  <c r="O475" i="74"/>
  <c r="N475" i="74"/>
  <c r="M475" i="74"/>
  <c r="L475" i="74"/>
  <c r="K475" i="74"/>
  <c r="J475" i="74"/>
  <c r="I475" i="74"/>
  <c r="H475" i="74"/>
  <c r="F475" i="74"/>
  <c r="P474" i="74"/>
  <c r="O474" i="74"/>
  <c r="N474" i="74"/>
  <c r="M474" i="74"/>
  <c r="L474" i="74"/>
  <c r="K474" i="74"/>
  <c r="J474" i="74"/>
  <c r="I474" i="74"/>
  <c r="H474" i="74"/>
  <c r="F474" i="74"/>
  <c r="P473" i="74"/>
  <c r="O473" i="74"/>
  <c r="N473" i="74"/>
  <c r="M473" i="74"/>
  <c r="L473" i="74"/>
  <c r="K473" i="74"/>
  <c r="J473" i="74"/>
  <c r="I473" i="74"/>
  <c r="H473" i="74"/>
  <c r="F473" i="74"/>
  <c r="P472" i="74"/>
  <c r="O472" i="74"/>
  <c r="N472" i="74"/>
  <c r="M472" i="74"/>
  <c r="L472" i="74"/>
  <c r="K472" i="74"/>
  <c r="J472" i="74"/>
  <c r="I472" i="74"/>
  <c r="H472" i="74"/>
  <c r="F472" i="74"/>
  <c r="P471" i="74"/>
  <c r="O471" i="74"/>
  <c r="N471" i="74"/>
  <c r="M471" i="74"/>
  <c r="L471" i="74"/>
  <c r="K471" i="74"/>
  <c r="J471" i="74"/>
  <c r="I471" i="74"/>
  <c r="H471" i="74"/>
  <c r="F471" i="74"/>
  <c r="P470" i="74"/>
  <c r="O470" i="74"/>
  <c r="N470" i="74"/>
  <c r="M470" i="74"/>
  <c r="L470" i="74"/>
  <c r="K470" i="74"/>
  <c r="J470" i="74"/>
  <c r="I470" i="74"/>
  <c r="H470" i="74"/>
  <c r="F470" i="74"/>
  <c r="P469" i="74"/>
  <c r="O469" i="74"/>
  <c r="N469" i="74"/>
  <c r="M469" i="74"/>
  <c r="L469" i="74"/>
  <c r="K469" i="74"/>
  <c r="J469" i="74"/>
  <c r="I469" i="74"/>
  <c r="H469" i="74"/>
  <c r="F469" i="74"/>
  <c r="P468" i="74"/>
  <c r="O468" i="74"/>
  <c r="N468" i="74"/>
  <c r="M468" i="74"/>
  <c r="L468" i="74"/>
  <c r="K468" i="74"/>
  <c r="J468" i="74"/>
  <c r="I468" i="74"/>
  <c r="H468" i="74"/>
  <c r="F468" i="74"/>
  <c r="P467" i="74"/>
  <c r="O467" i="74"/>
  <c r="N467" i="74"/>
  <c r="M467" i="74"/>
  <c r="L467" i="74"/>
  <c r="K467" i="74"/>
  <c r="J467" i="74"/>
  <c r="I467" i="74"/>
  <c r="H467" i="74"/>
  <c r="F467" i="74"/>
  <c r="P466" i="74"/>
  <c r="O466" i="74"/>
  <c r="N466" i="74"/>
  <c r="M466" i="74"/>
  <c r="L466" i="74"/>
  <c r="K466" i="74"/>
  <c r="J466" i="74"/>
  <c r="I466" i="74"/>
  <c r="H466" i="74"/>
  <c r="F466" i="74"/>
  <c r="P465" i="74"/>
  <c r="O465" i="74"/>
  <c r="N465" i="74"/>
  <c r="M465" i="74"/>
  <c r="L465" i="74"/>
  <c r="K465" i="74"/>
  <c r="J465" i="74"/>
  <c r="I465" i="74"/>
  <c r="H465" i="74"/>
  <c r="F465" i="74"/>
  <c r="P464" i="74"/>
  <c r="O464" i="74"/>
  <c r="N464" i="74"/>
  <c r="M464" i="74"/>
  <c r="L464" i="74"/>
  <c r="K464" i="74"/>
  <c r="J464" i="74"/>
  <c r="I464" i="74"/>
  <c r="H464" i="74"/>
  <c r="F464" i="74"/>
  <c r="P463" i="74"/>
  <c r="O463" i="74"/>
  <c r="N463" i="74"/>
  <c r="M463" i="74"/>
  <c r="L463" i="74"/>
  <c r="K463" i="74"/>
  <c r="J463" i="74"/>
  <c r="I463" i="74"/>
  <c r="H463" i="74"/>
  <c r="F463" i="74"/>
  <c r="P462" i="74"/>
  <c r="O462" i="74"/>
  <c r="N462" i="74"/>
  <c r="M462" i="74"/>
  <c r="L462" i="74"/>
  <c r="K462" i="74"/>
  <c r="J462" i="74"/>
  <c r="I462" i="74"/>
  <c r="H462" i="74"/>
  <c r="F462" i="74"/>
  <c r="P461" i="74"/>
  <c r="O461" i="74"/>
  <c r="N461" i="74"/>
  <c r="M461" i="74"/>
  <c r="L461" i="74"/>
  <c r="K461" i="74"/>
  <c r="J461" i="74"/>
  <c r="I461" i="74"/>
  <c r="H461" i="74"/>
  <c r="F461" i="74"/>
  <c r="P460" i="74"/>
  <c r="O460" i="74"/>
  <c r="N460" i="74"/>
  <c r="M460" i="74"/>
  <c r="L460" i="74"/>
  <c r="K460" i="74"/>
  <c r="J460" i="74"/>
  <c r="I460" i="74"/>
  <c r="H460" i="74"/>
  <c r="F460" i="74"/>
  <c r="P459" i="74"/>
  <c r="O459" i="74"/>
  <c r="N459" i="74"/>
  <c r="M459" i="74"/>
  <c r="L459" i="74"/>
  <c r="K459" i="74"/>
  <c r="J459" i="74"/>
  <c r="I459" i="74"/>
  <c r="H459" i="74"/>
  <c r="F459" i="74"/>
  <c r="P458" i="74"/>
  <c r="O458" i="74"/>
  <c r="N458" i="74"/>
  <c r="M458" i="74"/>
  <c r="L458" i="74"/>
  <c r="K458" i="74"/>
  <c r="J458" i="74"/>
  <c r="I458" i="74"/>
  <c r="H458" i="74"/>
  <c r="F458" i="74"/>
  <c r="P457" i="74"/>
  <c r="O457" i="74"/>
  <c r="N457" i="74"/>
  <c r="M457" i="74"/>
  <c r="L457" i="74"/>
  <c r="K457" i="74"/>
  <c r="J457" i="74"/>
  <c r="I457" i="74"/>
  <c r="H457" i="74"/>
  <c r="F457" i="74"/>
  <c r="P456" i="74"/>
  <c r="O456" i="74"/>
  <c r="N456" i="74"/>
  <c r="M456" i="74"/>
  <c r="L456" i="74"/>
  <c r="K456" i="74"/>
  <c r="J456" i="74"/>
  <c r="I456" i="74"/>
  <c r="H456" i="74"/>
  <c r="F456" i="74"/>
  <c r="P455" i="74"/>
  <c r="O455" i="74"/>
  <c r="N455" i="74"/>
  <c r="M455" i="74"/>
  <c r="L455" i="74"/>
  <c r="K455" i="74"/>
  <c r="J455" i="74"/>
  <c r="I455" i="74"/>
  <c r="H455" i="74"/>
  <c r="F455" i="74"/>
  <c r="P454" i="74"/>
  <c r="O454" i="74"/>
  <c r="N454" i="74"/>
  <c r="M454" i="74"/>
  <c r="L454" i="74"/>
  <c r="K454" i="74"/>
  <c r="J454" i="74"/>
  <c r="I454" i="74"/>
  <c r="H454" i="74"/>
  <c r="F454" i="74"/>
  <c r="P453" i="74"/>
  <c r="O453" i="74"/>
  <c r="N453" i="74"/>
  <c r="M453" i="74"/>
  <c r="L453" i="74"/>
  <c r="K453" i="74"/>
  <c r="J453" i="74"/>
  <c r="I453" i="74"/>
  <c r="H453" i="74"/>
  <c r="F453" i="74"/>
  <c r="P452" i="74"/>
  <c r="O452" i="74"/>
  <c r="N452" i="74"/>
  <c r="M452" i="74"/>
  <c r="L452" i="74"/>
  <c r="K452" i="74"/>
  <c r="J452" i="74"/>
  <c r="I452" i="74"/>
  <c r="H452" i="74"/>
  <c r="F452" i="74"/>
  <c r="P451" i="74"/>
  <c r="O451" i="74"/>
  <c r="N451" i="74"/>
  <c r="M451" i="74"/>
  <c r="L451" i="74"/>
  <c r="K451" i="74"/>
  <c r="J451" i="74"/>
  <c r="I451" i="74"/>
  <c r="H451" i="74"/>
  <c r="F451" i="74"/>
  <c r="P450" i="74"/>
  <c r="O450" i="74"/>
  <c r="N450" i="74"/>
  <c r="M450" i="74"/>
  <c r="L450" i="74"/>
  <c r="K450" i="74"/>
  <c r="J450" i="74"/>
  <c r="I450" i="74"/>
  <c r="H450" i="74"/>
  <c r="F450" i="74"/>
  <c r="P449" i="74"/>
  <c r="O449" i="74"/>
  <c r="N449" i="74"/>
  <c r="M449" i="74"/>
  <c r="L449" i="74"/>
  <c r="K449" i="74"/>
  <c r="J449" i="74"/>
  <c r="I449" i="74"/>
  <c r="H449" i="74"/>
  <c r="F449" i="74"/>
  <c r="P448" i="74"/>
  <c r="O448" i="74"/>
  <c r="N448" i="74"/>
  <c r="M448" i="74"/>
  <c r="L448" i="74"/>
  <c r="K448" i="74"/>
  <c r="J448" i="74"/>
  <c r="I448" i="74"/>
  <c r="H448" i="74"/>
  <c r="F448" i="74"/>
  <c r="P447" i="74"/>
  <c r="O447" i="74"/>
  <c r="N447" i="74"/>
  <c r="M447" i="74"/>
  <c r="L447" i="74"/>
  <c r="K447" i="74"/>
  <c r="J447" i="74"/>
  <c r="I447" i="74"/>
  <c r="H447" i="74"/>
  <c r="F447" i="74"/>
  <c r="P446" i="74"/>
  <c r="O446" i="74"/>
  <c r="N446" i="74"/>
  <c r="M446" i="74"/>
  <c r="L446" i="74"/>
  <c r="K446" i="74"/>
  <c r="J446" i="74"/>
  <c r="I446" i="74"/>
  <c r="H446" i="74"/>
  <c r="F446" i="74"/>
  <c r="P445" i="74"/>
  <c r="O445" i="74"/>
  <c r="N445" i="74"/>
  <c r="M445" i="74"/>
  <c r="L445" i="74"/>
  <c r="K445" i="74"/>
  <c r="J445" i="74"/>
  <c r="I445" i="74"/>
  <c r="H445" i="74"/>
  <c r="F445" i="74"/>
  <c r="P444" i="74"/>
  <c r="O444" i="74"/>
  <c r="N444" i="74"/>
  <c r="M444" i="74"/>
  <c r="L444" i="74"/>
  <c r="K444" i="74"/>
  <c r="J444" i="74"/>
  <c r="I444" i="74"/>
  <c r="H444" i="74"/>
  <c r="F444" i="74"/>
  <c r="P443" i="74"/>
  <c r="O443" i="74"/>
  <c r="N443" i="74"/>
  <c r="M443" i="74"/>
  <c r="L443" i="74"/>
  <c r="K443" i="74"/>
  <c r="J443" i="74"/>
  <c r="I443" i="74"/>
  <c r="H443" i="74"/>
  <c r="F443" i="74"/>
  <c r="P442" i="74"/>
  <c r="O442" i="74"/>
  <c r="N442" i="74"/>
  <c r="M442" i="74"/>
  <c r="L442" i="74"/>
  <c r="K442" i="74"/>
  <c r="J442" i="74"/>
  <c r="I442" i="74"/>
  <c r="H442" i="74"/>
  <c r="F442" i="74"/>
  <c r="P441" i="74"/>
  <c r="O441" i="74"/>
  <c r="N441" i="74"/>
  <c r="M441" i="74"/>
  <c r="L441" i="74"/>
  <c r="K441" i="74"/>
  <c r="J441" i="74"/>
  <c r="I441" i="74"/>
  <c r="H441" i="74"/>
  <c r="F441" i="74"/>
  <c r="P440" i="74"/>
  <c r="O440" i="74"/>
  <c r="N440" i="74"/>
  <c r="M440" i="74"/>
  <c r="L440" i="74"/>
  <c r="K440" i="74"/>
  <c r="J440" i="74"/>
  <c r="I440" i="74"/>
  <c r="H440" i="74"/>
  <c r="F440" i="74"/>
  <c r="P439" i="74"/>
  <c r="O439" i="74"/>
  <c r="N439" i="74"/>
  <c r="M439" i="74"/>
  <c r="L439" i="74"/>
  <c r="K439" i="74"/>
  <c r="J439" i="74"/>
  <c r="I439" i="74"/>
  <c r="H439" i="74"/>
  <c r="F439" i="74"/>
  <c r="P438" i="74"/>
  <c r="O438" i="74"/>
  <c r="N438" i="74"/>
  <c r="M438" i="74"/>
  <c r="L438" i="74"/>
  <c r="K438" i="74"/>
  <c r="J438" i="74"/>
  <c r="I438" i="74"/>
  <c r="H438" i="74"/>
  <c r="F438" i="74"/>
  <c r="P437" i="74"/>
  <c r="O437" i="74"/>
  <c r="N437" i="74"/>
  <c r="M437" i="74"/>
  <c r="L437" i="74"/>
  <c r="K437" i="74"/>
  <c r="J437" i="74"/>
  <c r="I437" i="74"/>
  <c r="H437" i="74"/>
  <c r="F437" i="74"/>
  <c r="P436" i="74"/>
  <c r="O436" i="74"/>
  <c r="N436" i="74"/>
  <c r="M436" i="74"/>
  <c r="L436" i="74"/>
  <c r="K436" i="74"/>
  <c r="J436" i="74"/>
  <c r="I436" i="74"/>
  <c r="H436" i="74"/>
  <c r="F436" i="74"/>
  <c r="P435" i="74"/>
  <c r="O435" i="74"/>
  <c r="N435" i="74"/>
  <c r="M435" i="74"/>
  <c r="L435" i="74"/>
  <c r="K435" i="74"/>
  <c r="J435" i="74"/>
  <c r="I435" i="74"/>
  <c r="H435" i="74"/>
  <c r="F435" i="74"/>
  <c r="P434" i="74"/>
  <c r="O434" i="74"/>
  <c r="N434" i="74"/>
  <c r="M434" i="74"/>
  <c r="L434" i="74"/>
  <c r="K434" i="74"/>
  <c r="J434" i="74"/>
  <c r="I434" i="74"/>
  <c r="H434" i="74"/>
  <c r="F434" i="74"/>
  <c r="P433" i="74"/>
  <c r="O433" i="74"/>
  <c r="N433" i="74"/>
  <c r="M433" i="74"/>
  <c r="L433" i="74"/>
  <c r="K433" i="74"/>
  <c r="J433" i="74"/>
  <c r="I433" i="74"/>
  <c r="H433" i="74"/>
  <c r="F433" i="74"/>
  <c r="P432" i="74"/>
  <c r="O432" i="74"/>
  <c r="N432" i="74"/>
  <c r="M432" i="74"/>
  <c r="L432" i="74"/>
  <c r="K432" i="74"/>
  <c r="J432" i="74"/>
  <c r="I432" i="74"/>
  <c r="H432" i="74"/>
  <c r="F432" i="74"/>
  <c r="P431" i="74"/>
  <c r="O431" i="74"/>
  <c r="N431" i="74"/>
  <c r="M431" i="74"/>
  <c r="L431" i="74"/>
  <c r="K431" i="74"/>
  <c r="J431" i="74"/>
  <c r="I431" i="74"/>
  <c r="H431" i="74"/>
  <c r="F431" i="74"/>
  <c r="P430" i="74"/>
  <c r="O430" i="74"/>
  <c r="N430" i="74"/>
  <c r="M430" i="74"/>
  <c r="L430" i="74"/>
  <c r="K430" i="74"/>
  <c r="J430" i="74"/>
  <c r="I430" i="74"/>
  <c r="H430" i="74"/>
  <c r="F430" i="74"/>
  <c r="P429" i="74"/>
  <c r="O429" i="74"/>
  <c r="N429" i="74"/>
  <c r="M429" i="74"/>
  <c r="L429" i="74"/>
  <c r="K429" i="74"/>
  <c r="J429" i="74"/>
  <c r="I429" i="74"/>
  <c r="H429" i="74"/>
  <c r="F429" i="74"/>
  <c r="P428" i="74"/>
  <c r="O428" i="74"/>
  <c r="N428" i="74"/>
  <c r="M428" i="74"/>
  <c r="L428" i="74"/>
  <c r="K428" i="74"/>
  <c r="J428" i="74"/>
  <c r="I428" i="74"/>
  <c r="H428" i="74"/>
  <c r="F428" i="74"/>
  <c r="P427" i="74"/>
  <c r="O427" i="74"/>
  <c r="N427" i="74"/>
  <c r="M427" i="74"/>
  <c r="L427" i="74"/>
  <c r="K427" i="74"/>
  <c r="J427" i="74"/>
  <c r="I427" i="74"/>
  <c r="H427" i="74"/>
  <c r="F427" i="74"/>
  <c r="P426" i="74"/>
  <c r="O426" i="74"/>
  <c r="N426" i="74"/>
  <c r="M426" i="74"/>
  <c r="L426" i="74"/>
  <c r="K426" i="74"/>
  <c r="J426" i="74"/>
  <c r="I426" i="74"/>
  <c r="H426" i="74"/>
  <c r="F426" i="74"/>
  <c r="P425" i="74"/>
  <c r="O425" i="74"/>
  <c r="N425" i="74"/>
  <c r="M425" i="74"/>
  <c r="L425" i="74"/>
  <c r="K425" i="74"/>
  <c r="J425" i="74"/>
  <c r="I425" i="74"/>
  <c r="H425" i="74"/>
  <c r="F425" i="74"/>
  <c r="P424" i="74"/>
  <c r="O424" i="74"/>
  <c r="N424" i="74"/>
  <c r="M424" i="74"/>
  <c r="L424" i="74"/>
  <c r="K424" i="74"/>
  <c r="J424" i="74"/>
  <c r="I424" i="74"/>
  <c r="H424" i="74"/>
  <c r="F424" i="74"/>
  <c r="P423" i="74"/>
  <c r="O423" i="74"/>
  <c r="N423" i="74"/>
  <c r="M423" i="74"/>
  <c r="L423" i="74"/>
  <c r="K423" i="74"/>
  <c r="J423" i="74"/>
  <c r="I423" i="74"/>
  <c r="H423" i="74"/>
  <c r="F423" i="74"/>
  <c r="P422" i="74"/>
  <c r="O422" i="74"/>
  <c r="N422" i="74"/>
  <c r="M422" i="74"/>
  <c r="L422" i="74"/>
  <c r="K422" i="74"/>
  <c r="J422" i="74"/>
  <c r="I422" i="74"/>
  <c r="H422" i="74"/>
  <c r="F422" i="74"/>
  <c r="P421" i="74"/>
  <c r="O421" i="74"/>
  <c r="N421" i="74"/>
  <c r="M421" i="74"/>
  <c r="L421" i="74"/>
  <c r="K421" i="74"/>
  <c r="J421" i="74"/>
  <c r="I421" i="74"/>
  <c r="H421" i="74"/>
  <c r="F421" i="74"/>
  <c r="P420" i="74"/>
  <c r="O420" i="74"/>
  <c r="N420" i="74"/>
  <c r="M420" i="74"/>
  <c r="L420" i="74"/>
  <c r="K420" i="74"/>
  <c r="J420" i="74"/>
  <c r="I420" i="74"/>
  <c r="H420" i="74"/>
  <c r="F420" i="74"/>
  <c r="P419" i="74"/>
  <c r="O419" i="74"/>
  <c r="N419" i="74"/>
  <c r="M419" i="74"/>
  <c r="L419" i="74"/>
  <c r="K419" i="74"/>
  <c r="J419" i="74"/>
  <c r="I419" i="74"/>
  <c r="H419" i="74"/>
  <c r="F419" i="74"/>
  <c r="P418" i="74"/>
  <c r="O418" i="74"/>
  <c r="N418" i="74"/>
  <c r="M418" i="74"/>
  <c r="L418" i="74"/>
  <c r="K418" i="74"/>
  <c r="J418" i="74"/>
  <c r="I418" i="74"/>
  <c r="H418" i="74"/>
  <c r="F418" i="74"/>
  <c r="P417" i="74"/>
  <c r="O417" i="74"/>
  <c r="N417" i="74"/>
  <c r="M417" i="74"/>
  <c r="L417" i="74"/>
  <c r="K417" i="74"/>
  <c r="J417" i="74"/>
  <c r="I417" i="74"/>
  <c r="H417" i="74"/>
  <c r="F417" i="74"/>
  <c r="P416" i="74"/>
  <c r="O416" i="74"/>
  <c r="N416" i="74"/>
  <c r="M416" i="74"/>
  <c r="L416" i="74"/>
  <c r="K416" i="74"/>
  <c r="J416" i="74"/>
  <c r="I416" i="74"/>
  <c r="H416" i="74"/>
  <c r="F416" i="74"/>
  <c r="P415" i="74"/>
  <c r="O415" i="74"/>
  <c r="N415" i="74"/>
  <c r="M415" i="74"/>
  <c r="L415" i="74"/>
  <c r="K415" i="74"/>
  <c r="J415" i="74"/>
  <c r="I415" i="74"/>
  <c r="H415" i="74"/>
  <c r="F415" i="74"/>
  <c r="P414" i="74"/>
  <c r="O414" i="74"/>
  <c r="N414" i="74"/>
  <c r="M414" i="74"/>
  <c r="L414" i="74"/>
  <c r="K414" i="74"/>
  <c r="J414" i="74"/>
  <c r="I414" i="74"/>
  <c r="H414" i="74"/>
  <c r="F414" i="74"/>
  <c r="P413" i="74"/>
  <c r="O413" i="74"/>
  <c r="N413" i="74"/>
  <c r="M413" i="74"/>
  <c r="L413" i="74"/>
  <c r="K413" i="74"/>
  <c r="J413" i="74"/>
  <c r="I413" i="74"/>
  <c r="H413" i="74"/>
  <c r="F413" i="74"/>
  <c r="P412" i="74"/>
  <c r="O412" i="74"/>
  <c r="N412" i="74"/>
  <c r="M412" i="74"/>
  <c r="L412" i="74"/>
  <c r="K412" i="74"/>
  <c r="J412" i="74"/>
  <c r="I412" i="74"/>
  <c r="H412" i="74"/>
  <c r="F412" i="74"/>
  <c r="P411" i="74"/>
  <c r="O411" i="74"/>
  <c r="N411" i="74"/>
  <c r="M411" i="74"/>
  <c r="L411" i="74"/>
  <c r="K411" i="74"/>
  <c r="J411" i="74"/>
  <c r="I411" i="74"/>
  <c r="H411" i="74"/>
  <c r="F411" i="74"/>
  <c r="P410" i="74"/>
  <c r="O410" i="74"/>
  <c r="N410" i="74"/>
  <c r="M410" i="74"/>
  <c r="L410" i="74"/>
  <c r="K410" i="74"/>
  <c r="J410" i="74"/>
  <c r="I410" i="74"/>
  <c r="H410" i="74"/>
  <c r="F410" i="74"/>
  <c r="P409" i="74"/>
  <c r="O409" i="74"/>
  <c r="N409" i="74"/>
  <c r="M409" i="74"/>
  <c r="L409" i="74"/>
  <c r="K409" i="74"/>
  <c r="J409" i="74"/>
  <c r="I409" i="74"/>
  <c r="H409" i="74"/>
  <c r="F409" i="74"/>
  <c r="P408" i="74"/>
  <c r="O408" i="74"/>
  <c r="N408" i="74"/>
  <c r="M408" i="74"/>
  <c r="L408" i="74"/>
  <c r="K408" i="74"/>
  <c r="J408" i="74"/>
  <c r="I408" i="74"/>
  <c r="H408" i="74"/>
  <c r="F408" i="74"/>
  <c r="P407" i="74"/>
  <c r="O407" i="74"/>
  <c r="N407" i="74"/>
  <c r="M407" i="74"/>
  <c r="L407" i="74"/>
  <c r="K407" i="74"/>
  <c r="J407" i="74"/>
  <c r="I407" i="74"/>
  <c r="H407" i="74"/>
  <c r="F407" i="74"/>
  <c r="P406" i="74"/>
  <c r="O406" i="74"/>
  <c r="N406" i="74"/>
  <c r="M406" i="74"/>
  <c r="L406" i="74"/>
  <c r="K406" i="74"/>
  <c r="J406" i="74"/>
  <c r="I406" i="74"/>
  <c r="H406" i="74"/>
  <c r="F406" i="74"/>
  <c r="P405" i="74"/>
  <c r="O405" i="74"/>
  <c r="N405" i="74"/>
  <c r="M405" i="74"/>
  <c r="L405" i="74"/>
  <c r="K405" i="74"/>
  <c r="J405" i="74"/>
  <c r="I405" i="74"/>
  <c r="H405" i="74"/>
  <c r="F405" i="74"/>
  <c r="P404" i="74"/>
  <c r="O404" i="74"/>
  <c r="N404" i="74"/>
  <c r="M404" i="74"/>
  <c r="L404" i="74"/>
  <c r="K404" i="74"/>
  <c r="J404" i="74"/>
  <c r="I404" i="74"/>
  <c r="H404" i="74"/>
  <c r="F404" i="74"/>
  <c r="P403" i="74"/>
  <c r="O403" i="74"/>
  <c r="N403" i="74"/>
  <c r="M403" i="74"/>
  <c r="L403" i="74"/>
  <c r="K403" i="74"/>
  <c r="J403" i="74"/>
  <c r="I403" i="74"/>
  <c r="H403" i="74"/>
  <c r="F403" i="74"/>
  <c r="P402" i="74"/>
  <c r="O402" i="74"/>
  <c r="N402" i="74"/>
  <c r="M402" i="74"/>
  <c r="L402" i="74"/>
  <c r="K402" i="74"/>
  <c r="J402" i="74"/>
  <c r="I402" i="74"/>
  <c r="H402" i="74"/>
  <c r="F402" i="74"/>
  <c r="P401" i="74"/>
  <c r="O401" i="74"/>
  <c r="N401" i="74"/>
  <c r="M401" i="74"/>
  <c r="L401" i="74"/>
  <c r="K401" i="74"/>
  <c r="J401" i="74"/>
  <c r="I401" i="74"/>
  <c r="H401" i="74"/>
  <c r="F401" i="74"/>
  <c r="P400" i="74"/>
  <c r="O400" i="74"/>
  <c r="N400" i="74"/>
  <c r="M400" i="74"/>
  <c r="L400" i="74"/>
  <c r="K400" i="74"/>
  <c r="J400" i="74"/>
  <c r="I400" i="74"/>
  <c r="H400" i="74"/>
  <c r="F400" i="74"/>
  <c r="O399" i="74"/>
  <c r="N399" i="74"/>
  <c r="M399" i="74"/>
  <c r="L399" i="74"/>
  <c r="K399" i="74"/>
  <c r="J399" i="74"/>
  <c r="I399" i="74"/>
  <c r="H399" i="74"/>
  <c r="F399" i="74"/>
  <c r="O398" i="74"/>
  <c r="N398" i="74"/>
  <c r="M398" i="74"/>
  <c r="L398" i="74"/>
  <c r="K398" i="74"/>
  <c r="J398" i="74"/>
  <c r="I398" i="74"/>
  <c r="H398" i="74"/>
  <c r="F398" i="74"/>
  <c r="O397" i="74"/>
  <c r="N397" i="74"/>
  <c r="M397" i="74"/>
  <c r="L397" i="74"/>
  <c r="K397" i="74"/>
  <c r="J397" i="74"/>
  <c r="I397" i="74"/>
  <c r="H397" i="74"/>
  <c r="F397" i="74"/>
  <c r="O396" i="74"/>
  <c r="N396" i="74"/>
  <c r="M396" i="74"/>
  <c r="L396" i="74"/>
  <c r="K396" i="74"/>
  <c r="J396" i="74"/>
  <c r="I396" i="74"/>
  <c r="H396" i="74"/>
  <c r="F396" i="74"/>
  <c r="O395" i="74"/>
  <c r="N395" i="74"/>
  <c r="M395" i="74"/>
  <c r="L395" i="74"/>
  <c r="K395" i="74"/>
  <c r="J395" i="74"/>
  <c r="I395" i="74"/>
  <c r="H395" i="74"/>
  <c r="F395" i="74"/>
  <c r="O394" i="74"/>
  <c r="N394" i="74"/>
  <c r="M394" i="74"/>
  <c r="L394" i="74"/>
  <c r="K394" i="74"/>
  <c r="J394" i="74"/>
  <c r="I394" i="74"/>
  <c r="H394" i="74"/>
  <c r="F394" i="74"/>
  <c r="O393" i="74"/>
  <c r="N393" i="74"/>
  <c r="M393" i="74"/>
  <c r="L393" i="74"/>
  <c r="K393" i="74"/>
  <c r="J393" i="74"/>
  <c r="I393" i="74"/>
  <c r="H393" i="74"/>
  <c r="F393" i="74"/>
  <c r="O392" i="74"/>
  <c r="N392" i="74"/>
  <c r="M392" i="74"/>
  <c r="L392" i="74"/>
  <c r="K392" i="74"/>
  <c r="J392" i="74"/>
  <c r="I392" i="74"/>
  <c r="H392" i="74"/>
  <c r="F392" i="74"/>
  <c r="O391" i="74"/>
  <c r="N391" i="74"/>
  <c r="M391" i="74"/>
  <c r="L391" i="74"/>
  <c r="K391" i="74"/>
  <c r="J391" i="74"/>
  <c r="I391" i="74"/>
  <c r="H391" i="74"/>
  <c r="F391" i="74"/>
  <c r="O390" i="74"/>
  <c r="N390" i="74"/>
  <c r="M390" i="74"/>
  <c r="L390" i="74"/>
  <c r="K390" i="74"/>
  <c r="J390" i="74"/>
  <c r="I390" i="74"/>
  <c r="H390" i="74"/>
  <c r="F390" i="74"/>
  <c r="O389" i="74"/>
  <c r="N389" i="74"/>
  <c r="M389" i="74"/>
  <c r="L389" i="74"/>
  <c r="K389" i="74"/>
  <c r="J389" i="74"/>
  <c r="I389" i="74"/>
  <c r="H389" i="74"/>
  <c r="F389" i="74"/>
  <c r="O388" i="74"/>
  <c r="N388" i="74"/>
  <c r="M388" i="74"/>
  <c r="L388" i="74"/>
  <c r="K388" i="74"/>
  <c r="J388" i="74"/>
  <c r="I388" i="74"/>
  <c r="H388" i="74"/>
  <c r="F388" i="74"/>
  <c r="O387" i="74"/>
  <c r="N387" i="74"/>
  <c r="M387" i="74"/>
  <c r="L387" i="74"/>
  <c r="K387" i="74"/>
  <c r="J387" i="74"/>
  <c r="I387" i="74"/>
  <c r="H387" i="74"/>
  <c r="F387" i="74"/>
  <c r="O386" i="74"/>
  <c r="N386" i="74"/>
  <c r="M386" i="74"/>
  <c r="L386" i="74"/>
  <c r="K386" i="74"/>
  <c r="J386" i="74"/>
  <c r="I386" i="74"/>
  <c r="H386" i="74"/>
  <c r="F386" i="74"/>
  <c r="O385" i="74"/>
  <c r="N385" i="74"/>
  <c r="M385" i="74"/>
  <c r="L385" i="74"/>
  <c r="K385" i="74"/>
  <c r="J385" i="74"/>
  <c r="I385" i="74"/>
  <c r="H385" i="74"/>
  <c r="F385" i="74"/>
  <c r="O384" i="74"/>
  <c r="N384" i="74"/>
  <c r="M384" i="74"/>
  <c r="L384" i="74"/>
  <c r="K384" i="74"/>
  <c r="J384" i="74"/>
  <c r="I384" i="74"/>
  <c r="H384" i="74"/>
  <c r="F384" i="74"/>
  <c r="O383" i="74"/>
  <c r="N383" i="74"/>
  <c r="M383" i="74"/>
  <c r="L383" i="74"/>
  <c r="K383" i="74"/>
  <c r="J383" i="74"/>
  <c r="I383" i="74"/>
  <c r="H383" i="74"/>
  <c r="F383" i="74"/>
  <c r="O382" i="74"/>
  <c r="N382" i="74"/>
  <c r="M382" i="74"/>
  <c r="L382" i="74"/>
  <c r="K382" i="74"/>
  <c r="J382" i="74"/>
  <c r="I382" i="74"/>
  <c r="H382" i="74"/>
  <c r="F382" i="74"/>
  <c r="O381" i="74"/>
  <c r="N381" i="74"/>
  <c r="M381" i="74"/>
  <c r="L381" i="74"/>
  <c r="K381" i="74"/>
  <c r="J381" i="74"/>
  <c r="I381" i="74"/>
  <c r="H381" i="74"/>
  <c r="F381" i="74"/>
  <c r="O380" i="74"/>
  <c r="N380" i="74"/>
  <c r="M380" i="74"/>
  <c r="L380" i="74"/>
  <c r="K380" i="74"/>
  <c r="J380" i="74"/>
  <c r="I380" i="74"/>
  <c r="H380" i="74"/>
  <c r="F380" i="74"/>
  <c r="O379" i="74"/>
  <c r="N379" i="74"/>
  <c r="M379" i="74"/>
  <c r="L379" i="74"/>
  <c r="K379" i="74"/>
  <c r="J379" i="74"/>
  <c r="I379" i="74"/>
  <c r="H379" i="74"/>
  <c r="F379" i="74"/>
  <c r="O378" i="74"/>
  <c r="N378" i="74"/>
  <c r="M378" i="74"/>
  <c r="L378" i="74"/>
  <c r="K378" i="74"/>
  <c r="J378" i="74"/>
  <c r="I378" i="74"/>
  <c r="H378" i="74"/>
  <c r="F378" i="74"/>
  <c r="O377" i="74"/>
  <c r="N377" i="74"/>
  <c r="M377" i="74"/>
  <c r="L377" i="74"/>
  <c r="K377" i="74"/>
  <c r="J377" i="74"/>
  <c r="I377" i="74"/>
  <c r="H377" i="74"/>
  <c r="F377" i="74"/>
  <c r="O376" i="74"/>
  <c r="N376" i="74"/>
  <c r="M376" i="74"/>
  <c r="L376" i="74"/>
  <c r="K376" i="74"/>
  <c r="J376" i="74"/>
  <c r="I376" i="74"/>
  <c r="H376" i="74"/>
  <c r="F376" i="74"/>
  <c r="O375" i="74"/>
  <c r="N375" i="74"/>
  <c r="M375" i="74"/>
  <c r="L375" i="74"/>
  <c r="K375" i="74"/>
  <c r="J375" i="74"/>
  <c r="I375" i="74"/>
  <c r="H375" i="74"/>
  <c r="F375" i="74"/>
  <c r="O374" i="74"/>
  <c r="N374" i="74"/>
  <c r="M374" i="74"/>
  <c r="L374" i="74"/>
  <c r="K374" i="74"/>
  <c r="J374" i="74"/>
  <c r="I374" i="74"/>
  <c r="H374" i="74"/>
  <c r="F374" i="74"/>
  <c r="O373" i="74"/>
  <c r="N373" i="74"/>
  <c r="M373" i="74"/>
  <c r="L373" i="74"/>
  <c r="K373" i="74"/>
  <c r="J373" i="74"/>
  <c r="I373" i="74"/>
  <c r="H373" i="74"/>
  <c r="F373" i="74"/>
  <c r="O372" i="74"/>
  <c r="N372" i="74"/>
  <c r="M372" i="74"/>
  <c r="L372" i="74"/>
  <c r="K372" i="74"/>
  <c r="J372" i="74"/>
  <c r="I372" i="74"/>
  <c r="H372" i="74"/>
  <c r="F372" i="74"/>
  <c r="O371" i="74"/>
  <c r="N371" i="74"/>
  <c r="M371" i="74"/>
  <c r="L371" i="74"/>
  <c r="K371" i="74"/>
  <c r="J371" i="74"/>
  <c r="I371" i="74"/>
  <c r="H371" i="74"/>
  <c r="F371" i="74"/>
  <c r="O370" i="74"/>
  <c r="N370" i="74"/>
  <c r="M370" i="74"/>
  <c r="L370" i="74"/>
  <c r="K370" i="74"/>
  <c r="J370" i="74"/>
  <c r="I370" i="74"/>
  <c r="H370" i="74"/>
  <c r="F370" i="74"/>
  <c r="O369" i="74"/>
  <c r="N369" i="74"/>
  <c r="M369" i="74"/>
  <c r="L369" i="74"/>
  <c r="K369" i="74"/>
  <c r="J369" i="74"/>
  <c r="I369" i="74"/>
  <c r="H369" i="74"/>
  <c r="F369" i="74"/>
  <c r="O368" i="74"/>
  <c r="N368" i="74"/>
  <c r="M368" i="74"/>
  <c r="L368" i="74"/>
  <c r="K368" i="74"/>
  <c r="J368" i="74"/>
  <c r="I368" i="74"/>
  <c r="H368" i="74"/>
  <c r="F368" i="74"/>
  <c r="O367" i="74"/>
  <c r="N367" i="74"/>
  <c r="M367" i="74"/>
  <c r="L367" i="74"/>
  <c r="K367" i="74"/>
  <c r="J367" i="74"/>
  <c r="I367" i="74"/>
  <c r="H367" i="74"/>
  <c r="F367" i="74"/>
  <c r="O366" i="74"/>
  <c r="N366" i="74"/>
  <c r="M366" i="74"/>
  <c r="L366" i="74"/>
  <c r="K366" i="74"/>
  <c r="J366" i="74"/>
  <c r="I366" i="74"/>
  <c r="H366" i="74"/>
  <c r="F366" i="74"/>
  <c r="O365" i="74"/>
  <c r="N365" i="74"/>
  <c r="M365" i="74"/>
  <c r="L365" i="74"/>
  <c r="K365" i="74"/>
  <c r="J365" i="74"/>
  <c r="I365" i="74"/>
  <c r="H365" i="74"/>
  <c r="F365" i="74"/>
  <c r="O364" i="74"/>
  <c r="N364" i="74"/>
  <c r="M364" i="74"/>
  <c r="L364" i="74"/>
  <c r="K364" i="74"/>
  <c r="J364" i="74"/>
  <c r="I364" i="74"/>
  <c r="H364" i="74"/>
  <c r="F364" i="74"/>
  <c r="O363" i="74"/>
  <c r="N363" i="74"/>
  <c r="M363" i="74"/>
  <c r="L363" i="74"/>
  <c r="K363" i="74"/>
  <c r="J363" i="74"/>
  <c r="I363" i="74"/>
  <c r="H363" i="74"/>
  <c r="F363" i="74"/>
  <c r="O362" i="74"/>
  <c r="N362" i="74"/>
  <c r="M362" i="74"/>
  <c r="L362" i="74"/>
  <c r="K362" i="74"/>
  <c r="J362" i="74"/>
  <c r="I362" i="74"/>
  <c r="H362" i="74"/>
  <c r="F362" i="74"/>
  <c r="O361" i="74"/>
  <c r="N361" i="74"/>
  <c r="M361" i="74"/>
  <c r="L361" i="74"/>
  <c r="K361" i="74"/>
  <c r="J361" i="74"/>
  <c r="I361" i="74"/>
  <c r="H361" i="74"/>
  <c r="F361" i="74"/>
  <c r="O360" i="74"/>
  <c r="N360" i="74"/>
  <c r="M360" i="74"/>
  <c r="L360" i="74"/>
  <c r="K360" i="74"/>
  <c r="J360" i="74"/>
  <c r="I360" i="74"/>
  <c r="H360" i="74"/>
  <c r="F360" i="74"/>
  <c r="O359" i="74"/>
  <c r="N359" i="74"/>
  <c r="M359" i="74"/>
  <c r="L359" i="74"/>
  <c r="K359" i="74"/>
  <c r="J359" i="74"/>
  <c r="I359" i="74"/>
  <c r="H359" i="74"/>
  <c r="F359" i="74"/>
  <c r="O358" i="74"/>
  <c r="N358" i="74"/>
  <c r="M358" i="74"/>
  <c r="L358" i="74"/>
  <c r="K358" i="74"/>
  <c r="J358" i="74"/>
  <c r="I358" i="74"/>
  <c r="H358" i="74"/>
  <c r="F358" i="74"/>
  <c r="O357" i="74"/>
  <c r="N357" i="74"/>
  <c r="M357" i="74"/>
  <c r="L357" i="74"/>
  <c r="K357" i="74"/>
  <c r="J357" i="74"/>
  <c r="I357" i="74"/>
  <c r="H357" i="74"/>
  <c r="F357" i="74"/>
  <c r="O356" i="74"/>
  <c r="N356" i="74"/>
  <c r="M356" i="74"/>
  <c r="L356" i="74"/>
  <c r="K356" i="74"/>
  <c r="J356" i="74"/>
  <c r="I356" i="74"/>
  <c r="H356" i="74"/>
  <c r="F356" i="74"/>
  <c r="O355" i="74"/>
  <c r="N355" i="74"/>
  <c r="M355" i="74"/>
  <c r="L355" i="74"/>
  <c r="K355" i="74"/>
  <c r="J355" i="74"/>
  <c r="I355" i="74"/>
  <c r="H355" i="74"/>
  <c r="F355" i="74"/>
  <c r="O354" i="74"/>
  <c r="N354" i="74"/>
  <c r="M354" i="74"/>
  <c r="L354" i="74"/>
  <c r="K354" i="74"/>
  <c r="J354" i="74"/>
  <c r="I354" i="74"/>
  <c r="H354" i="74"/>
  <c r="F354" i="74"/>
  <c r="O353" i="74"/>
  <c r="N353" i="74"/>
  <c r="M353" i="74"/>
  <c r="L353" i="74"/>
  <c r="K353" i="74"/>
  <c r="J353" i="74"/>
  <c r="I353" i="74"/>
  <c r="H353" i="74"/>
  <c r="F353" i="74"/>
  <c r="O352" i="74"/>
  <c r="N352" i="74"/>
  <c r="M352" i="74"/>
  <c r="L352" i="74"/>
  <c r="K352" i="74"/>
  <c r="J352" i="74"/>
  <c r="I352" i="74"/>
  <c r="H352" i="74"/>
  <c r="F352" i="74"/>
  <c r="O351" i="74"/>
  <c r="N351" i="74"/>
  <c r="M351" i="74"/>
  <c r="L351" i="74"/>
  <c r="K351" i="74"/>
  <c r="J351" i="74"/>
  <c r="I351" i="74"/>
  <c r="H351" i="74"/>
  <c r="F351" i="74"/>
  <c r="O350" i="74"/>
  <c r="N350" i="74"/>
  <c r="M350" i="74"/>
  <c r="L350" i="74"/>
  <c r="K350" i="74"/>
  <c r="J350" i="74"/>
  <c r="I350" i="74"/>
  <c r="H350" i="74"/>
  <c r="F350" i="74"/>
  <c r="O349" i="74"/>
  <c r="N349" i="74"/>
  <c r="M349" i="74"/>
  <c r="L349" i="74"/>
  <c r="K349" i="74"/>
  <c r="J349" i="74"/>
  <c r="I349" i="74"/>
  <c r="H349" i="74"/>
  <c r="F349" i="74"/>
  <c r="O348" i="74"/>
  <c r="N348" i="74"/>
  <c r="M348" i="74"/>
  <c r="L348" i="74"/>
  <c r="K348" i="74"/>
  <c r="J348" i="74"/>
  <c r="I348" i="74"/>
  <c r="H348" i="74"/>
  <c r="F348" i="74"/>
  <c r="O347" i="74"/>
  <c r="N347" i="74"/>
  <c r="M347" i="74"/>
  <c r="L347" i="74"/>
  <c r="K347" i="74"/>
  <c r="J347" i="74"/>
  <c r="I347" i="74"/>
  <c r="H347" i="74"/>
  <c r="F347" i="74"/>
  <c r="O346" i="74"/>
  <c r="N346" i="74"/>
  <c r="M346" i="74"/>
  <c r="L346" i="74"/>
  <c r="K346" i="74"/>
  <c r="J346" i="74"/>
  <c r="I346" i="74"/>
  <c r="H346" i="74"/>
  <c r="F346" i="74"/>
  <c r="O345" i="74"/>
  <c r="N345" i="74"/>
  <c r="M345" i="74"/>
  <c r="L345" i="74"/>
  <c r="K345" i="74"/>
  <c r="J345" i="74"/>
  <c r="I345" i="74"/>
  <c r="H345" i="74"/>
  <c r="F345" i="74"/>
  <c r="O344" i="74"/>
  <c r="N344" i="74"/>
  <c r="M344" i="74"/>
  <c r="L344" i="74"/>
  <c r="K344" i="74"/>
  <c r="J344" i="74"/>
  <c r="I344" i="74"/>
  <c r="H344" i="74"/>
  <c r="F344" i="74"/>
  <c r="O343" i="74"/>
  <c r="N343" i="74"/>
  <c r="M343" i="74"/>
  <c r="L343" i="74"/>
  <c r="K343" i="74"/>
  <c r="J343" i="74"/>
  <c r="I343" i="74"/>
  <c r="H343" i="74"/>
  <c r="F343" i="74"/>
  <c r="O342" i="74"/>
  <c r="N342" i="74"/>
  <c r="M342" i="74"/>
  <c r="L342" i="74"/>
  <c r="K342" i="74"/>
  <c r="J342" i="74"/>
  <c r="I342" i="74"/>
  <c r="H342" i="74"/>
  <c r="F342" i="74"/>
  <c r="O341" i="74"/>
  <c r="N341" i="74"/>
  <c r="M341" i="74"/>
  <c r="L341" i="74"/>
  <c r="K341" i="74"/>
  <c r="J341" i="74"/>
  <c r="I341" i="74"/>
  <c r="H341" i="74"/>
  <c r="F341" i="74"/>
  <c r="O340" i="74"/>
  <c r="N340" i="74"/>
  <c r="M340" i="74"/>
  <c r="L340" i="74"/>
  <c r="K340" i="74"/>
  <c r="J340" i="74"/>
  <c r="I340" i="74"/>
  <c r="H340" i="74"/>
  <c r="F340" i="74"/>
  <c r="O339" i="74"/>
  <c r="N339" i="74"/>
  <c r="M339" i="74"/>
  <c r="L339" i="74"/>
  <c r="K339" i="74"/>
  <c r="J339" i="74"/>
  <c r="I339" i="74"/>
  <c r="H339" i="74"/>
  <c r="F339" i="74"/>
  <c r="O338" i="74"/>
  <c r="N338" i="74"/>
  <c r="M338" i="74"/>
  <c r="L338" i="74"/>
  <c r="K338" i="74"/>
  <c r="J338" i="74"/>
  <c r="I338" i="74"/>
  <c r="H338" i="74"/>
  <c r="F338" i="74"/>
  <c r="O337" i="74"/>
  <c r="N337" i="74"/>
  <c r="M337" i="74"/>
  <c r="L337" i="74"/>
  <c r="K337" i="74"/>
  <c r="J337" i="74"/>
  <c r="I337" i="74"/>
  <c r="H337" i="74"/>
  <c r="F337" i="74"/>
  <c r="O336" i="74"/>
  <c r="N336" i="74"/>
  <c r="M336" i="74"/>
  <c r="L336" i="74"/>
  <c r="K336" i="74"/>
  <c r="J336" i="74"/>
  <c r="I336" i="74"/>
  <c r="H336" i="74"/>
  <c r="F336" i="74"/>
  <c r="O335" i="74"/>
  <c r="N335" i="74"/>
  <c r="M335" i="74"/>
  <c r="L335" i="74"/>
  <c r="K335" i="74"/>
  <c r="J335" i="74"/>
  <c r="I335" i="74"/>
  <c r="H335" i="74"/>
  <c r="F335" i="74"/>
  <c r="O334" i="74"/>
  <c r="N334" i="74"/>
  <c r="M334" i="74"/>
  <c r="L334" i="74"/>
  <c r="K334" i="74"/>
  <c r="J334" i="74"/>
  <c r="I334" i="74"/>
  <c r="H334" i="74"/>
  <c r="F334" i="74"/>
  <c r="O333" i="74"/>
  <c r="N333" i="74"/>
  <c r="M333" i="74"/>
  <c r="L333" i="74"/>
  <c r="K333" i="74"/>
  <c r="J333" i="74"/>
  <c r="I333" i="74"/>
  <c r="H333" i="74"/>
  <c r="F333" i="74"/>
  <c r="O332" i="74"/>
  <c r="N332" i="74"/>
  <c r="M332" i="74"/>
  <c r="L332" i="74"/>
  <c r="K332" i="74"/>
  <c r="J332" i="74"/>
  <c r="I332" i="74"/>
  <c r="H332" i="74"/>
  <c r="F332" i="74"/>
  <c r="O331" i="74"/>
  <c r="N331" i="74"/>
  <c r="M331" i="74"/>
  <c r="L331" i="74"/>
  <c r="K331" i="74"/>
  <c r="J331" i="74"/>
  <c r="I331" i="74"/>
  <c r="H331" i="74"/>
  <c r="F331" i="74"/>
  <c r="O330" i="74"/>
  <c r="N330" i="74"/>
  <c r="M330" i="74"/>
  <c r="L330" i="74"/>
  <c r="K330" i="74"/>
  <c r="J330" i="74"/>
  <c r="I330" i="74"/>
  <c r="H330" i="74"/>
  <c r="F330" i="74"/>
  <c r="O329" i="74"/>
  <c r="N329" i="74"/>
  <c r="M329" i="74"/>
  <c r="L329" i="74"/>
  <c r="K329" i="74"/>
  <c r="J329" i="74"/>
  <c r="I329" i="74"/>
  <c r="H329" i="74"/>
  <c r="F329" i="74"/>
  <c r="O328" i="74"/>
  <c r="N328" i="74"/>
  <c r="M328" i="74"/>
  <c r="L328" i="74"/>
  <c r="K328" i="74"/>
  <c r="J328" i="74"/>
  <c r="I328" i="74"/>
  <c r="H328" i="74"/>
  <c r="F328" i="74"/>
  <c r="O327" i="74"/>
  <c r="N327" i="74"/>
  <c r="M327" i="74"/>
  <c r="L327" i="74"/>
  <c r="K327" i="74"/>
  <c r="J327" i="74"/>
  <c r="I327" i="74"/>
  <c r="H327" i="74"/>
  <c r="F327" i="74"/>
  <c r="O326" i="74"/>
  <c r="N326" i="74"/>
  <c r="M326" i="74"/>
  <c r="L326" i="74"/>
  <c r="K326" i="74"/>
  <c r="J326" i="74"/>
  <c r="I326" i="74"/>
  <c r="H326" i="74"/>
  <c r="F326" i="74"/>
  <c r="O325" i="74"/>
  <c r="N325" i="74"/>
  <c r="M325" i="74"/>
  <c r="L325" i="74"/>
  <c r="K325" i="74"/>
  <c r="J325" i="74"/>
  <c r="I325" i="74"/>
  <c r="H325" i="74"/>
  <c r="F325" i="74"/>
  <c r="O324" i="74"/>
  <c r="N324" i="74"/>
  <c r="M324" i="74"/>
  <c r="L324" i="74"/>
  <c r="K324" i="74"/>
  <c r="J324" i="74"/>
  <c r="I324" i="74"/>
  <c r="H324" i="74"/>
  <c r="F324" i="74"/>
  <c r="O323" i="74"/>
  <c r="N323" i="74"/>
  <c r="M323" i="74"/>
  <c r="L323" i="74"/>
  <c r="K323" i="74"/>
  <c r="J323" i="74"/>
  <c r="I323" i="74"/>
  <c r="H323" i="74"/>
  <c r="F323" i="74"/>
  <c r="O322" i="74"/>
  <c r="N322" i="74"/>
  <c r="M322" i="74"/>
  <c r="L322" i="74"/>
  <c r="K322" i="74"/>
  <c r="J322" i="74"/>
  <c r="I322" i="74"/>
  <c r="H322" i="74"/>
  <c r="F322" i="74"/>
  <c r="O321" i="74"/>
  <c r="N321" i="74"/>
  <c r="M321" i="74"/>
  <c r="L321" i="74"/>
  <c r="K321" i="74"/>
  <c r="J321" i="74"/>
  <c r="I321" i="74"/>
  <c r="H321" i="74"/>
  <c r="F321" i="74"/>
  <c r="O320" i="74"/>
  <c r="N320" i="74"/>
  <c r="M320" i="74"/>
  <c r="L320" i="74"/>
  <c r="K320" i="74"/>
  <c r="J320" i="74"/>
  <c r="I320" i="74"/>
  <c r="H320" i="74"/>
  <c r="F320" i="74"/>
  <c r="O319" i="74"/>
  <c r="N319" i="74"/>
  <c r="M319" i="74"/>
  <c r="L319" i="74"/>
  <c r="K319" i="74"/>
  <c r="J319" i="74"/>
  <c r="I319" i="74"/>
  <c r="H319" i="74"/>
  <c r="F319" i="74"/>
  <c r="O318" i="74"/>
  <c r="N318" i="74"/>
  <c r="M318" i="74"/>
  <c r="L318" i="74"/>
  <c r="K318" i="74"/>
  <c r="J318" i="74"/>
  <c r="I318" i="74"/>
  <c r="H318" i="74"/>
  <c r="F318" i="74"/>
  <c r="O317" i="74"/>
  <c r="N317" i="74"/>
  <c r="M317" i="74"/>
  <c r="L317" i="74"/>
  <c r="K317" i="74"/>
  <c r="J317" i="74"/>
  <c r="I317" i="74"/>
  <c r="H317" i="74"/>
  <c r="F317" i="74"/>
  <c r="O316" i="74"/>
  <c r="N316" i="74"/>
  <c r="M316" i="74"/>
  <c r="L316" i="74"/>
  <c r="K316" i="74"/>
  <c r="J316" i="74"/>
  <c r="I316" i="74"/>
  <c r="H316" i="74"/>
  <c r="F316" i="74"/>
  <c r="O315" i="74"/>
  <c r="N315" i="74"/>
  <c r="M315" i="74"/>
  <c r="L315" i="74"/>
  <c r="K315" i="74"/>
  <c r="J315" i="74"/>
  <c r="I315" i="74"/>
  <c r="H315" i="74"/>
  <c r="F315" i="74"/>
  <c r="O314" i="74"/>
  <c r="N314" i="74"/>
  <c r="M314" i="74"/>
  <c r="L314" i="74"/>
  <c r="K314" i="74"/>
  <c r="J314" i="74"/>
  <c r="I314" i="74"/>
  <c r="H314" i="74"/>
  <c r="F314" i="74"/>
  <c r="O313" i="74"/>
  <c r="N313" i="74"/>
  <c r="M313" i="74"/>
  <c r="L313" i="74"/>
  <c r="K313" i="74"/>
  <c r="J313" i="74"/>
  <c r="I313" i="74"/>
  <c r="H313" i="74"/>
  <c r="F313" i="74"/>
  <c r="O312" i="74"/>
  <c r="N312" i="74"/>
  <c r="M312" i="74"/>
  <c r="L312" i="74"/>
  <c r="K312" i="74"/>
  <c r="J312" i="74"/>
  <c r="I312" i="74"/>
  <c r="H312" i="74"/>
  <c r="F312" i="74"/>
  <c r="O311" i="74"/>
  <c r="N311" i="74"/>
  <c r="M311" i="74"/>
  <c r="L311" i="74"/>
  <c r="K311" i="74"/>
  <c r="J311" i="74"/>
  <c r="I311" i="74"/>
  <c r="H311" i="74"/>
  <c r="F311" i="74"/>
  <c r="O310" i="74"/>
  <c r="N310" i="74"/>
  <c r="M310" i="74"/>
  <c r="L310" i="74"/>
  <c r="K310" i="74"/>
  <c r="J310" i="74"/>
  <c r="I310" i="74"/>
  <c r="H310" i="74"/>
  <c r="F310" i="74"/>
  <c r="O309" i="74"/>
  <c r="N309" i="74"/>
  <c r="M309" i="74"/>
  <c r="L309" i="74"/>
  <c r="K309" i="74"/>
  <c r="J309" i="74"/>
  <c r="I309" i="74"/>
  <c r="H309" i="74"/>
  <c r="F309" i="74"/>
  <c r="O308" i="74"/>
  <c r="N308" i="74"/>
  <c r="M308" i="74"/>
  <c r="L308" i="74"/>
  <c r="K308" i="74"/>
  <c r="J308" i="74"/>
  <c r="I308" i="74"/>
  <c r="H308" i="74"/>
  <c r="F308" i="74"/>
  <c r="O307" i="74"/>
  <c r="N307" i="74"/>
  <c r="M307" i="74"/>
  <c r="L307" i="74"/>
  <c r="K307" i="74"/>
  <c r="J307" i="74"/>
  <c r="I307" i="74"/>
  <c r="H307" i="74"/>
  <c r="F307" i="74"/>
  <c r="O306" i="74"/>
  <c r="N306" i="74"/>
  <c r="M306" i="74"/>
  <c r="L306" i="74"/>
  <c r="K306" i="74"/>
  <c r="J306" i="74"/>
  <c r="I306" i="74"/>
  <c r="H306" i="74"/>
  <c r="F306" i="74"/>
  <c r="O305" i="74"/>
  <c r="N305" i="74"/>
  <c r="M305" i="74"/>
  <c r="L305" i="74"/>
  <c r="K305" i="74"/>
  <c r="J305" i="74"/>
  <c r="I305" i="74"/>
  <c r="H305" i="74"/>
  <c r="F305" i="74"/>
  <c r="O304" i="74"/>
  <c r="N304" i="74"/>
  <c r="M304" i="74"/>
  <c r="L304" i="74"/>
  <c r="K304" i="74"/>
  <c r="J304" i="74"/>
  <c r="I304" i="74"/>
  <c r="H304" i="74"/>
  <c r="F304" i="74"/>
  <c r="O303" i="74"/>
  <c r="N303" i="74"/>
  <c r="M303" i="74"/>
  <c r="L303" i="74"/>
  <c r="K303" i="74"/>
  <c r="J303" i="74"/>
  <c r="I303" i="74"/>
  <c r="H303" i="74"/>
  <c r="F303" i="74"/>
  <c r="O302" i="74"/>
  <c r="N302" i="74"/>
  <c r="M302" i="74"/>
  <c r="L302" i="74"/>
  <c r="K302" i="74"/>
  <c r="J302" i="74"/>
  <c r="I302" i="74"/>
  <c r="H302" i="74"/>
  <c r="F302" i="74"/>
  <c r="O301" i="74"/>
  <c r="N301" i="74"/>
  <c r="M301" i="74"/>
  <c r="L301" i="74"/>
  <c r="K301" i="74"/>
  <c r="J301" i="74"/>
  <c r="I301" i="74"/>
  <c r="H301" i="74"/>
  <c r="F301" i="74"/>
  <c r="O300" i="74"/>
  <c r="N300" i="74"/>
  <c r="M300" i="74"/>
  <c r="L300" i="74"/>
  <c r="K300" i="74"/>
  <c r="J300" i="74"/>
  <c r="I300" i="74"/>
  <c r="H300" i="74"/>
  <c r="F300" i="74"/>
  <c r="P299" i="74"/>
  <c r="O299" i="74"/>
  <c r="N299" i="74"/>
  <c r="M299" i="74"/>
  <c r="L299" i="74"/>
  <c r="K299" i="74"/>
  <c r="J299" i="74"/>
  <c r="I299" i="74"/>
  <c r="H299" i="74"/>
  <c r="F299" i="74"/>
  <c r="P298" i="74"/>
  <c r="O298" i="74"/>
  <c r="N298" i="74"/>
  <c r="M298" i="74"/>
  <c r="L298" i="74"/>
  <c r="K298" i="74"/>
  <c r="J298" i="74"/>
  <c r="I298" i="74"/>
  <c r="H298" i="74"/>
  <c r="F298" i="74"/>
  <c r="P297" i="74"/>
  <c r="O297" i="74"/>
  <c r="N297" i="74"/>
  <c r="M297" i="74"/>
  <c r="L297" i="74"/>
  <c r="K297" i="74"/>
  <c r="J297" i="74"/>
  <c r="I297" i="74"/>
  <c r="H297" i="74"/>
  <c r="F297" i="74"/>
  <c r="P296" i="74"/>
  <c r="O296" i="74"/>
  <c r="N296" i="74"/>
  <c r="M296" i="74"/>
  <c r="L296" i="74"/>
  <c r="K296" i="74"/>
  <c r="J296" i="74"/>
  <c r="I296" i="74"/>
  <c r="H296" i="74"/>
  <c r="F296" i="74"/>
  <c r="P295" i="74"/>
  <c r="O295" i="74"/>
  <c r="N295" i="74"/>
  <c r="M295" i="74"/>
  <c r="L295" i="74"/>
  <c r="K295" i="74"/>
  <c r="J295" i="74"/>
  <c r="I295" i="74"/>
  <c r="H295" i="74"/>
  <c r="F295" i="74"/>
  <c r="P294" i="74"/>
  <c r="O294" i="74"/>
  <c r="N294" i="74"/>
  <c r="M294" i="74"/>
  <c r="L294" i="74"/>
  <c r="K294" i="74"/>
  <c r="J294" i="74"/>
  <c r="I294" i="74"/>
  <c r="H294" i="74"/>
  <c r="F294" i="74"/>
  <c r="P293" i="74"/>
  <c r="O293" i="74"/>
  <c r="N293" i="74"/>
  <c r="M293" i="74"/>
  <c r="L293" i="74"/>
  <c r="K293" i="74"/>
  <c r="J293" i="74"/>
  <c r="I293" i="74"/>
  <c r="H293" i="74"/>
  <c r="F293" i="74"/>
  <c r="P292" i="74"/>
  <c r="O292" i="74"/>
  <c r="N292" i="74"/>
  <c r="M292" i="74"/>
  <c r="L292" i="74"/>
  <c r="K292" i="74"/>
  <c r="J292" i="74"/>
  <c r="I292" i="74"/>
  <c r="H292" i="74"/>
  <c r="F292" i="74"/>
  <c r="P291" i="74"/>
  <c r="O291" i="74"/>
  <c r="N291" i="74"/>
  <c r="M291" i="74"/>
  <c r="L291" i="74"/>
  <c r="K291" i="74"/>
  <c r="J291" i="74"/>
  <c r="I291" i="74"/>
  <c r="H291" i="74"/>
  <c r="F291" i="74"/>
  <c r="P290" i="74"/>
  <c r="O290" i="74"/>
  <c r="N290" i="74"/>
  <c r="M290" i="74"/>
  <c r="L290" i="74"/>
  <c r="K290" i="74"/>
  <c r="J290" i="74"/>
  <c r="I290" i="74"/>
  <c r="H290" i="74"/>
  <c r="F290" i="74"/>
  <c r="P289" i="74"/>
  <c r="O289" i="74"/>
  <c r="N289" i="74"/>
  <c r="M289" i="74"/>
  <c r="L289" i="74"/>
  <c r="K289" i="74"/>
  <c r="J289" i="74"/>
  <c r="I289" i="74"/>
  <c r="H289" i="74"/>
  <c r="F289" i="74"/>
  <c r="P288" i="74"/>
  <c r="O288" i="74"/>
  <c r="N288" i="74"/>
  <c r="M288" i="74"/>
  <c r="L288" i="74"/>
  <c r="K288" i="74"/>
  <c r="J288" i="74"/>
  <c r="I288" i="74"/>
  <c r="H288" i="74"/>
  <c r="F288" i="74"/>
  <c r="P287" i="74"/>
  <c r="O287" i="74"/>
  <c r="N287" i="74"/>
  <c r="M287" i="74"/>
  <c r="L287" i="74"/>
  <c r="K287" i="74"/>
  <c r="J287" i="74"/>
  <c r="I287" i="74"/>
  <c r="H287" i="74"/>
  <c r="F287" i="74"/>
  <c r="P286" i="74"/>
  <c r="O286" i="74"/>
  <c r="N286" i="74"/>
  <c r="M286" i="74"/>
  <c r="L286" i="74"/>
  <c r="K286" i="74"/>
  <c r="J286" i="74"/>
  <c r="I286" i="74"/>
  <c r="H286" i="74"/>
  <c r="F286" i="74"/>
  <c r="P285" i="74"/>
  <c r="O285" i="74"/>
  <c r="N285" i="74"/>
  <c r="M285" i="74"/>
  <c r="L285" i="74"/>
  <c r="K285" i="74"/>
  <c r="J285" i="74"/>
  <c r="I285" i="74"/>
  <c r="H285" i="74"/>
  <c r="F285" i="74"/>
  <c r="P284" i="74"/>
  <c r="O284" i="74"/>
  <c r="N284" i="74"/>
  <c r="M284" i="74"/>
  <c r="L284" i="74"/>
  <c r="K284" i="74"/>
  <c r="J284" i="74"/>
  <c r="I284" i="74"/>
  <c r="H284" i="74"/>
  <c r="F284" i="74"/>
  <c r="P283" i="74"/>
  <c r="O283" i="74"/>
  <c r="N283" i="74"/>
  <c r="M283" i="74"/>
  <c r="L283" i="74"/>
  <c r="K283" i="74"/>
  <c r="J283" i="74"/>
  <c r="I283" i="74"/>
  <c r="H283" i="74"/>
  <c r="F283" i="74"/>
  <c r="P282" i="74"/>
  <c r="O282" i="74"/>
  <c r="N282" i="74"/>
  <c r="M282" i="74"/>
  <c r="L282" i="74"/>
  <c r="K282" i="74"/>
  <c r="J282" i="74"/>
  <c r="I282" i="74"/>
  <c r="H282" i="74"/>
  <c r="F282" i="74"/>
  <c r="P281" i="74"/>
  <c r="O281" i="74"/>
  <c r="N281" i="74"/>
  <c r="M281" i="74"/>
  <c r="L281" i="74"/>
  <c r="K281" i="74"/>
  <c r="J281" i="74"/>
  <c r="I281" i="74"/>
  <c r="H281" i="74"/>
  <c r="F281" i="74"/>
  <c r="P280" i="74"/>
  <c r="O280" i="74"/>
  <c r="N280" i="74"/>
  <c r="M280" i="74"/>
  <c r="L280" i="74"/>
  <c r="K280" i="74"/>
  <c r="J280" i="74"/>
  <c r="I280" i="74"/>
  <c r="H280" i="74"/>
  <c r="F280" i="74"/>
  <c r="P279" i="74"/>
  <c r="O279" i="74"/>
  <c r="N279" i="74"/>
  <c r="M279" i="74"/>
  <c r="L279" i="74"/>
  <c r="K279" i="74"/>
  <c r="J279" i="74"/>
  <c r="I279" i="74"/>
  <c r="H279" i="74"/>
  <c r="F279" i="74"/>
  <c r="P278" i="74"/>
  <c r="O278" i="74"/>
  <c r="N278" i="74"/>
  <c r="M278" i="74"/>
  <c r="L278" i="74"/>
  <c r="K278" i="74"/>
  <c r="J278" i="74"/>
  <c r="I278" i="74"/>
  <c r="H278" i="74"/>
  <c r="F278" i="74"/>
  <c r="P277" i="74"/>
  <c r="O277" i="74"/>
  <c r="N277" i="74"/>
  <c r="M277" i="74"/>
  <c r="L277" i="74"/>
  <c r="K277" i="74"/>
  <c r="J277" i="74"/>
  <c r="I277" i="74"/>
  <c r="H277" i="74"/>
  <c r="F277" i="74"/>
  <c r="P276" i="74"/>
  <c r="O276" i="74"/>
  <c r="N276" i="74"/>
  <c r="M276" i="74"/>
  <c r="L276" i="74"/>
  <c r="K276" i="74"/>
  <c r="J276" i="74"/>
  <c r="I276" i="74"/>
  <c r="H276" i="74"/>
  <c r="F276" i="74"/>
  <c r="P275" i="74"/>
  <c r="O275" i="74"/>
  <c r="N275" i="74"/>
  <c r="M275" i="74"/>
  <c r="L275" i="74"/>
  <c r="K275" i="74"/>
  <c r="J275" i="74"/>
  <c r="I275" i="74"/>
  <c r="H275" i="74"/>
  <c r="F275" i="74"/>
  <c r="P274" i="74"/>
  <c r="O274" i="74"/>
  <c r="N274" i="74"/>
  <c r="M274" i="74"/>
  <c r="L274" i="74"/>
  <c r="K274" i="74"/>
  <c r="J274" i="74"/>
  <c r="I274" i="74"/>
  <c r="H274" i="74"/>
  <c r="F274" i="74"/>
  <c r="P273" i="74"/>
  <c r="O273" i="74"/>
  <c r="N273" i="74"/>
  <c r="M273" i="74"/>
  <c r="L273" i="74"/>
  <c r="K273" i="74"/>
  <c r="J273" i="74"/>
  <c r="I273" i="74"/>
  <c r="H273" i="74"/>
  <c r="F273" i="74"/>
  <c r="P272" i="74"/>
  <c r="O272" i="74"/>
  <c r="N272" i="74"/>
  <c r="M272" i="74"/>
  <c r="L272" i="74"/>
  <c r="K272" i="74"/>
  <c r="J272" i="74"/>
  <c r="I272" i="74"/>
  <c r="H272" i="74"/>
  <c r="F272" i="74"/>
  <c r="P271" i="74"/>
  <c r="O271" i="74"/>
  <c r="N271" i="74"/>
  <c r="M271" i="74"/>
  <c r="L271" i="74"/>
  <c r="K271" i="74"/>
  <c r="J271" i="74"/>
  <c r="I271" i="74"/>
  <c r="H271" i="74"/>
  <c r="F271" i="74"/>
  <c r="P270" i="74"/>
  <c r="O270" i="74"/>
  <c r="N270" i="74"/>
  <c r="M270" i="74"/>
  <c r="L270" i="74"/>
  <c r="K270" i="74"/>
  <c r="J270" i="74"/>
  <c r="I270" i="74"/>
  <c r="H270" i="74"/>
  <c r="F270" i="74"/>
  <c r="P269" i="74"/>
  <c r="O269" i="74"/>
  <c r="N269" i="74"/>
  <c r="M269" i="74"/>
  <c r="L269" i="74"/>
  <c r="K269" i="74"/>
  <c r="J269" i="74"/>
  <c r="I269" i="74"/>
  <c r="H269" i="74"/>
  <c r="F269" i="74"/>
  <c r="P268" i="74"/>
  <c r="O268" i="74"/>
  <c r="N268" i="74"/>
  <c r="M268" i="74"/>
  <c r="L268" i="74"/>
  <c r="K268" i="74"/>
  <c r="J268" i="74"/>
  <c r="I268" i="74"/>
  <c r="H268" i="74"/>
  <c r="F268" i="74"/>
  <c r="P267" i="74"/>
  <c r="O267" i="74"/>
  <c r="N267" i="74"/>
  <c r="M267" i="74"/>
  <c r="L267" i="74"/>
  <c r="K267" i="74"/>
  <c r="J267" i="74"/>
  <c r="I267" i="74"/>
  <c r="H267" i="74"/>
  <c r="F267" i="74"/>
  <c r="P266" i="74"/>
  <c r="O266" i="74"/>
  <c r="N266" i="74"/>
  <c r="M266" i="74"/>
  <c r="L266" i="74"/>
  <c r="K266" i="74"/>
  <c r="J266" i="74"/>
  <c r="I266" i="74"/>
  <c r="H266" i="74"/>
  <c r="F266" i="74"/>
  <c r="P265" i="74"/>
  <c r="O265" i="74"/>
  <c r="N265" i="74"/>
  <c r="M265" i="74"/>
  <c r="L265" i="74"/>
  <c r="K265" i="74"/>
  <c r="J265" i="74"/>
  <c r="I265" i="74"/>
  <c r="H265" i="74"/>
  <c r="F265" i="74"/>
  <c r="P264" i="74"/>
  <c r="O264" i="74"/>
  <c r="N264" i="74"/>
  <c r="M264" i="74"/>
  <c r="L264" i="74"/>
  <c r="K264" i="74"/>
  <c r="J264" i="74"/>
  <c r="I264" i="74"/>
  <c r="H264" i="74"/>
  <c r="F264" i="74"/>
  <c r="P263" i="74"/>
  <c r="O263" i="74"/>
  <c r="N263" i="74"/>
  <c r="M263" i="74"/>
  <c r="L263" i="74"/>
  <c r="K263" i="74"/>
  <c r="J263" i="74"/>
  <c r="I263" i="74"/>
  <c r="H263" i="74"/>
  <c r="F263" i="74"/>
  <c r="P262" i="74"/>
  <c r="O262" i="74"/>
  <c r="N262" i="74"/>
  <c r="M262" i="74"/>
  <c r="L262" i="74"/>
  <c r="K262" i="74"/>
  <c r="J262" i="74"/>
  <c r="I262" i="74"/>
  <c r="H262" i="74"/>
  <c r="F262" i="74"/>
  <c r="P261" i="74"/>
  <c r="O261" i="74"/>
  <c r="N261" i="74"/>
  <c r="M261" i="74"/>
  <c r="L261" i="74"/>
  <c r="K261" i="74"/>
  <c r="J261" i="74"/>
  <c r="I261" i="74"/>
  <c r="H261" i="74"/>
  <c r="F261" i="74"/>
  <c r="P260" i="74"/>
  <c r="O260" i="74"/>
  <c r="N260" i="74"/>
  <c r="M260" i="74"/>
  <c r="L260" i="74"/>
  <c r="K260" i="74"/>
  <c r="J260" i="74"/>
  <c r="I260" i="74"/>
  <c r="H260" i="74"/>
  <c r="F260" i="74"/>
  <c r="P259" i="74"/>
  <c r="O259" i="74"/>
  <c r="N259" i="74"/>
  <c r="M259" i="74"/>
  <c r="L259" i="74"/>
  <c r="K259" i="74"/>
  <c r="J259" i="74"/>
  <c r="I259" i="74"/>
  <c r="H259" i="74"/>
  <c r="F259" i="74"/>
  <c r="P258" i="74"/>
  <c r="O258" i="74"/>
  <c r="N258" i="74"/>
  <c r="M258" i="74"/>
  <c r="L258" i="74"/>
  <c r="K258" i="74"/>
  <c r="J258" i="74"/>
  <c r="I258" i="74"/>
  <c r="H258" i="74"/>
  <c r="F258" i="74"/>
  <c r="P257" i="74"/>
  <c r="O257" i="74"/>
  <c r="N257" i="74"/>
  <c r="M257" i="74"/>
  <c r="L257" i="74"/>
  <c r="K257" i="74"/>
  <c r="J257" i="74"/>
  <c r="I257" i="74"/>
  <c r="H257" i="74"/>
  <c r="F257" i="74"/>
  <c r="P256" i="74"/>
  <c r="O256" i="74"/>
  <c r="N256" i="74"/>
  <c r="M256" i="74"/>
  <c r="L256" i="74"/>
  <c r="K256" i="74"/>
  <c r="J256" i="74"/>
  <c r="I256" i="74"/>
  <c r="H256" i="74"/>
  <c r="F256" i="74"/>
  <c r="P255" i="74"/>
  <c r="O255" i="74"/>
  <c r="N255" i="74"/>
  <c r="M255" i="74"/>
  <c r="L255" i="74"/>
  <c r="K255" i="74"/>
  <c r="J255" i="74"/>
  <c r="I255" i="74"/>
  <c r="H255" i="74"/>
  <c r="F255" i="74"/>
  <c r="P254" i="74"/>
  <c r="O254" i="74"/>
  <c r="N254" i="74"/>
  <c r="M254" i="74"/>
  <c r="L254" i="74"/>
  <c r="K254" i="74"/>
  <c r="J254" i="74"/>
  <c r="I254" i="74"/>
  <c r="H254" i="74"/>
  <c r="F254" i="74"/>
  <c r="P253" i="74"/>
  <c r="O253" i="74"/>
  <c r="N253" i="74"/>
  <c r="M253" i="74"/>
  <c r="L253" i="74"/>
  <c r="K253" i="74"/>
  <c r="J253" i="74"/>
  <c r="I253" i="74"/>
  <c r="H253" i="74"/>
  <c r="F253" i="74"/>
  <c r="P252" i="74"/>
  <c r="O252" i="74"/>
  <c r="N252" i="74"/>
  <c r="M252" i="74"/>
  <c r="L252" i="74"/>
  <c r="K252" i="74"/>
  <c r="J252" i="74"/>
  <c r="I252" i="74"/>
  <c r="H252" i="74"/>
  <c r="F252" i="74"/>
  <c r="P251" i="74"/>
  <c r="O251" i="74"/>
  <c r="N251" i="74"/>
  <c r="M251" i="74"/>
  <c r="L251" i="74"/>
  <c r="K251" i="74"/>
  <c r="J251" i="74"/>
  <c r="I251" i="74"/>
  <c r="H251" i="74"/>
  <c r="F251" i="74"/>
  <c r="P250" i="74"/>
  <c r="O250" i="74"/>
  <c r="N250" i="74"/>
  <c r="M250" i="74"/>
  <c r="L250" i="74"/>
  <c r="K250" i="74"/>
  <c r="J250" i="74"/>
  <c r="I250" i="74"/>
  <c r="H250" i="74"/>
  <c r="F250" i="74"/>
  <c r="P249" i="74"/>
  <c r="O249" i="74"/>
  <c r="N249" i="74"/>
  <c r="M249" i="74"/>
  <c r="L249" i="74"/>
  <c r="K249" i="74"/>
  <c r="J249" i="74"/>
  <c r="I249" i="74"/>
  <c r="H249" i="74"/>
  <c r="F249" i="74"/>
  <c r="P248" i="74"/>
  <c r="O248" i="74"/>
  <c r="N248" i="74"/>
  <c r="M248" i="74"/>
  <c r="L248" i="74"/>
  <c r="K248" i="74"/>
  <c r="J248" i="74"/>
  <c r="I248" i="74"/>
  <c r="H248" i="74"/>
  <c r="F248" i="74"/>
  <c r="P247" i="74"/>
  <c r="O247" i="74"/>
  <c r="N247" i="74"/>
  <c r="M247" i="74"/>
  <c r="L247" i="74"/>
  <c r="K247" i="74"/>
  <c r="J247" i="74"/>
  <c r="I247" i="74"/>
  <c r="H247" i="74"/>
  <c r="F247" i="74"/>
  <c r="P246" i="74"/>
  <c r="O246" i="74"/>
  <c r="N246" i="74"/>
  <c r="M246" i="74"/>
  <c r="L246" i="74"/>
  <c r="K246" i="74"/>
  <c r="J246" i="74"/>
  <c r="I246" i="74"/>
  <c r="H246" i="74"/>
  <c r="F246" i="74"/>
  <c r="P245" i="74"/>
  <c r="O245" i="74"/>
  <c r="N245" i="74"/>
  <c r="M245" i="74"/>
  <c r="L245" i="74"/>
  <c r="K245" i="74"/>
  <c r="J245" i="74"/>
  <c r="I245" i="74"/>
  <c r="H245" i="74"/>
  <c r="F245" i="74"/>
  <c r="P244" i="74"/>
  <c r="O244" i="74"/>
  <c r="N244" i="74"/>
  <c r="M244" i="74"/>
  <c r="L244" i="74"/>
  <c r="K244" i="74"/>
  <c r="J244" i="74"/>
  <c r="I244" i="74"/>
  <c r="H244" i="74"/>
  <c r="F244" i="74"/>
  <c r="P243" i="74"/>
  <c r="O243" i="74"/>
  <c r="N243" i="74"/>
  <c r="M243" i="74"/>
  <c r="L243" i="74"/>
  <c r="K243" i="74"/>
  <c r="J243" i="74"/>
  <c r="I243" i="74"/>
  <c r="H243" i="74"/>
  <c r="F243" i="74"/>
  <c r="P242" i="74"/>
  <c r="O242" i="74"/>
  <c r="N242" i="74"/>
  <c r="M242" i="74"/>
  <c r="L242" i="74"/>
  <c r="K242" i="74"/>
  <c r="J242" i="74"/>
  <c r="I242" i="74"/>
  <c r="H242" i="74"/>
  <c r="F242" i="74"/>
  <c r="P241" i="74"/>
  <c r="O241" i="74"/>
  <c r="N241" i="74"/>
  <c r="M241" i="74"/>
  <c r="L241" i="74"/>
  <c r="K241" i="74"/>
  <c r="J241" i="74"/>
  <c r="I241" i="74"/>
  <c r="H241" i="74"/>
  <c r="F241" i="74"/>
  <c r="P240" i="74"/>
  <c r="O240" i="74"/>
  <c r="N240" i="74"/>
  <c r="M240" i="74"/>
  <c r="L240" i="74"/>
  <c r="K240" i="74"/>
  <c r="J240" i="74"/>
  <c r="I240" i="74"/>
  <c r="H240" i="74"/>
  <c r="F240" i="74"/>
  <c r="P239" i="74"/>
  <c r="O239" i="74"/>
  <c r="N239" i="74"/>
  <c r="M239" i="74"/>
  <c r="L239" i="74"/>
  <c r="K239" i="74"/>
  <c r="J239" i="74"/>
  <c r="I239" i="74"/>
  <c r="H239" i="74"/>
  <c r="F239" i="74"/>
  <c r="P238" i="74"/>
  <c r="O238" i="74"/>
  <c r="N238" i="74"/>
  <c r="M238" i="74"/>
  <c r="L238" i="74"/>
  <c r="K238" i="74"/>
  <c r="J238" i="74"/>
  <c r="I238" i="74"/>
  <c r="H238" i="74"/>
  <c r="F238" i="74"/>
  <c r="P237" i="74"/>
  <c r="O237" i="74"/>
  <c r="N237" i="74"/>
  <c r="M237" i="74"/>
  <c r="L237" i="74"/>
  <c r="K237" i="74"/>
  <c r="J237" i="74"/>
  <c r="I237" i="74"/>
  <c r="H237" i="74"/>
  <c r="F237" i="74"/>
  <c r="P236" i="74"/>
  <c r="O236" i="74"/>
  <c r="N236" i="74"/>
  <c r="M236" i="74"/>
  <c r="L236" i="74"/>
  <c r="K236" i="74"/>
  <c r="J236" i="74"/>
  <c r="I236" i="74"/>
  <c r="H236" i="74"/>
  <c r="F236" i="74"/>
  <c r="P235" i="74"/>
  <c r="O235" i="74"/>
  <c r="N235" i="74"/>
  <c r="M235" i="74"/>
  <c r="L235" i="74"/>
  <c r="K235" i="74"/>
  <c r="J235" i="74"/>
  <c r="I235" i="74"/>
  <c r="H235" i="74"/>
  <c r="F235" i="74"/>
  <c r="P234" i="74"/>
  <c r="O234" i="74"/>
  <c r="N234" i="74"/>
  <c r="M234" i="74"/>
  <c r="L234" i="74"/>
  <c r="K234" i="74"/>
  <c r="J234" i="74"/>
  <c r="I234" i="74"/>
  <c r="H234" i="74"/>
  <c r="F234" i="74"/>
  <c r="P233" i="74"/>
  <c r="O233" i="74"/>
  <c r="N233" i="74"/>
  <c r="M233" i="74"/>
  <c r="L233" i="74"/>
  <c r="K233" i="74"/>
  <c r="J233" i="74"/>
  <c r="I233" i="74"/>
  <c r="H233" i="74"/>
  <c r="F233" i="74"/>
  <c r="P232" i="74"/>
  <c r="O232" i="74"/>
  <c r="N232" i="74"/>
  <c r="M232" i="74"/>
  <c r="L232" i="74"/>
  <c r="K232" i="74"/>
  <c r="J232" i="74"/>
  <c r="I232" i="74"/>
  <c r="H232" i="74"/>
  <c r="F232" i="74"/>
  <c r="P231" i="74"/>
  <c r="O231" i="74"/>
  <c r="N231" i="74"/>
  <c r="M231" i="74"/>
  <c r="L231" i="74"/>
  <c r="K231" i="74"/>
  <c r="J231" i="74"/>
  <c r="I231" i="74"/>
  <c r="H231" i="74"/>
  <c r="F231" i="74"/>
  <c r="P230" i="74"/>
  <c r="O230" i="74"/>
  <c r="N230" i="74"/>
  <c r="M230" i="74"/>
  <c r="L230" i="74"/>
  <c r="K230" i="74"/>
  <c r="J230" i="74"/>
  <c r="I230" i="74"/>
  <c r="H230" i="74"/>
  <c r="F230" i="74"/>
  <c r="P229" i="74"/>
  <c r="O229" i="74"/>
  <c r="N229" i="74"/>
  <c r="M229" i="74"/>
  <c r="L229" i="74"/>
  <c r="K229" i="74"/>
  <c r="J229" i="74"/>
  <c r="I229" i="74"/>
  <c r="H229" i="74"/>
  <c r="F229" i="74"/>
  <c r="P228" i="74"/>
  <c r="O228" i="74"/>
  <c r="N228" i="74"/>
  <c r="M228" i="74"/>
  <c r="L228" i="74"/>
  <c r="K228" i="74"/>
  <c r="J228" i="74"/>
  <c r="I228" i="74"/>
  <c r="H228" i="74"/>
  <c r="F228" i="74"/>
  <c r="P227" i="74"/>
  <c r="O227" i="74"/>
  <c r="N227" i="74"/>
  <c r="M227" i="74"/>
  <c r="L227" i="74"/>
  <c r="K227" i="74"/>
  <c r="J227" i="74"/>
  <c r="I227" i="74"/>
  <c r="H227" i="74"/>
  <c r="F227" i="74"/>
  <c r="P226" i="74"/>
  <c r="O226" i="74"/>
  <c r="N226" i="74"/>
  <c r="M226" i="74"/>
  <c r="L226" i="74"/>
  <c r="K226" i="74"/>
  <c r="J226" i="74"/>
  <c r="I226" i="74"/>
  <c r="H226" i="74"/>
  <c r="F226" i="74"/>
  <c r="P225" i="74"/>
  <c r="O225" i="74"/>
  <c r="N225" i="74"/>
  <c r="M225" i="74"/>
  <c r="L225" i="74"/>
  <c r="K225" i="74"/>
  <c r="J225" i="74"/>
  <c r="I225" i="74"/>
  <c r="H225" i="74"/>
  <c r="F225" i="74"/>
  <c r="P224" i="74"/>
  <c r="O224" i="74"/>
  <c r="N224" i="74"/>
  <c r="M224" i="74"/>
  <c r="L224" i="74"/>
  <c r="K224" i="74"/>
  <c r="J224" i="74"/>
  <c r="I224" i="74"/>
  <c r="H224" i="74"/>
  <c r="F224" i="74"/>
  <c r="P223" i="74"/>
  <c r="O223" i="74"/>
  <c r="N223" i="74"/>
  <c r="M223" i="74"/>
  <c r="L223" i="74"/>
  <c r="K223" i="74"/>
  <c r="J223" i="74"/>
  <c r="I223" i="74"/>
  <c r="H223" i="74"/>
  <c r="F223" i="74"/>
  <c r="P222" i="74"/>
  <c r="O222" i="74"/>
  <c r="N222" i="74"/>
  <c r="M222" i="74"/>
  <c r="L222" i="74"/>
  <c r="K222" i="74"/>
  <c r="J222" i="74"/>
  <c r="I222" i="74"/>
  <c r="H222" i="74"/>
  <c r="F222" i="74"/>
  <c r="P221" i="74"/>
  <c r="O221" i="74"/>
  <c r="N221" i="74"/>
  <c r="M221" i="74"/>
  <c r="L221" i="74"/>
  <c r="K221" i="74"/>
  <c r="J221" i="74"/>
  <c r="I221" i="74"/>
  <c r="H221" i="74"/>
  <c r="F221" i="74"/>
  <c r="P220" i="74"/>
  <c r="O220" i="74"/>
  <c r="N220" i="74"/>
  <c r="M220" i="74"/>
  <c r="L220" i="74"/>
  <c r="K220" i="74"/>
  <c r="J220" i="74"/>
  <c r="I220" i="74"/>
  <c r="H220" i="74"/>
  <c r="F220" i="74"/>
  <c r="P219" i="74"/>
  <c r="O219" i="74"/>
  <c r="N219" i="74"/>
  <c r="M219" i="74"/>
  <c r="L219" i="74"/>
  <c r="K219" i="74"/>
  <c r="J219" i="74"/>
  <c r="I219" i="74"/>
  <c r="H219" i="74"/>
  <c r="F219" i="74"/>
  <c r="P218" i="74"/>
  <c r="O218" i="74"/>
  <c r="N218" i="74"/>
  <c r="M218" i="74"/>
  <c r="L218" i="74"/>
  <c r="K218" i="74"/>
  <c r="J218" i="74"/>
  <c r="I218" i="74"/>
  <c r="H218" i="74"/>
  <c r="F218" i="74"/>
  <c r="P217" i="74"/>
  <c r="O217" i="74"/>
  <c r="N217" i="74"/>
  <c r="M217" i="74"/>
  <c r="L217" i="74"/>
  <c r="K217" i="74"/>
  <c r="J217" i="74"/>
  <c r="I217" i="74"/>
  <c r="H217" i="74"/>
  <c r="F217" i="74"/>
  <c r="P216" i="74"/>
  <c r="O216" i="74"/>
  <c r="N216" i="74"/>
  <c r="M216" i="74"/>
  <c r="L216" i="74"/>
  <c r="K216" i="74"/>
  <c r="J216" i="74"/>
  <c r="I216" i="74"/>
  <c r="H216" i="74"/>
  <c r="F216" i="74"/>
  <c r="P215" i="74"/>
  <c r="O215" i="74"/>
  <c r="N215" i="74"/>
  <c r="M215" i="74"/>
  <c r="L215" i="74"/>
  <c r="K215" i="74"/>
  <c r="J215" i="74"/>
  <c r="I215" i="74"/>
  <c r="H215" i="74"/>
  <c r="F215" i="74"/>
  <c r="P214" i="74"/>
  <c r="O214" i="74"/>
  <c r="N214" i="74"/>
  <c r="M214" i="74"/>
  <c r="L214" i="74"/>
  <c r="K214" i="74"/>
  <c r="J214" i="74"/>
  <c r="I214" i="74"/>
  <c r="H214" i="74"/>
  <c r="F214" i="74"/>
  <c r="P213" i="74"/>
  <c r="O213" i="74"/>
  <c r="N213" i="74"/>
  <c r="M213" i="74"/>
  <c r="L213" i="74"/>
  <c r="K213" i="74"/>
  <c r="J213" i="74"/>
  <c r="I213" i="74"/>
  <c r="H213" i="74"/>
  <c r="F213" i="74"/>
  <c r="P212" i="74"/>
  <c r="O212" i="74"/>
  <c r="N212" i="74"/>
  <c r="M212" i="74"/>
  <c r="L212" i="74"/>
  <c r="K212" i="74"/>
  <c r="J212" i="74"/>
  <c r="I212" i="74"/>
  <c r="H212" i="74"/>
  <c r="F212" i="74"/>
  <c r="P211" i="74"/>
  <c r="O211" i="74"/>
  <c r="N211" i="74"/>
  <c r="M211" i="74"/>
  <c r="L211" i="74"/>
  <c r="K211" i="74"/>
  <c r="J211" i="74"/>
  <c r="I211" i="74"/>
  <c r="H211" i="74"/>
  <c r="F211" i="74"/>
  <c r="P210" i="74"/>
  <c r="O210" i="74"/>
  <c r="N210" i="74"/>
  <c r="M210" i="74"/>
  <c r="L210" i="74"/>
  <c r="K210" i="74"/>
  <c r="J210" i="74"/>
  <c r="I210" i="74"/>
  <c r="H210" i="74"/>
  <c r="F210" i="74"/>
  <c r="P209" i="74"/>
  <c r="O209" i="74"/>
  <c r="N209" i="74"/>
  <c r="M209" i="74"/>
  <c r="L209" i="74"/>
  <c r="K209" i="74"/>
  <c r="J209" i="74"/>
  <c r="I209" i="74"/>
  <c r="H209" i="74"/>
  <c r="F209" i="74"/>
  <c r="P208" i="74"/>
  <c r="O208" i="74"/>
  <c r="N208" i="74"/>
  <c r="M208" i="74"/>
  <c r="L208" i="74"/>
  <c r="K208" i="74"/>
  <c r="J208" i="74"/>
  <c r="I208" i="74"/>
  <c r="H208" i="74"/>
  <c r="F208" i="74"/>
  <c r="P207" i="74"/>
  <c r="O207" i="74"/>
  <c r="N207" i="74"/>
  <c r="M207" i="74"/>
  <c r="L207" i="74"/>
  <c r="K207" i="74"/>
  <c r="J207" i="74"/>
  <c r="I207" i="74"/>
  <c r="H207" i="74"/>
  <c r="F207" i="74"/>
  <c r="P206" i="74"/>
  <c r="O206" i="74"/>
  <c r="N206" i="74"/>
  <c r="M206" i="74"/>
  <c r="L206" i="74"/>
  <c r="K206" i="74"/>
  <c r="J206" i="74"/>
  <c r="I206" i="74"/>
  <c r="H206" i="74"/>
  <c r="F206" i="74"/>
  <c r="P205" i="74"/>
  <c r="O205" i="74"/>
  <c r="N205" i="74"/>
  <c r="M205" i="74"/>
  <c r="L205" i="74"/>
  <c r="K205" i="74"/>
  <c r="J205" i="74"/>
  <c r="I205" i="74"/>
  <c r="H205" i="74"/>
  <c r="F205" i="74"/>
  <c r="P204" i="74"/>
  <c r="O204" i="74"/>
  <c r="N204" i="74"/>
  <c r="M204" i="74"/>
  <c r="L204" i="74"/>
  <c r="K204" i="74"/>
  <c r="J204" i="74"/>
  <c r="I204" i="74"/>
  <c r="H204" i="74"/>
  <c r="F204" i="74"/>
  <c r="P203" i="74"/>
  <c r="O203" i="74"/>
  <c r="N203" i="74"/>
  <c r="M203" i="74"/>
  <c r="L203" i="74"/>
  <c r="K203" i="74"/>
  <c r="J203" i="74"/>
  <c r="I203" i="74"/>
  <c r="H203" i="74"/>
  <c r="F203" i="74"/>
  <c r="P202" i="74"/>
  <c r="O202" i="74"/>
  <c r="N202" i="74"/>
  <c r="M202" i="74"/>
  <c r="L202" i="74"/>
  <c r="K202" i="74"/>
  <c r="J202" i="74"/>
  <c r="I202" i="74"/>
  <c r="H202" i="74"/>
  <c r="F202" i="74"/>
  <c r="P201" i="74"/>
  <c r="O201" i="74"/>
  <c r="N201" i="74"/>
  <c r="M201" i="74"/>
  <c r="L201" i="74"/>
  <c r="K201" i="74"/>
  <c r="J201" i="74"/>
  <c r="I201" i="74"/>
  <c r="H201" i="74"/>
  <c r="F201" i="74"/>
  <c r="P200" i="74"/>
  <c r="O200" i="74"/>
  <c r="N200" i="74"/>
  <c r="M200" i="74"/>
  <c r="L200" i="74"/>
  <c r="K200" i="74"/>
  <c r="J200" i="74"/>
  <c r="I200" i="74"/>
  <c r="H200" i="74"/>
  <c r="F200" i="74"/>
  <c r="P199" i="74"/>
  <c r="O199" i="74"/>
  <c r="N199" i="74"/>
  <c r="M199" i="74"/>
  <c r="L199" i="74"/>
  <c r="K199" i="74"/>
  <c r="J199" i="74"/>
  <c r="I199" i="74"/>
  <c r="H199" i="74"/>
  <c r="F199" i="74"/>
  <c r="P198" i="74"/>
  <c r="O198" i="74"/>
  <c r="N198" i="74"/>
  <c r="M198" i="74"/>
  <c r="L198" i="74"/>
  <c r="K198" i="74"/>
  <c r="J198" i="74"/>
  <c r="I198" i="74"/>
  <c r="H198" i="74"/>
  <c r="F198" i="74"/>
  <c r="P197" i="74"/>
  <c r="O197" i="74"/>
  <c r="N197" i="74"/>
  <c r="M197" i="74"/>
  <c r="L197" i="74"/>
  <c r="K197" i="74"/>
  <c r="J197" i="74"/>
  <c r="I197" i="74"/>
  <c r="H197" i="74"/>
  <c r="F197" i="74"/>
  <c r="P196" i="74"/>
  <c r="O196" i="74"/>
  <c r="N196" i="74"/>
  <c r="M196" i="74"/>
  <c r="L196" i="74"/>
  <c r="K196" i="74"/>
  <c r="J196" i="74"/>
  <c r="I196" i="74"/>
  <c r="H196" i="74"/>
  <c r="F196" i="74"/>
  <c r="P195" i="74"/>
  <c r="O195" i="74"/>
  <c r="N195" i="74"/>
  <c r="M195" i="74"/>
  <c r="L195" i="74"/>
  <c r="K195" i="74"/>
  <c r="J195" i="74"/>
  <c r="I195" i="74"/>
  <c r="H195" i="74"/>
  <c r="F195" i="74"/>
  <c r="P194" i="74"/>
  <c r="O194" i="74"/>
  <c r="N194" i="74"/>
  <c r="M194" i="74"/>
  <c r="L194" i="74"/>
  <c r="K194" i="74"/>
  <c r="J194" i="74"/>
  <c r="I194" i="74"/>
  <c r="H194" i="74"/>
  <c r="F194" i="74"/>
  <c r="P193" i="74"/>
  <c r="O193" i="74"/>
  <c r="N193" i="74"/>
  <c r="M193" i="74"/>
  <c r="L193" i="74"/>
  <c r="K193" i="74"/>
  <c r="J193" i="74"/>
  <c r="I193" i="74"/>
  <c r="H193" i="74"/>
  <c r="F193" i="74"/>
  <c r="P192" i="74"/>
  <c r="O192" i="74"/>
  <c r="N192" i="74"/>
  <c r="M192" i="74"/>
  <c r="L192" i="74"/>
  <c r="K192" i="74"/>
  <c r="J192" i="74"/>
  <c r="I192" i="74"/>
  <c r="H192" i="74"/>
  <c r="F192" i="74"/>
  <c r="P191" i="74"/>
  <c r="O191" i="74"/>
  <c r="N191" i="74"/>
  <c r="M191" i="74"/>
  <c r="L191" i="74"/>
  <c r="K191" i="74"/>
  <c r="J191" i="74"/>
  <c r="I191" i="74"/>
  <c r="H191" i="74"/>
  <c r="F191" i="74"/>
  <c r="P190" i="74"/>
  <c r="O190" i="74"/>
  <c r="N190" i="74"/>
  <c r="M190" i="74"/>
  <c r="L190" i="74"/>
  <c r="K190" i="74"/>
  <c r="J190" i="74"/>
  <c r="I190" i="74"/>
  <c r="H190" i="74"/>
  <c r="F190" i="74"/>
  <c r="P189" i="74"/>
  <c r="O189" i="74"/>
  <c r="N189" i="74"/>
  <c r="M189" i="74"/>
  <c r="L189" i="74"/>
  <c r="K189" i="74"/>
  <c r="J189" i="74"/>
  <c r="I189" i="74"/>
  <c r="H189" i="74"/>
  <c r="F189" i="74"/>
  <c r="P188" i="74"/>
  <c r="O188" i="74"/>
  <c r="N188" i="74"/>
  <c r="M188" i="74"/>
  <c r="L188" i="74"/>
  <c r="K188" i="74"/>
  <c r="J188" i="74"/>
  <c r="I188" i="74"/>
  <c r="H188" i="74"/>
  <c r="F188" i="74"/>
  <c r="P187" i="74"/>
  <c r="O187" i="74"/>
  <c r="N187" i="74"/>
  <c r="M187" i="74"/>
  <c r="L187" i="74"/>
  <c r="K187" i="74"/>
  <c r="J187" i="74"/>
  <c r="I187" i="74"/>
  <c r="H187" i="74"/>
  <c r="F187" i="74"/>
  <c r="P186" i="74"/>
  <c r="O186" i="74"/>
  <c r="N186" i="74"/>
  <c r="M186" i="74"/>
  <c r="L186" i="74"/>
  <c r="K186" i="74"/>
  <c r="J186" i="74"/>
  <c r="I186" i="74"/>
  <c r="H186" i="74"/>
  <c r="F186" i="74"/>
  <c r="P185" i="74"/>
  <c r="O185" i="74"/>
  <c r="N185" i="74"/>
  <c r="M185" i="74"/>
  <c r="L185" i="74"/>
  <c r="K185" i="74"/>
  <c r="J185" i="74"/>
  <c r="I185" i="74"/>
  <c r="H185" i="74"/>
  <c r="F185" i="74"/>
  <c r="P184" i="74"/>
  <c r="O184" i="74"/>
  <c r="N184" i="74"/>
  <c r="M184" i="74"/>
  <c r="L184" i="74"/>
  <c r="K184" i="74"/>
  <c r="J184" i="74"/>
  <c r="I184" i="74"/>
  <c r="H184" i="74"/>
  <c r="F184" i="74"/>
  <c r="P183" i="74"/>
  <c r="O183" i="74"/>
  <c r="N183" i="74"/>
  <c r="M183" i="74"/>
  <c r="L183" i="74"/>
  <c r="K183" i="74"/>
  <c r="J183" i="74"/>
  <c r="I183" i="74"/>
  <c r="H183" i="74"/>
  <c r="F183" i="74"/>
  <c r="P182" i="74"/>
  <c r="O182" i="74"/>
  <c r="N182" i="74"/>
  <c r="M182" i="74"/>
  <c r="L182" i="74"/>
  <c r="K182" i="74"/>
  <c r="J182" i="74"/>
  <c r="I182" i="74"/>
  <c r="H182" i="74"/>
  <c r="F182" i="74"/>
  <c r="P181" i="74"/>
  <c r="O181" i="74"/>
  <c r="N181" i="74"/>
  <c r="M181" i="74"/>
  <c r="L181" i="74"/>
  <c r="K181" i="74"/>
  <c r="J181" i="74"/>
  <c r="I181" i="74"/>
  <c r="H181" i="74"/>
  <c r="F181" i="74"/>
  <c r="P180" i="74"/>
  <c r="O180" i="74"/>
  <c r="N180" i="74"/>
  <c r="M180" i="74"/>
  <c r="L180" i="74"/>
  <c r="K180" i="74"/>
  <c r="J180" i="74"/>
  <c r="I180" i="74"/>
  <c r="H180" i="74"/>
  <c r="F180" i="74"/>
  <c r="P179" i="74"/>
  <c r="O179" i="74"/>
  <c r="N179" i="74"/>
  <c r="M179" i="74"/>
  <c r="L179" i="74"/>
  <c r="K179" i="74"/>
  <c r="J179" i="74"/>
  <c r="I179" i="74"/>
  <c r="H179" i="74"/>
  <c r="F179" i="74"/>
  <c r="P178" i="74"/>
  <c r="O178" i="74"/>
  <c r="N178" i="74"/>
  <c r="M178" i="74"/>
  <c r="L178" i="74"/>
  <c r="K178" i="74"/>
  <c r="J178" i="74"/>
  <c r="I178" i="74"/>
  <c r="H178" i="74"/>
  <c r="F178" i="74"/>
  <c r="P177" i="74"/>
  <c r="O177" i="74"/>
  <c r="N177" i="74"/>
  <c r="M177" i="74"/>
  <c r="L177" i="74"/>
  <c r="K177" i="74"/>
  <c r="J177" i="74"/>
  <c r="I177" i="74"/>
  <c r="H177" i="74"/>
  <c r="F177" i="74"/>
  <c r="P176" i="74"/>
  <c r="O176" i="74"/>
  <c r="N176" i="74"/>
  <c r="M176" i="74"/>
  <c r="L176" i="74"/>
  <c r="K176" i="74"/>
  <c r="J176" i="74"/>
  <c r="I176" i="74"/>
  <c r="H176" i="74"/>
  <c r="F176" i="74"/>
  <c r="P175" i="74"/>
  <c r="O175" i="74"/>
  <c r="N175" i="74"/>
  <c r="M175" i="74"/>
  <c r="L175" i="74"/>
  <c r="K175" i="74"/>
  <c r="J175" i="74"/>
  <c r="I175" i="74"/>
  <c r="H175" i="74"/>
  <c r="F175" i="74"/>
  <c r="P174" i="74"/>
  <c r="O174" i="74"/>
  <c r="N174" i="74"/>
  <c r="M174" i="74"/>
  <c r="L174" i="74"/>
  <c r="K174" i="74"/>
  <c r="J174" i="74"/>
  <c r="I174" i="74"/>
  <c r="H174" i="74"/>
  <c r="F174" i="74"/>
  <c r="P173" i="74"/>
  <c r="O173" i="74"/>
  <c r="N173" i="74"/>
  <c r="M173" i="74"/>
  <c r="L173" i="74"/>
  <c r="K173" i="74"/>
  <c r="J173" i="74"/>
  <c r="I173" i="74"/>
  <c r="H173" i="74"/>
  <c r="F173" i="74"/>
  <c r="P172" i="74"/>
  <c r="O172" i="74"/>
  <c r="N172" i="74"/>
  <c r="M172" i="74"/>
  <c r="L172" i="74"/>
  <c r="K172" i="74"/>
  <c r="J172" i="74"/>
  <c r="I172" i="74"/>
  <c r="H172" i="74"/>
  <c r="F172" i="74"/>
  <c r="P171" i="74"/>
  <c r="O171" i="74"/>
  <c r="N171" i="74"/>
  <c r="M171" i="74"/>
  <c r="L171" i="74"/>
  <c r="K171" i="74"/>
  <c r="J171" i="74"/>
  <c r="I171" i="74"/>
  <c r="H171" i="74"/>
  <c r="F171" i="74"/>
  <c r="P170" i="74"/>
  <c r="O170" i="74"/>
  <c r="N170" i="74"/>
  <c r="M170" i="74"/>
  <c r="L170" i="74"/>
  <c r="K170" i="74"/>
  <c r="J170" i="74"/>
  <c r="I170" i="74"/>
  <c r="H170" i="74"/>
  <c r="F170" i="74"/>
  <c r="P169" i="74"/>
  <c r="O169" i="74"/>
  <c r="N169" i="74"/>
  <c r="M169" i="74"/>
  <c r="L169" i="74"/>
  <c r="K169" i="74"/>
  <c r="J169" i="74"/>
  <c r="I169" i="74"/>
  <c r="H169" i="74"/>
  <c r="F169" i="74"/>
  <c r="P168" i="74"/>
  <c r="O168" i="74"/>
  <c r="N168" i="74"/>
  <c r="M168" i="74"/>
  <c r="L168" i="74"/>
  <c r="K168" i="74"/>
  <c r="J168" i="74"/>
  <c r="I168" i="74"/>
  <c r="H168" i="74"/>
  <c r="F168" i="74"/>
  <c r="P167" i="74"/>
  <c r="O167" i="74"/>
  <c r="N167" i="74"/>
  <c r="M167" i="74"/>
  <c r="L167" i="74"/>
  <c r="K167" i="74"/>
  <c r="J167" i="74"/>
  <c r="I167" i="74"/>
  <c r="H167" i="74"/>
  <c r="F167" i="74"/>
  <c r="P166" i="74"/>
  <c r="O166" i="74"/>
  <c r="N166" i="74"/>
  <c r="M166" i="74"/>
  <c r="L166" i="74"/>
  <c r="K166" i="74"/>
  <c r="J166" i="74"/>
  <c r="I166" i="74"/>
  <c r="H166" i="74"/>
  <c r="F166" i="74"/>
  <c r="P165" i="74"/>
  <c r="O165" i="74"/>
  <c r="N165" i="74"/>
  <c r="M165" i="74"/>
  <c r="L165" i="74"/>
  <c r="K165" i="74"/>
  <c r="J165" i="74"/>
  <c r="I165" i="74"/>
  <c r="H165" i="74"/>
  <c r="F165" i="74"/>
  <c r="P164" i="74"/>
  <c r="O164" i="74"/>
  <c r="N164" i="74"/>
  <c r="M164" i="74"/>
  <c r="L164" i="74"/>
  <c r="K164" i="74"/>
  <c r="J164" i="74"/>
  <c r="I164" i="74"/>
  <c r="H164" i="74"/>
  <c r="F164" i="74"/>
  <c r="P163" i="74"/>
  <c r="O163" i="74"/>
  <c r="N163" i="74"/>
  <c r="M163" i="74"/>
  <c r="L163" i="74"/>
  <c r="K163" i="74"/>
  <c r="J163" i="74"/>
  <c r="I163" i="74"/>
  <c r="H163" i="74"/>
  <c r="F163" i="74"/>
  <c r="P162" i="74"/>
  <c r="O162" i="74"/>
  <c r="N162" i="74"/>
  <c r="M162" i="74"/>
  <c r="L162" i="74"/>
  <c r="K162" i="74"/>
  <c r="J162" i="74"/>
  <c r="I162" i="74"/>
  <c r="H162" i="74"/>
  <c r="F162" i="74"/>
  <c r="P161" i="74"/>
  <c r="O161" i="74"/>
  <c r="N161" i="74"/>
  <c r="M161" i="74"/>
  <c r="L161" i="74"/>
  <c r="K161" i="74"/>
  <c r="J161" i="74"/>
  <c r="I161" i="74"/>
  <c r="H161" i="74"/>
  <c r="F161" i="74"/>
  <c r="P160" i="74"/>
  <c r="O160" i="74"/>
  <c r="N160" i="74"/>
  <c r="M160" i="74"/>
  <c r="L160" i="74"/>
  <c r="K160" i="74"/>
  <c r="J160" i="74"/>
  <c r="I160" i="74"/>
  <c r="H160" i="74"/>
  <c r="F160" i="74"/>
  <c r="P159" i="74"/>
  <c r="O159" i="74"/>
  <c r="N159" i="74"/>
  <c r="M159" i="74"/>
  <c r="L159" i="74"/>
  <c r="K159" i="74"/>
  <c r="J159" i="74"/>
  <c r="I159" i="74"/>
  <c r="H159" i="74"/>
  <c r="F159" i="74"/>
  <c r="P158" i="74"/>
  <c r="O158" i="74"/>
  <c r="N158" i="74"/>
  <c r="M158" i="74"/>
  <c r="L158" i="74"/>
  <c r="K158" i="74"/>
  <c r="J158" i="74"/>
  <c r="I158" i="74"/>
  <c r="H158" i="74"/>
  <c r="F158" i="74"/>
  <c r="P157" i="74"/>
  <c r="O157" i="74"/>
  <c r="N157" i="74"/>
  <c r="M157" i="74"/>
  <c r="L157" i="74"/>
  <c r="K157" i="74"/>
  <c r="J157" i="74"/>
  <c r="I157" i="74"/>
  <c r="H157" i="74"/>
  <c r="F157" i="74"/>
  <c r="P156" i="74"/>
  <c r="O156" i="74"/>
  <c r="N156" i="74"/>
  <c r="M156" i="74"/>
  <c r="L156" i="74"/>
  <c r="K156" i="74"/>
  <c r="J156" i="74"/>
  <c r="I156" i="74"/>
  <c r="H156" i="74"/>
  <c r="F156" i="74"/>
  <c r="P155" i="74"/>
  <c r="O155" i="74"/>
  <c r="N155" i="74"/>
  <c r="M155" i="74"/>
  <c r="L155" i="74"/>
  <c r="K155" i="74"/>
  <c r="J155" i="74"/>
  <c r="I155" i="74"/>
  <c r="H155" i="74"/>
  <c r="F155" i="74"/>
  <c r="P154" i="74"/>
  <c r="O154" i="74"/>
  <c r="N154" i="74"/>
  <c r="M154" i="74"/>
  <c r="L154" i="74"/>
  <c r="K154" i="74"/>
  <c r="J154" i="74"/>
  <c r="I154" i="74"/>
  <c r="H154" i="74"/>
  <c r="F154" i="74"/>
  <c r="P153" i="74"/>
  <c r="O153" i="74"/>
  <c r="N153" i="74"/>
  <c r="M153" i="74"/>
  <c r="L153" i="74"/>
  <c r="K153" i="74"/>
  <c r="J153" i="74"/>
  <c r="I153" i="74"/>
  <c r="H153" i="74"/>
  <c r="F153" i="74"/>
  <c r="P152" i="74"/>
  <c r="O152" i="74"/>
  <c r="N152" i="74"/>
  <c r="M152" i="74"/>
  <c r="L152" i="74"/>
  <c r="K152" i="74"/>
  <c r="J152" i="74"/>
  <c r="I152" i="74"/>
  <c r="H152" i="74"/>
  <c r="F152" i="74"/>
  <c r="P151" i="74"/>
  <c r="O151" i="74"/>
  <c r="N151" i="74"/>
  <c r="M151" i="74"/>
  <c r="L151" i="74"/>
  <c r="K151" i="74"/>
  <c r="J151" i="74"/>
  <c r="I151" i="74"/>
  <c r="H151" i="74"/>
  <c r="F151" i="74"/>
  <c r="P150" i="74"/>
  <c r="O150" i="74"/>
  <c r="N150" i="74"/>
  <c r="M150" i="74"/>
  <c r="L150" i="74"/>
  <c r="K150" i="74"/>
  <c r="J150" i="74"/>
  <c r="I150" i="74"/>
  <c r="H150" i="74"/>
  <c r="F150" i="74"/>
  <c r="P149" i="74"/>
  <c r="O149" i="74"/>
  <c r="N149" i="74"/>
  <c r="M149" i="74"/>
  <c r="L149" i="74"/>
  <c r="K149" i="74"/>
  <c r="J149" i="74"/>
  <c r="I149" i="74"/>
  <c r="H149" i="74"/>
  <c r="F149" i="74"/>
  <c r="P148" i="74"/>
  <c r="O148" i="74"/>
  <c r="N148" i="74"/>
  <c r="M148" i="74"/>
  <c r="L148" i="74"/>
  <c r="K148" i="74"/>
  <c r="J148" i="74"/>
  <c r="I148" i="74"/>
  <c r="H148" i="74"/>
  <c r="F148" i="74"/>
  <c r="P147" i="74"/>
  <c r="O147" i="74"/>
  <c r="N147" i="74"/>
  <c r="M147" i="74"/>
  <c r="L147" i="74"/>
  <c r="K147" i="74"/>
  <c r="J147" i="74"/>
  <c r="I147" i="74"/>
  <c r="H147" i="74"/>
  <c r="F147" i="74"/>
  <c r="P146" i="74"/>
  <c r="O146" i="74"/>
  <c r="N146" i="74"/>
  <c r="M146" i="74"/>
  <c r="L146" i="74"/>
  <c r="K146" i="74"/>
  <c r="J146" i="74"/>
  <c r="I146" i="74"/>
  <c r="H146" i="74"/>
  <c r="F146" i="74"/>
  <c r="P145" i="74"/>
  <c r="O145" i="74"/>
  <c r="N145" i="74"/>
  <c r="M145" i="74"/>
  <c r="L145" i="74"/>
  <c r="K145" i="74"/>
  <c r="J145" i="74"/>
  <c r="I145" i="74"/>
  <c r="H145" i="74"/>
  <c r="F145" i="74"/>
  <c r="P144" i="74"/>
  <c r="O144" i="74"/>
  <c r="N144" i="74"/>
  <c r="M144" i="74"/>
  <c r="L144" i="74"/>
  <c r="K144" i="74"/>
  <c r="J144" i="74"/>
  <c r="I144" i="74"/>
  <c r="H144" i="74"/>
  <c r="F144" i="74"/>
  <c r="P143" i="74"/>
  <c r="O143" i="74"/>
  <c r="N143" i="74"/>
  <c r="M143" i="74"/>
  <c r="L143" i="74"/>
  <c r="K143" i="74"/>
  <c r="J143" i="74"/>
  <c r="I143" i="74"/>
  <c r="H143" i="74"/>
  <c r="F143" i="74"/>
  <c r="P142" i="74"/>
  <c r="O142" i="74"/>
  <c r="N142" i="74"/>
  <c r="M142" i="74"/>
  <c r="L142" i="74"/>
  <c r="K142" i="74"/>
  <c r="J142" i="74"/>
  <c r="I142" i="74"/>
  <c r="H142" i="74"/>
  <c r="F142" i="74"/>
  <c r="P141" i="74"/>
  <c r="O141" i="74"/>
  <c r="N141" i="74"/>
  <c r="M141" i="74"/>
  <c r="L141" i="74"/>
  <c r="K141" i="74"/>
  <c r="J141" i="74"/>
  <c r="I141" i="74"/>
  <c r="H141" i="74"/>
  <c r="F141" i="74"/>
  <c r="P140" i="74"/>
  <c r="O140" i="74"/>
  <c r="N140" i="74"/>
  <c r="M140" i="74"/>
  <c r="L140" i="74"/>
  <c r="K140" i="74"/>
  <c r="J140" i="74"/>
  <c r="I140" i="74"/>
  <c r="H140" i="74"/>
  <c r="F140" i="74"/>
  <c r="P139" i="74"/>
  <c r="O139" i="74"/>
  <c r="N139" i="74"/>
  <c r="M139" i="74"/>
  <c r="L139" i="74"/>
  <c r="K139" i="74"/>
  <c r="J139" i="74"/>
  <c r="I139" i="74"/>
  <c r="H139" i="74"/>
  <c r="F139" i="74"/>
  <c r="P138" i="74"/>
  <c r="O138" i="74"/>
  <c r="N138" i="74"/>
  <c r="M138" i="74"/>
  <c r="L138" i="74"/>
  <c r="K138" i="74"/>
  <c r="J138" i="74"/>
  <c r="I138" i="74"/>
  <c r="H138" i="74"/>
  <c r="F138" i="74"/>
  <c r="P137" i="74"/>
  <c r="O137" i="74"/>
  <c r="N137" i="74"/>
  <c r="M137" i="74"/>
  <c r="L137" i="74"/>
  <c r="K137" i="74"/>
  <c r="J137" i="74"/>
  <c r="I137" i="74"/>
  <c r="H137" i="74"/>
  <c r="F137" i="74"/>
  <c r="P136" i="74"/>
  <c r="O136" i="74"/>
  <c r="N136" i="74"/>
  <c r="M136" i="74"/>
  <c r="L136" i="74"/>
  <c r="K136" i="74"/>
  <c r="J136" i="74"/>
  <c r="I136" i="74"/>
  <c r="H136" i="74"/>
  <c r="F136" i="74"/>
  <c r="P135" i="74"/>
  <c r="O135" i="74"/>
  <c r="N135" i="74"/>
  <c r="M135" i="74"/>
  <c r="L135" i="74"/>
  <c r="K135" i="74"/>
  <c r="J135" i="74"/>
  <c r="I135" i="74"/>
  <c r="H135" i="74"/>
  <c r="F135" i="74"/>
  <c r="P134" i="74"/>
  <c r="O134" i="74"/>
  <c r="N134" i="74"/>
  <c r="M134" i="74"/>
  <c r="L134" i="74"/>
  <c r="K134" i="74"/>
  <c r="J134" i="74"/>
  <c r="I134" i="74"/>
  <c r="H134" i="74"/>
  <c r="F134" i="74"/>
  <c r="P133" i="74"/>
  <c r="O133" i="74"/>
  <c r="N133" i="74"/>
  <c r="M133" i="74"/>
  <c r="L133" i="74"/>
  <c r="K133" i="74"/>
  <c r="J133" i="74"/>
  <c r="I133" i="74"/>
  <c r="H133" i="74"/>
  <c r="F133" i="74"/>
  <c r="P132" i="74"/>
  <c r="O132" i="74"/>
  <c r="N132" i="74"/>
  <c r="M132" i="74"/>
  <c r="L132" i="74"/>
  <c r="K132" i="74"/>
  <c r="J132" i="74"/>
  <c r="I132" i="74"/>
  <c r="H132" i="74"/>
  <c r="F132" i="74"/>
  <c r="P131" i="74"/>
  <c r="O131" i="74"/>
  <c r="N131" i="74"/>
  <c r="M131" i="74"/>
  <c r="L131" i="74"/>
  <c r="K131" i="74"/>
  <c r="J131" i="74"/>
  <c r="I131" i="74"/>
  <c r="H131" i="74"/>
  <c r="F131" i="74"/>
  <c r="P130" i="74"/>
  <c r="O130" i="74"/>
  <c r="N130" i="74"/>
  <c r="M130" i="74"/>
  <c r="L130" i="74"/>
  <c r="K130" i="74"/>
  <c r="J130" i="74"/>
  <c r="I130" i="74"/>
  <c r="H130" i="74"/>
  <c r="F130" i="74"/>
  <c r="P129" i="74"/>
  <c r="O129" i="74"/>
  <c r="N129" i="74"/>
  <c r="M129" i="74"/>
  <c r="L129" i="74"/>
  <c r="K129" i="74"/>
  <c r="J129" i="74"/>
  <c r="I129" i="74"/>
  <c r="H129" i="74"/>
  <c r="F129" i="74"/>
  <c r="P128" i="74"/>
  <c r="O128" i="74"/>
  <c r="N128" i="74"/>
  <c r="M128" i="74"/>
  <c r="L128" i="74"/>
  <c r="K128" i="74"/>
  <c r="J128" i="74"/>
  <c r="I128" i="74"/>
  <c r="H128" i="74"/>
  <c r="F128" i="74"/>
  <c r="P127" i="74"/>
  <c r="O127" i="74"/>
  <c r="N127" i="74"/>
  <c r="M127" i="74"/>
  <c r="L127" i="74"/>
  <c r="K127" i="74"/>
  <c r="J127" i="74"/>
  <c r="I127" i="74"/>
  <c r="H127" i="74"/>
  <c r="F127" i="74"/>
  <c r="P126" i="74"/>
  <c r="O126" i="74"/>
  <c r="N126" i="74"/>
  <c r="M126" i="74"/>
  <c r="L126" i="74"/>
  <c r="K126" i="74"/>
  <c r="J126" i="74"/>
  <c r="I126" i="74"/>
  <c r="H126" i="74"/>
  <c r="F126" i="74"/>
  <c r="P125" i="74"/>
  <c r="O125" i="74"/>
  <c r="N125" i="74"/>
  <c r="M125" i="74"/>
  <c r="L125" i="74"/>
  <c r="K125" i="74"/>
  <c r="J125" i="74"/>
  <c r="I125" i="74"/>
  <c r="H125" i="74"/>
  <c r="F125" i="74"/>
  <c r="P124" i="74"/>
  <c r="O124" i="74"/>
  <c r="N124" i="74"/>
  <c r="M124" i="74"/>
  <c r="L124" i="74"/>
  <c r="K124" i="74"/>
  <c r="J124" i="74"/>
  <c r="I124" i="74"/>
  <c r="H124" i="74"/>
  <c r="F124" i="74"/>
  <c r="P123" i="74"/>
  <c r="O123" i="74"/>
  <c r="N123" i="74"/>
  <c r="M123" i="74"/>
  <c r="L123" i="74"/>
  <c r="K123" i="74"/>
  <c r="J123" i="74"/>
  <c r="I123" i="74"/>
  <c r="H123" i="74"/>
  <c r="F123" i="74"/>
  <c r="P122" i="74"/>
  <c r="O122" i="74"/>
  <c r="N122" i="74"/>
  <c r="M122" i="74"/>
  <c r="L122" i="74"/>
  <c r="K122" i="74"/>
  <c r="J122" i="74"/>
  <c r="I122" i="74"/>
  <c r="H122" i="74"/>
  <c r="F122" i="74"/>
  <c r="P121" i="74"/>
  <c r="O121" i="74"/>
  <c r="N121" i="74"/>
  <c r="M121" i="74"/>
  <c r="L121" i="74"/>
  <c r="K121" i="74"/>
  <c r="J121" i="74"/>
  <c r="I121" i="74"/>
  <c r="H121" i="74"/>
  <c r="F121" i="74"/>
  <c r="P120" i="74"/>
  <c r="O120" i="74"/>
  <c r="N120" i="74"/>
  <c r="M120" i="74"/>
  <c r="L120" i="74"/>
  <c r="K120" i="74"/>
  <c r="J120" i="74"/>
  <c r="I120" i="74"/>
  <c r="H120" i="74"/>
  <c r="F120" i="74"/>
  <c r="P119" i="74"/>
  <c r="O119" i="74"/>
  <c r="N119" i="74"/>
  <c r="M119" i="74"/>
  <c r="L119" i="74"/>
  <c r="K119" i="74"/>
  <c r="J119" i="74"/>
  <c r="I119" i="74"/>
  <c r="H119" i="74"/>
  <c r="F119" i="74"/>
  <c r="P118" i="74"/>
  <c r="O118" i="74"/>
  <c r="N118" i="74"/>
  <c r="M118" i="74"/>
  <c r="L118" i="74"/>
  <c r="K118" i="74"/>
  <c r="J118" i="74"/>
  <c r="I118" i="74"/>
  <c r="H118" i="74"/>
  <c r="F118" i="74"/>
  <c r="P117" i="74"/>
  <c r="O117" i="74"/>
  <c r="N117" i="74"/>
  <c r="M117" i="74"/>
  <c r="L117" i="74"/>
  <c r="K117" i="74"/>
  <c r="J117" i="74"/>
  <c r="I117" i="74"/>
  <c r="H117" i="74"/>
  <c r="F117" i="74"/>
  <c r="P116" i="74"/>
  <c r="O116" i="74"/>
  <c r="N116" i="74"/>
  <c r="M116" i="74"/>
  <c r="L116" i="74"/>
  <c r="K116" i="74"/>
  <c r="J116" i="74"/>
  <c r="I116" i="74"/>
  <c r="H116" i="74"/>
  <c r="F116" i="74"/>
  <c r="P115" i="74"/>
  <c r="O115" i="74"/>
  <c r="N115" i="74"/>
  <c r="M115" i="74"/>
  <c r="L115" i="74"/>
  <c r="K115" i="74"/>
  <c r="J115" i="74"/>
  <c r="I115" i="74"/>
  <c r="H115" i="74"/>
  <c r="F115" i="74"/>
  <c r="P114" i="74"/>
  <c r="O114" i="74"/>
  <c r="N114" i="74"/>
  <c r="M114" i="74"/>
  <c r="L114" i="74"/>
  <c r="K114" i="74"/>
  <c r="J114" i="74"/>
  <c r="I114" i="74"/>
  <c r="H114" i="74"/>
  <c r="F114" i="74"/>
  <c r="P113" i="74"/>
  <c r="O113" i="74"/>
  <c r="N113" i="74"/>
  <c r="M113" i="74"/>
  <c r="L113" i="74"/>
  <c r="K113" i="74"/>
  <c r="J113" i="74"/>
  <c r="I113" i="74"/>
  <c r="H113" i="74"/>
  <c r="F113" i="74"/>
  <c r="P112" i="74"/>
  <c r="O112" i="74"/>
  <c r="N112" i="74"/>
  <c r="M112" i="74"/>
  <c r="L112" i="74"/>
  <c r="K112" i="74"/>
  <c r="J112" i="74"/>
  <c r="I112" i="74"/>
  <c r="H112" i="74"/>
  <c r="F112" i="74"/>
  <c r="P111" i="74"/>
  <c r="O111" i="74"/>
  <c r="N111" i="74"/>
  <c r="M111" i="74"/>
  <c r="L111" i="74"/>
  <c r="K111" i="74"/>
  <c r="J111" i="74"/>
  <c r="I111" i="74"/>
  <c r="H111" i="74"/>
  <c r="F111" i="74"/>
  <c r="P110" i="74"/>
  <c r="O110" i="74"/>
  <c r="N110" i="74"/>
  <c r="M110" i="74"/>
  <c r="L110" i="74"/>
  <c r="K110" i="74"/>
  <c r="J110" i="74"/>
  <c r="I110" i="74"/>
  <c r="H110" i="74"/>
  <c r="F110" i="74"/>
  <c r="P109" i="74"/>
  <c r="O109" i="74"/>
  <c r="N109" i="74"/>
  <c r="M109" i="74"/>
  <c r="L109" i="74"/>
  <c r="K109" i="74"/>
  <c r="J109" i="74"/>
  <c r="I109" i="74"/>
  <c r="H109" i="74"/>
  <c r="F109" i="74"/>
  <c r="P108" i="74"/>
  <c r="O108" i="74"/>
  <c r="N108" i="74"/>
  <c r="M108" i="74"/>
  <c r="L108" i="74"/>
  <c r="K108" i="74"/>
  <c r="J108" i="74"/>
  <c r="I108" i="74"/>
  <c r="H108" i="74"/>
  <c r="F108" i="74"/>
  <c r="P107" i="74"/>
  <c r="O107" i="74"/>
  <c r="N107" i="74"/>
  <c r="M107" i="74"/>
  <c r="L107" i="74"/>
  <c r="K107" i="74"/>
  <c r="J107" i="74"/>
  <c r="I107" i="74"/>
  <c r="H107" i="74"/>
  <c r="F107" i="74"/>
  <c r="P106" i="74"/>
  <c r="O106" i="74"/>
  <c r="N106" i="74"/>
  <c r="M106" i="74"/>
  <c r="L106" i="74"/>
  <c r="K106" i="74"/>
  <c r="J106" i="74"/>
  <c r="I106" i="74"/>
  <c r="H106" i="74"/>
  <c r="F106" i="74"/>
  <c r="P105" i="74"/>
  <c r="O105" i="74"/>
  <c r="N105" i="74"/>
  <c r="M105" i="74"/>
  <c r="L105" i="74"/>
  <c r="K105" i="74"/>
  <c r="J105" i="74"/>
  <c r="I105" i="74"/>
  <c r="H105" i="74"/>
  <c r="F105" i="74"/>
  <c r="P104" i="74"/>
  <c r="O104" i="74"/>
  <c r="N104" i="74"/>
  <c r="M104" i="74"/>
  <c r="L104" i="74"/>
  <c r="K104" i="74"/>
  <c r="J104" i="74"/>
  <c r="I104" i="74"/>
  <c r="H104" i="74"/>
  <c r="F104" i="74"/>
  <c r="P103" i="74"/>
  <c r="O103" i="74"/>
  <c r="N103" i="74"/>
  <c r="M103" i="74"/>
  <c r="L103" i="74"/>
  <c r="K103" i="74"/>
  <c r="J103" i="74"/>
  <c r="I103" i="74"/>
  <c r="H103" i="74"/>
  <c r="F103" i="74"/>
  <c r="P102" i="74"/>
  <c r="O102" i="74"/>
  <c r="N102" i="74"/>
  <c r="M102" i="74"/>
  <c r="L102" i="74"/>
  <c r="K102" i="74"/>
  <c r="J102" i="74"/>
  <c r="I102" i="74"/>
  <c r="H102" i="74"/>
  <c r="F102" i="74"/>
  <c r="P101" i="74"/>
  <c r="O101" i="74"/>
  <c r="N101" i="74"/>
  <c r="M101" i="74"/>
  <c r="L101" i="74"/>
  <c r="K101" i="74"/>
  <c r="J101" i="74"/>
  <c r="I101" i="74"/>
  <c r="H101" i="74"/>
  <c r="F101" i="74"/>
  <c r="P100" i="74"/>
  <c r="O100" i="74"/>
  <c r="N100" i="74"/>
  <c r="M100" i="74"/>
  <c r="L100" i="74"/>
  <c r="K100" i="74"/>
  <c r="J100" i="74"/>
  <c r="I100" i="74"/>
  <c r="H100" i="74"/>
  <c r="F100" i="74"/>
  <c r="P99" i="74"/>
  <c r="O99" i="74"/>
  <c r="N99" i="74"/>
  <c r="M99" i="74"/>
  <c r="L99" i="74"/>
  <c r="K99" i="74"/>
  <c r="J99" i="74"/>
  <c r="I99" i="74"/>
  <c r="H99" i="74"/>
  <c r="F99" i="74"/>
  <c r="P98" i="74"/>
  <c r="O98" i="74"/>
  <c r="N98" i="74"/>
  <c r="M98" i="74"/>
  <c r="L98" i="74"/>
  <c r="K98" i="74"/>
  <c r="J98" i="74"/>
  <c r="I98" i="74"/>
  <c r="H98" i="74"/>
  <c r="F98" i="74"/>
  <c r="P97" i="74"/>
  <c r="O97" i="74"/>
  <c r="N97" i="74"/>
  <c r="M97" i="74"/>
  <c r="L97" i="74"/>
  <c r="K97" i="74"/>
  <c r="J97" i="74"/>
  <c r="I97" i="74"/>
  <c r="H97" i="74"/>
  <c r="F97" i="74"/>
  <c r="P96" i="74"/>
  <c r="O96" i="74"/>
  <c r="N96" i="74"/>
  <c r="M96" i="74"/>
  <c r="L96" i="74"/>
  <c r="K96" i="74"/>
  <c r="J96" i="74"/>
  <c r="I96" i="74"/>
  <c r="H96" i="74"/>
  <c r="F96" i="74"/>
  <c r="P95" i="74"/>
  <c r="O95" i="74"/>
  <c r="N95" i="74"/>
  <c r="M95" i="74"/>
  <c r="L95" i="74"/>
  <c r="K95" i="74"/>
  <c r="J95" i="74"/>
  <c r="I95" i="74"/>
  <c r="H95" i="74"/>
  <c r="F95" i="74"/>
  <c r="P94" i="74"/>
  <c r="O94" i="74"/>
  <c r="N94" i="74"/>
  <c r="M94" i="74"/>
  <c r="L94" i="74"/>
  <c r="K94" i="74"/>
  <c r="J94" i="74"/>
  <c r="I94" i="74"/>
  <c r="H94" i="74"/>
  <c r="F94" i="74"/>
  <c r="P93" i="74"/>
  <c r="O93" i="74"/>
  <c r="N93" i="74"/>
  <c r="M93" i="74"/>
  <c r="L93" i="74"/>
  <c r="K93" i="74"/>
  <c r="J93" i="74"/>
  <c r="I93" i="74"/>
  <c r="H93" i="74"/>
  <c r="F93" i="74"/>
  <c r="P92" i="74"/>
  <c r="O92" i="74"/>
  <c r="N92" i="74"/>
  <c r="M92" i="74"/>
  <c r="L92" i="74"/>
  <c r="K92" i="74"/>
  <c r="J92" i="74"/>
  <c r="I92" i="74"/>
  <c r="H92" i="74"/>
  <c r="F92" i="74"/>
  <c r="P91" i="74"/>
  <c r="O91" i="74"/>
  <c r="N91" i="74"/>
  <c r="M91" i="74"/>
  <c r="L91" i="74"/>
  <c r="K91" i="74"/>
  <c r="J91" i="74"/>
  <c r="I91" i="74"/>
  <c r="H91" i="74"/>
  <c r="F91" i="74"/>
  <c r="P90" i="74"/>
  <c r="O90" i="74"/>
  <c r="N90" i="74"/>
  <c r="M90" i="74"/>
  <c r="L90" i="74"/>
  <c r="K90" i="74"/>
  <c r="J90" i="74"/>
  <c r="I90" i="74"/>
  <c r="H90" i="74"/>
  <c r="F90" i="74"/>
  <c r="P89" i="74"/>
  <c r="O89" i="74"/>
  <c r="N89" i="74"/>
  <c r="M89" i="74"/>
  <c r="L89" i="74"/>
  <c r="K89" i="74"/>
  <c r="J89" i="74"/>
  <c r="I89" i="74"/>
  <c r="H89" i="74"/>
  <c r="F89" i="74"/>
  <c r="P88" i="74"/>
  <c r="O88" i="74"/>
  <c r="N88" i="74"/>
  <c r="M88" i="74"/>
  <c r="L88" i="74"/>
  <c r="K88" i="74"/>
  <c r="J88" i="74"/>
  <c r="I88" i="74"/>
  <c r="H88" i="74"/>
  <c r="F88" i="74"/>
  <c r="P87" i="74"/>
  <c r="O87" i="74"/>
  <c r="N87" i="74"/>
  <c r="M87" i="74"/>
  <c r="L87" i="74"/>
  <c r="K87" i="74"/>
  <c r="J87" i="74"/>
  <c r="I87" i="74"/>
  <c r="H87" i="74"/>
  <c r="F87" i="74"/>
  <c r="P86" i="74"/>
  <c r="O86" i="74"/>
  <c r="N86" i="74"/>
  <c r="M86" i="74"/>
  <c r="L86" i="74"/>
  <c r="K86" i="74"/>
  <c r="J86" i="74"/>
  <c r="I86" i="74"/>
  <c r="H86" i="74"/>
  <c r="F86" i="74"/>
  <c r="P85" i="74"/>
  <c r="O85" i="74"/>
  <c r="N85" i="74"/>
  <c r="M85" i="74"/>
  <c r="L85" i="74"/>
  <c r="K85" i="74"/>
  <c r="J85" i="74"/>
  <c r="I85" i="74"/>
  <c r="H85" i="74"/>
  <c r="F85" i="74"/>
  <c r="P84" i="74"/>
  <c r="O84" i="74"/>
  <c r="N84" i="74"/>
  <c r="M84" i="74"/>
  <c r="L84" i="74"/>
  <c r="K84" i="74"/>
  <c r="J84" i="74"/>
  <c r="I84" i="74"/>
  <c r="H84" i="74"/>
  <c r="F84" i="74"/>
  <c r="P83" i="74"/>
  <c r="O83" i="74"/>
  <c r="N83" i="74"/>
  <c r="M83" i="74"/>
  <c r="L83" i="74"/>
  <c r="K83" i="74"/>
  <c r="J83" i="74"/>
  <c r="I83" i="74"/>
  <c r="H83" i="74"/>
  <c r="F83" i="74"/>
  <c r="P82" i="74"/>
  <c r="O82" i="74"/>
  <c r="N82" i="74"/>
  <c r="M82" i="74"/>
  <c r="L82" i="74"/>
  <c r="K82" i="74"/>
  <c r="J82" i="74"/>
  <c r="I82" i="74"/>
  <c r="H82" i="74"/>
  <c r="F82" i="74"/>
  <c r="P81" i="74"/>
  <c r="O81" i="74"/>
  <c r="N81" i="74"/>
  <c r="M81" i="74"/>
  <c r="L81" i="74"/>
  <c r="K81" i="74"/>
  <c r="J81" i="74"/>
  <c r="I81" i="74"/>
  <c r="H81" i="74"/>
  <c r="F81" i="74"/>
  <c r="P80" i="74"/>
  <c r="O80" i="74"/>
  <c r="N80" i="74"/>
  <c r="M80" i="74"/>
  <c r="L80" i="74"/>
  <c r="K80" i="74"/>
  <c r="J80" i="74"/>
  <c r="I80" i="74"/>
  <c r="H80" i="74"/>
  <c r="F80" i="74"/>
  <c r="P79" i="74"/>
  <c r="O79" i="74"/>
  <c r="N79" i="74"/>
  <c r="M79" i="74"/>
  <c r="L79" i="74"/>
  <c r="K79" i="74"/>
  <c r="J79" i="74"/>
  <c r="I79" i="74"/>
  <c r="H79" i="74"/>
  <c r="F79" i="74"/>
  <c r="P78" i="74"/>
  <c r="O78" i="74"/>
  <c r="N78" i="74"/>
  <c r="M78" i="74"/>
  <c r="L78" i="74"/>
  <c r="K78" i="74"/>
  <c r="J78" i="74"/>
  <c r="I78" i="74"/>
  <c r="H78" i="74"/>
  <c r="F78" i="74"/>
  <c r="P77" i="74"/>
  <c r="O77" i="74"/>
  <c r="N77" i="74"/>
  <c r="M77" i="74"/>
  <c r="L77" i="74"/>
  <c r="K77" i="74"/>
  <c r="J77" i="74"/>
  <c r="I77" i="74"/>
  <c r="H77" i="74"/>
  <c r="F77" i="74"/>
  <c r="P76" i="74"/>
  <c r="O76" i="74"/>
  <c r="N76" i="74"/>
  <c r="M76" i="74"/>
  <c r="L76" i="74"/>
  <c r="K76" i="74"/>
  <c r="J76" i="74"/>
  <c r="I76" i="74"/>
  <c r="H76" i="74"/>
  <c r="F76" i="74"/>
  <c r="P75" i="74"/>
  <c r="O75" i="74"/>
  <c r="N75" i="74"/>
  <c r="M75" i="74"/>
  <c r="L75" i="74"/>
  <c r="K75" i="74"/>
  <c r="J75" i="74"/>
  <c r="I75" i="74"/>
  <c r="H75" i="74"/>
  <c r="F75" i="74"/>
  <c r="P74" i="74"/>
  <c r="O74" i="74"/>
  <c r="N74" i="74"/>
  <c r="M74" i="74"/>
  <c r="L74" i="74"/>
  <c r="K74" i="74"/>
  <c r="J74" i="74"/>
  <c r="I74" i="74"/>
  <c r="H74" i="74"/>
  <c r="F74" i="74"/>
  <c r="P73" i="74"/>
  <c r="O73" i="74"/>
  <c r="N73" i="74"/>
  <c r="M73" i="74"/>
  <c r="L73" i="74"/>
  <c r="K73" i="74"/>
  <c r="J73" i="74"/>
  <c r="I73" i="74"/>
  <c r="H73" i="74"/>
  <c r="F73" i="74"/>
  <c r="P72" i="74"/>
  <c r="O72" i="74"/>
  <c r="N72" i="74"/>
  <c r="M72" i="74"/>
  <c r="L72" i="74"/>
  <c r="K72" i="74"/>
  <c r="J72" i="74"/>
  <c r="I72" i="74"/>
  <c r="H72" i="74"/>
  <c r="F72" i="74"/>
  <c r="P71" i="74"/>
  <c r="O71" i="74"/>
  <c r="N71" i="74"/>
  <c r="M71" i="74"/>
  <c r="L71" i="74"/>
  <c r="K71" i="74"/>
  <c r="J71" i="74"/>
  <c r="I71" i="74"/>
  <c r="H71" i="74"/>
  <c r="F71" i="74"/>
  <c r="P70" i="74"/>
  <c r="O70" i="74"/>
  <c r="N70" i="74"/>
  <c r="M70" i="74"/>
  <c r="L70" i="74"/>
  <c r="K70" i="74"/>
  <c r="J70" i="74"/>
  <c r="I70" i="74"/>
  <c r="H70" i="74"/>
  <c r="F70" i="74"/>
  <c r="P69" i="74"/>
  <c r="O69" i="74"/>
  <c r="N69" i="74"/>
  <c r="M69" i="74"/>
  <c r="L69" i="74"/>
  <c r="K69" i="74"/>
  <c r="J69" i="74"/>
  <c r="I69" i="74"/>
  <c r="H69" i="74"/>
  <c r="F69" i="74"/>
  <c r="P68" i="74"/>
  <c r="O68" i="74"/>
  <c r="N68" i="74"/>
  <c r="M68" i="74"/>
  <c r="L68" i="74"/>
  <c r="K68" i="74"/>
  <c r="J68" i="74"/>
  <c r="I68" i="74"/>
  <c r="H68" i="74"/>
  <c r="F68" i="74"/>
  <c r="P67" i="74"/>
  <c r="O67" i="74"/>
  <c r="N67" i="74"/>
  <c r="M67" i="74"/>
  <c r="L67" i="74"/>
  <c r="K67" i="74"/>
  <c r="J67" i="74"/>
  <c r="I67" i="74"/>
  <c r="H67" i="74"/>
  <c r="F67" i="74"/>
  <c r="P66" i="74"/>
  <c r="O66" i="74"/>
  <c r="N66" i="74"/>
  <c r="M66" i="74"/>
  <c r="L66" i="74"/>
  <c r="K66" i="74"/>
  <c r="J66" i="74"/>
  <c r="I66" i="74"/>
  <c r="H66" i="74"/>
  <c r="F66" i="74"/>
  <c r="P65" i="74"/>
  <c r="O65" i="74"/>
  <c r="N65" i="74"/>
  <c r="M65" i="74"/>
  <c r="L65" i="74"/>
  <c r="K65" i="74"/>
  <c r="J65" i="74"/>
  <c r="I65" i="74"/>
  <c r="H65" i="74"/>
  <c r="F65" i="74"/>
  <c r="P64" i="74"/>
  <c r="O64" i="74"/>
  <c r="N64" i="74"/>
  <c r="M64" i="74"/>
  <c r="L64" i="74"/>
  <c r="K64" i="74"/>
  <c r="J64" i="74"/>
  <c r="I64" i="74"/>
  <c r="H64" i="74"/>
  <c r="F64" i="74"/>
  <c r="P63" i="74"/>
  <c r="O63" i="74"/>
  <c r="N63" i="74"/>
  <c r="M63" i="74"/>
  <c r="L63" i="74"/>
  <c r="K63" i="74"/>
  <c r="J63" i="74"/>
  <c r="I63" i="74"/>
  <c r="H63" i="74"/>
  <c r="F63" i="74"/>
  <c r="P62" i="74"/>
  <c r="O62" i="74"/>
  <c r="N62" i="74"/>
  <c r="M62" i="74"/>
  <c r="L62" i="74"/>
  <c r="K62" i="74"/>
  <c r="J62" i="74"/>
  <c r="I62" i="74"/>
  <c r="H62" i="74"/>
  <c r="F62" i="74"/>
  <c r="P61" i="74"/>
  <c r="O61" i="74"/>
  <c r="N61" i="74"/>
  <c r="M61" i="74"/>
  <c r="L61" i="74"/>
  <c r="K61" i="74"/>
  <c r="J61" i="74"/>
  <c r="I61" i="74"/>
  <c r="H61" i="74"/>
  <c r="F61" i="74"/>
  <c r="P60" i="74"/>
  <c r="O60" i="74"/>
  <c r="N60" i="74"/>
  <c r="M60" i="74"/>
  <c r="L60" i="74"/>
  <c r="K60" i="74"/>
  <c r="J60" i="74"/>
  <c r="I60" i="74"/>
  <c r="H60" i="74"/>
  <c r="F60" i="74"/>
  <c r="P59" i="74"/>
  <c r="O59" i="74"/>
  <c r="N59" i="74"/>
  <c r="M59" i="74"/>
  <c r="L59" i="74"/>
  <c r="K59" i="74"/>
  <c r="J59" i="74"/>
  <c r="I59" i="74"/>
  <c r="H59" i="74"/>
  <c r="F59" i="74"/>
  <c r="P58" i="74"/>
  <c r="O58" i="74"/>
  <c r="N58" i="74"/>
  <c r="M58" i="74"/>
  <c r="L58" i="74"/>
  <c r="K58" i="74"/>
  <c r="J58" i="74"/>
  <c r="I58" i="74"/>
  <c r="H58" i="74"/>
  <c r="F58" i="74"/>
  <c r="P57" i="74"/>
  <c r="O57" i="74"/>
  <c r="N57" i="74"/>
  <c r="M57" i="74"/>
  <c r="L57" i="74"/>
  <c r="K57" i="74"/>
  <c r="J57" i="74"/>
  <c r="I57" i="74"/>
  <c r="H57" i="74"/>
  <c r="F57" i="74"/>
  <c r="P56" i="74"/>
  <c r="O56" i="74"/>
  <c r="N56" i="74"/>
  <c r="M56" i="74"/>
  <c r="L56" i="74"/>
  <c r="K56" i="74"/>
  <c r="J56" i="74"/>
  <c r="I56" i="74"/>
  <c r="H56" i="74"/>
  <c r="F56" i="74"/>
  <c r="P55" i="74"/>
  <c r="O55" i="74"/>
  <c r="N55" i="74"/>
  <c r="M55" i="74"/>
  <c r="L55" i="74"/>
  <c r="K55" i="74"/>
  <c r="J55" i="74"/>
  <c r="I55" i="74"/>
  <c r="H55" i="74"/>
  <c r="F55" i="74"/>
  <c r="P54" i="74"/>
  <c r="O54" i="74"/>
  <c r="N54" i="74"/>
  <c r="M54" i="74"/>
  <c r="L54" i="74"/>
  <c r="K54" i="74"/>
  <c r="J54" i="74"/>
  <c r="I54" i="74"/>
  <c r="H54" i="74"/>
  <c r="F54" i="74"/>
  <c r="P53" i="74"/>
  <c r="O53" i="74"/>
  <c r="N53" i="74"/>
  <c r="M53" i="74"/>
  <c r="L53" i="74"/>
  <c r="K53" i="74"/>
  <c r="J53" i="74"/>
  <c r="I53" i="74"/>
  <c r="H53" i="74"/>
  <c r="F53" i="74"/>
  <c r="P52" i="74"/>
  <c r="O52" i="74"/>
  <c r="N52" i="74"/>
  <c r="M52" i="74"/>
  <c r="L52" i="74"/>
  <c r="K52" i="74"/>
  <c r="J52" i="74"/>
  <c r="I52" i="74"/>
  <c r="H52" i="74"/>
  <c r="F52" i="74"/>
  <c r="P51" i="74"/>
  <c r="O51" i="74"/>
  <c r="N51" i="74"/>
  <c r="M51" i="74"/>
  <c r="L51" i="74"/>
  <c r="K51" i="74"/>
  <c r="J51" i="74"/>
  <c r="I51" i="74"/>
  <c r="H51" i="74"/>
  <c r="F51" i="74"/>
  <c r="P50" i="74"/>
  <c r="O50" i="74"/>
  <c r="N50" i="74"/>
  <c r="M50" i="74"/>
  <c r="L50" i="74"/>
  <c r="K50" i="74"/>
  <c r="J50" i="74"/>
  <c r="I50" i="74"/>
  <c r="H50" i="74"/>
  <c r="F50" i="74"/>
  <c r="P49" i="74"/>
  <c r="O49" i="74"/>
  <c r="N49" i="74"/>
  <c r="M49" i="74"/>
  <c r="L49" i="74"/>
  <c r="K49" i="74"/>
  <c r="J49" i="74"/>
  <c r="I49" i="74"/>
  <c r="H49" i="74"/>
  <c r="F49" i="74"/>
  <c r="P48" i="74"/>
  <c r="O48" i="74"/>
  <c r="N48" i="74"/>
  <c r="M48" i="74"/>
  <c r="L48" i="74"/>
  <c r="K48" i="74"/>
  <c r="J48" i="74"/>
  <c r="I48" i="74"/>
  <c r="H48" i="74"/>
  <c r="F48" i="74"/>
  <c r="P47" i="74"/>
  <c r="O47" i="74"/>
  <c r="N47" i="74"/>
  <c r="M47" i="74"/>
  <c r="L47" i="74"/>
  <c r="K47" i="74"/>
  <c r="J47" i="74"/>
  <c r="I47" i="74"/>
  <c r="H47" i="74"/>
  <c r="F47" i="74"/>
  <c r="P46" i="74"/>
  <c r="O46" i="74"/>
  <c r="N46" i="74"/>
  <c r="M46" i="74"/>
  <c r="L46" i="74"/>
  <c r="K46" i="74"/>
  <c r="J46" i="74"/>
  <c r="I46" i="74"/>
  <c r="H46" i="74"/>
  <c r="F46" i="74"/>
  <c r="P45" i="74"/>
  <c r="O45" i="74"/>
  <c r="N45" i="74"/>
  <c r="M45" i="74"/>
  <c r="L45" i="74"/>
  <c r="K45" i="74"/>
  <c r="J45" i="74"/>
  <c r="I45" i="74"/>
  <c r="H45" i="74"/>
  <c r="F45" i="74"/>
  <c r="P44" i="74"/>
  <c r="O44" i="74"/>
  <c r="N44" i="74"/>
  <c r="M44" i="74"/>
  <c r="L44" i="74"/>
  <c r="K44" i="74"/>
  <c r="J44" i="74"/>
  <c r="I44" i="74"/>
  <c r="H44" i="74"/>
  <c r="F44" i="74"/>
  <c r="P43" i="74"/>
  <c r="O43" i="74"/>
  <c r="N43" i="74"/>
  <c r="M43" i="74"/>
  <c r="L43" i="74"/>
  <c r="K43" i="74"/>
  <c r="J43" i="74"/>
  <c r="I43" i="74"/>
  <c r="H43" i="74"/>
  <c r="F43" i="74"/>
  <c r="P42" i="74"/>
  <c r="O42" i="74"/>
  <c r="N42" i="74"/>
  <c r="M42" i="74"/>
  <c r="L42" i="74"/>
  <c r="K42" i="74"/>
  <c r="J42" i="74"/>
  <c r="I42" i="74"/>
  <c r="H42" i="74"/>
  <c r="F42" i="74"/>
  <c r="P41" i="74"/>
  <c r="O41" i="74"/>
  <c r="N41" i="74"/>
  <c r="M41" i="74"/>
  <c r="L41" i="74"/>
  <c r="K41" i="74"/>
  <c r="J41" i="74"/>
  <c r="I41" i="74"/>
  <c r="H41" i="74"/>
  <c r="F41" i="74"/>
  <c r="P40" i="74"/>
  <c r="O40" i="74"/>
  <c r="N40" i="74"/>
  <c r="M40" i="74"/>
  <c r="L40" i="74"/>
  <c r="K40" i="74"/>
  <c r="J40" i="74"/>
  <c r="I40" i="74"/>
  <c r="H40" i="74"/>
  <c r="F40" i="74"/>
  <c r="O39" i="74"/>
  <c r="N39" i="74"/>
  <c r="M39" i="74"/>
  <c r="L39" i="74"/>
  <c r="K39" i="74"/>
  <c r="J39" i="74"/>
  <c r="I39" i="74"/>
  <c r="H39" i="74"/>
  <c r="F39" i="74"/>
  <c r="O38" i="74"/>
  <c r="N38" i="74"/>
  <c r="M38" i="74"/>
  <c r="L38" i="74"/>
  <c r="K38" i="74"/>
  <c r="J38" i="74"/>
  <c r="I38" i="74"/>
  <c r="H38" i="74"/>
  <c r="F38" i="74"/>
  <c r="O37" i="74"/>
  <c r="N37" i="74"/>
  <c r="M37" i="74"/>
  <c r="L37" i="74"/>
  <c r="K37" i="74"/>
  <c r="J37" i="74"/>
  <c r="I37" i="74"/>
  <c r="H37" i="74"/>
  <c r="F37" i="74"/>
  <c r="O36" i="74"/>
  <c r="N36" i="74"/>
  <c r="M36" i="74"/>
  <c r="L36" i="74"/>
  <c r="K36" i="74"/>
  <c r="J36" i="74"/>
  <c r="I36" i="74"/>
  <c r="H36" i="74"/>
  <c r="F36" i="74"/>
  <c r="O35" i="74"/>
  <c r="N35" i="74"/>
  <c r="M35" i="74"/>
  <c r="L35" i="74"/>
  <c r="K35" i="74"/>
  <c r="J35" i="74"/>
  <c r="I35" i="74"/>
  <c r="H35" i="74"/>
  <c r="F35" i="74"/>
  <c r="O34" i="74"/>
  <c r="N34" i="74"/>
  <c r="M34" i="74"/>
  <c r="L34" i="74"/>
  <c r="K34" i="74"/>
  <c r="J34" i="74"/>
  <c r="I34" i="74"/>
  <c r="H34" i="74"/>
  <c r="F34" i="74"/>
  <c r="O33" i="74"/>
  <c r="N33" i="74"/>
  <c r="M33" i="74"/>
  <c r="L33" i="74"/>
  <c r="K33" i="74"/>
  <c r="J33" i="74"/>
  <c r="I33" i="74"/>
  <c r="H33" i="74"/>
  <c r="F33" i="74"/>
  <c r="O32" i="74"/>
  <c r="N32" i="74"/>
  <c r="M32" i="74"/>
  <c r="L32" i="74"/>
  <c r="K32" i="74"/>
  <c r="J32" i="74"/>
  <c r="I32" i="74"/>
  <c r="H32" i="74"/>
  <c r="F32" i="74"/>
  <c r="O31" i="74"/>
  <c r="N31" i="74"/>
  <c r="M31" i="74"/>
  <c r="L31" i="74"/>
  <c r="K31" i="74"/>
  <c r="J31" i="74"/>
  <c r="I31" i="74"/>
  <c r="H31" i="74"/>
  <c r="F31" i="74"/>
  <c r="O30" i="74"/>
  <c r="N30" i="74"/>
  <c r="M30" i="74"/>
  <c r="L30" i="74"/>
  <c r="K30" i="74"/>
  <c r="J30" i="74"/>
  <c r="I30" i="74"/>
  <c r="H30" i="74"/>
  <c r="F30" i="74"/>
  <c r="P29" i="74"/>
  <c r="O29" i="74"/>
  <c r="N29" i="74"/>
  <c r="M29" i="74"/>
  <c r="L29" i="74"/>
  <c r="K29" i="74"/>
  <c r="J29" i="74"/>
  <c r="I29" i="74"/>
  <c r="H29" i="74"/>
  <c r="F29" i="74"/>
  <c r="P28" i="74"/>
  <c r="O28" i="74"/>
  <c r="N28" i="74"/>
  <c r="M28" i="74"/>
  <c r="L28" i="74"/>
  <c r="K28" i="74"/>
  <c r="J28" i="74"/>
  <c r="I28" i="74"/>
  <c r="H28" i="74"/>
  <c r="F28" i="74"/>
  <c r="P27" i="74"/>
  <c r="O27" i="74"/>
  <c r="N27" i="74"/>
  <c r="M27" i="74"/>
  <c r="L27" i="74"/>
  <c r="K27" i="74"/>
  <c r="J27" i="74"/>
  <c r="I27" i="74"/>
  <c r="H27" i="74"/>
  <c r="F27" i="74"/>
  <c r="P26" i="74"/>
  <c r="O26" i="74"/>
  <c r="N26" i="74"/>
  <c r="M26" i="74"/>
  <c r="L26" i="74"/>
  <c r="K26" i="74"/>
  <c r="J26" i="74"/>
  <c r="I26" i="74"/>
  <c r="H26" i="74"/>
  <c r="F26" i="74"/>
  <c r="P25" i="74"/>
  <c r="O25" i="74"/>
  <c r="N25" i="74"/>
  <c r="M25" i="74"/>
  <c r="L25" i="74"/>
  <c r="K25" i="74"/>
  <c r="J25" i="74"/>
  <c r="I25" i="74"/>
  <c r="H25" i="74"/>
  <c r="F25" i="74"/>
  <c r="P24" i="74"/>
  <c r="O24" i="74"/>
  <c r="N24" i="74"/>
  <c r="M24" i="74"/>
  <c r="L24" i="74"/>
  <c r="K24" i="74"/>
  <c r="J24" i="74"/>
  <c r="I24" i="74"/>
  <c r="H24" i="74"/>
  <c r="F24" i="74"/>
  <c r="P23" i="74"/>
  <c r="O23" i="74"/>
  <c r="N23" i="74"/>
  <c r="M23" i="74"/>
  <c r="L23" i="74"/>
  <c r="K23" i="74"/>
  <c r="J23" i="74"/>
  <c r="I23" i="74"/>
  <c r="H23" i="74"/>
  <c r="F23" i="74"/>
  <c r="P22" i="74"/>
  <c r="O22" i="74"/>
  <c r="N22" i="74"/>
  <c r="M22" i="74"/>
  <c r="L22" i="74"/>
  <c r="K22" i="74"/>
  <c r="J22" i="74"/>
  <c r="I22" i="74"/>
  <c r="H22" i="74"/>
  <c r="F22" i="74"/>
  <c r="P21" i="74"/>
  <c r="O21" i="74"/>
  <c r="N21" i="74"/>
  <c r="M21" i="74"/>
  <c r="L21" i="74"/>
  <c r="K21" i="74"/>
  <c r="J21" i="74"/>
  <c r="I21" i="74"/>
  <c r="H21" i="74"/>
  <c r="F21" i="74"/>
  <c r="P20" i="74"/>
  <c r="O20" i="74"/>
  <c r="N20" i="74"/>
  <c r="M20" i="74"/>
  <c r="L20" i="74"/>
  <c r="K20" i="74"/>
  <c r="J20" i="74"/>
  <c r="I20" i="74"/>
  <c r="H20" i="74"/>
  <c r="F20" i="74"/>
  <c r="P19" i="74"/>
  <c r="O19" i="74"/>
  <c r="N19" i="74"/>
  <c r="M19" i="74"/>
  <c r="L19" i="74"/>
  <c r="K19" i="74"/>
  <c r="J19" i="74"/>
  <c r="I19" i="74"/>
  <c r="H19" i="74"/>
  <c r="F19" i="74"/>
  <c r="P18" i="74"/>
  <c r="O18" i="74"/>
  <c r="N18" i="74"/>
  <c r="M18" i="74"/>
  <c r="L18" i="74"/>
  <c r="K18" i="74"/>
  <c r="J18" i="74"/>
  <c r="I18" i="74"/>
  <c r="H18" i="74"/>
  <c r="F18" i="74"/>
  <c r="P17" i="74"/>
  <c r="O17" i="74"/>
  <c r="N17" i="74"/>
  <c r="M17" i="74"/>
  <c r="L17" i="74"/>
  <c r="K17" i="74"/>
  <c r="J17" i="74"/>
  <c r="I17" i="74"/>
  <c r="H17" i="74"/>
  <c r="F17" i="74"/>
  <c r="P16" i="74"/>
  <c r="O16" i="74"/>
  <c r="N16" i="74"/>
  <c r="M16" i="74"/>
  <c r="L16" i="74"/>
  <c r="K16" i="74"/>
  <c r="J16" i="74"/>
  <c r="I16" i="74"/>
  <c r="H16" i="74"/>
  <c r="F16" i="74"/>
  <c r="P15" i="74"/>
  <c r="O15" i="74"/>
  <c r="N15" i="74"/>
  <c r="M15" i="74"/>
  <c r="L15" i="74"/>
  <c r="K15" i="74"/>
  <c r="J15" i="74"/>
  <c r="I15" i="74"/>
  <c r="H15" i="74"/>
  <c r="F15" i="74"/>
  <c r="P14" i="74"/>
  <c r="O14" i="74"/>
  <c r="N14" i="74"/>
  <c r="M14" i="74"/>
  <c r="L14" i="74"/>
  <c r="K14" i="74"/>
  <c r="J14" i="74"/>
  <c r="I14" i="74"/>
  <c r="H14" i="74"/>
  <c r="F14" i="74"/>
  <c r="P13" i="74"/>
  <c r="O13" i="74"/>
  <c r="N13" i="74"/>
  <c r="M13" i="74"/>
  <c r="L13" i="74"/>
  <c r="K13" i="74"/>
  <c r="J13" i="74"/>
  <c r="I13" i="74"/>
  <c r="H13" i="74"/>
  <c r="F13" i="74"/>
  <c r="P12" i="74"/>
  <c r="O12" i="74"/>
  <c r="N12" i="74"/>
  <c r="M12" i="74"/>
  <c r="L12" i="74"/>
  <c r="K12" i="74"/>
  <c r="J12" i="74"/>
  <c r="I12" i="74"/>
  <c r="H12" i="74"/>
  <c r="F12" i="74"/>
  <c r="P11" i="74"/>
  <c r="O11" i="74"/>
  <c r="N11" i="74"/>
  <c r="M11" i="74"/>
  <c r="L11" i="74"/>
  <c r="K11" i="74"/>
  <c r="J11" i="74"/>
  <c r="I11" i="74"/>
  <c r="H11" i="74"/>
  <c r="F11" i="74"/>
  <c r="P10" i="74"/>
  <c r="O10" i="74"/>
  <c r="N10" i="74"/>
  <c r="M10" i="74"/>
  <c r="L10" i="74"/>
  <c r="K10" i="74"/>
  <c r="J10" i="74"/>
  <c r="I10" i="74"/>
  <c r="H10" i="74"/>
  <c r="F10" i="74"/>
  <c r="P9" i="74"/>
  <c r="O9" i="74"/>
  <c r="N9" i="74"/>
  <c r="M9" i="74"/>
  <c r="L9" i="74"/>
  <c r="K9" i="74"/>
  <c r="J9" i="74"/>
  <c r="I9" i="74"/>
  <c r="H9" i="74"/>
  <c r="F9" i="74"/>
  <c r="P8" i="74"/>
  <c r="O8" i="74"/>
  <c r="N8" i="74"/>
  <c r="M8" i="74"/>
  <c r="L8" i="74"/>
  <c r="K8" i="74"/>
  <c r="J8" i="74"/>
  <c r="I8" i="74"/>
  <c r="H8" i="74"/>
  <c r="F8" i="74"/>
  <c r="P7" i="74"/>
  <c r="O7" i="74"/>
  <c r="N7" i="74"/>
  <c r="M7" i="74"/>
  <c r="L7" i="74"/>
  <c r="K7" i="74"/>
  <c r="J7" i="74"/>
  <c r="I7" i="74"/>
  <c r="H7" i="74"/>
  <c r="F7" i="74"/>
  <c r="P6" i="74"/>
  <c r="O6" i="74"/>
  <c r="N6" i="74"/>
  <c r="M6" i="74"/>
  <c r="L6" i="74"/>
  <c r="K6" i="74"/>
  <c r="J6" i="74"/>
  <c r="I6" i="74"/>
  <c r="H6" i="74"/>
  <c r="F6" i="74"/>
  <c r="P5" i="74"/>
  <c r="O5" i="74"/>
  <c r="N5" i="74"/>
  <c r="M5" i="74"/>
  <c r="L5" i="74"/>
  <c r="K5" i="74"/>
  <c r="J5" i="74"/>
  <c r="I5" i="74"/>
  <c r="H5" i="74"/>
  <c r="F5" i="74"/>
  <c r="P4" i="74"/>
  <c r="O4" i="74"/>
  <c r="N4" i="74"/>
  <c r="M4" i="74"/>
  <c r="L4" i="74"/>
  <c r="K4" i="74"/>
  <c r="J4" i="74"/>
  <c r="I4" i="74"/>
  <c r="H4" i="74"/>
  <c r="F4" i="74"/>
  <c r="O3" i="74"/>
  <c r="N3" i="74"/>
  <c r="M3" i="74"/>
  <c r="L3" i="74"/>
  <c r="K3" i="74"/>
  <c r="J3" i="74"/>
  <c r="I3" i="74"/>
  <c r="H3" i="74"/>
  <c r="Q424" i="74" l="1"/>
  <c r="R424" i="74" s="1"/>
  <c r="U424" i="74" s="1"/>
  <c r="Q99" i="74"/>
  <c r="R99" i="74" s="1"/>
  <c r="U99" i="74" s="1"/>
  <c r="Q111" i="74"/>
  <c r="R111" i="74" s="1"/>
  <c r="U111" i="74" s="1"/>
  <c r="T111" i="74" s="1"/>
  <c r="V111" i="74" s="1"/>
  <c r="Q115" i="74"/>
  <c r="R115" i="74" s="1"/>
  <c r="U115" i="74" s="1"/>
  <c r="Q131" i="74"/>
  <c r="R131" i="74" s="1"/>
  <c r="U131" i="74" s="1"/>
  <c r="Q225" i="74"/>
  <c r="R225" i="74" s="1"/>
  <c r="U225" i="74" s="1"/>
  <c r="T225" i="74" s="1"/>
  <c r="V225" i="74" s="1"/>
  <c r="Q237" i="74"/>
  <c r="R237" i="74" s="1"/>
  <c r="U237" i="74" s="1"/>
  <c r="T237" i="74" s="1"/>
  <c r="V237" i="74" s="1"/>
  <c r="Q241" i="74"/>
  <c r="R241" i="74" s="1"/>
  <c r="U241" i="74" s="1"/>
  <c r="Q253" i="74"/>
  <c r="R253" i="74" s="1"/>
  <c r="Q277" i="74"/>
  <c r="R277" i="74" s="1"/>
  <c r="U277" i="74" s="1"/>
  <c r="T277" i="74" s="1"/>
  <c r="V277" i="74" s="1"/>
  <c r="Q281" i="74"/>
  <c r="R281" i="74" s="1"/>
  <c r="U281" i="74" s="1"/>
  <c r="T281" i="74" s="1"/>
  <c r="V281" i="74" s="1"/>
  <c r="Q285" i="74"/>
  <c r="R285" i="74" s="1"/>
  <c r="U285" i="74" s="1"/>
  <c r="T285" i="74" s="1"/>
  <c r="V285" i="74" s="1"/>
  <c r="Q289" i="74"/>
  <c r="R289" i="74" s="1"/>
  <c r="U289" i="74" s="1"/>
  <c r="T289" i="74" s="1"/>
  <c r="V289" i="74" s="1"/>
  <c r="Q416" i="74"/>
  <c r="R416" i="74" s="1"/>
  <c r="U416" i="74" s="1"/>
  <c r="T416" i="74" s="1"/>
  <c r="V416" i="74" s="1"/>
  <c r="Q420" i="74"/>
  <c r="R420" i="74" s="1"/>
  <c r="U420" i="74" s="1"/>
  <c r="Q11" i="74"/>
  <c r="R11" i="74" s="1"/>
  <c r="U11" i="74" s="1"/>
  <c r="Q15" i="74"/>
  <c r="R15" i="74" s="1"/>
  <c r="U15" i="74" s="1"/>
  <c r="Q260" i="74"/>
  <c r="R260" i="74" s="1"/>
  <c r="U260" i="74" s="1"/>
  <c r="T260" i="74" s="1"/>
  <c r="Q268" i="74"/>
  <c r="R268" i="74" s="1"/>
  <c r="U268" i="74" s="1"/>
  <c r="T268" i="74" s="1"/>
  <c r="V268" i="74" s="1"/>
  <c r="Q272" i="74"/>
  <c r="R272" i="74" s="1"/>
  <c r="U272" i="74" s="1"/>
  <c r="Q162" i="74"/>
  <c r="R162" i="74" s="1"/>
  <c r="U162" i="74" s="1"/>
  <c r="Q166" i="74"/>
  <c r="R166" i="74" s="1"/>
  <c r="U166" i="74" s="1"/>
  <c r="Q170" i="74"/>
  <c r="R170" i="74" s="1"/>
  <c r="U170" i="74" s="1"/>
  <c r="Q174" i="74"/>
  <c r="R174" i="74" s="1"/>
  <c r="U174" i="74" s="1"/>
  <c r="Q178" i="74"/>
  <c r="R178" i="74" s="1"/>
  <c r="U178" i="74" s="1"/>
  <c r="Q182" i="74"/>
  <c r="R182" i="74" s="1"/>
  <c r="U182" i="74" s="1"/>
  <c r="Q186" i="74"/>
  <c r="R186" i="74" s="1"/>
  <c r="U186" i="74" s="1"/>
  <c r="Q190" i="74"/>
  <c r="R190" i="74" s="1"/>
  <c r="U190" i="74" s="1"/>
  <c r="Q194" i="74"/>
  <c r="R194" i="74" s="1"/>
  <c r="U194" i="74" s="1"/>
  <c r="Q198" i="74"/>
  <c r="R198" i="74" s="1"/>
  <c r="U198" i="74" s="1"/>
  <c r="Q202" i="74"/>
  <c r="R202" i="74" s="1"/>
  <c r="U202" i="74" s="1"/>
  <c r="Q206" i="74"/>
  <c r="R206" i="74" s="1"/>
  <c r="U206" i="74" s="1"/>
  <c r="Q210" i="74"/>
  <c r="R210" i="74" s="1"/>
  <c r="U210" i="74" s="1"/>
  <c r="Q214" i="74"/>
  <c r="R214" i="74" s="1"/>
  <c r="U214" i="74" s="1"/>
  <c r="Q218" i="74"/>
  <c r="R218" i="74" s="1"/>
  <c r="U218" i="74" s="1"/>
  <c r="Q222" i="74"/>
  <c r="R222" i="74" s="1"/>
  <c r="U222" i="74" s="1"/>
  <c r="Q423" i="74"/>
  <c r="R423" i="74" s="1"/>
  <c r="U423" i="74" s="1"/>
  <c r="Q119" i="74"/>
  <c r="R119" i="74" s="1"/>
  <c r="U119" i="74" s="1"/>
  <c r="Q121" i="74"/>
  <c r="R121" i="74" s="1"/>
  <c r="U121" i="74" s="1"/>
  <c r="Q123" i="74"/>
  <c r="R123" i="74" s="1"/>
  <c r="U123" i="74" s="1"/>
  <c r="Q125" i="74"/>
  <c r="R125" i="74" s="1"/>
  <c r="U125" i="74" s="1"/>
  <c r="Q129" i="74"/>
  <c r="R129" i="74" s="1"/>
  <c r="U129" i="74" s="1"/>
  <c r="Q238" i="74"/>
  <c r="R238" i="74" s="1"/>
  <c r="U238" i="74" s="1"/>
  <c r="Q100" i="74"/>
  <c r="R100" i="74" s="1"/>
  <c r="U100" i="74" s="1"/>
  <c r="Q102" i="74"/>
  <c r="R102" i="74" s="1"/>
  <c r="U102" i="74" s="1"/>
  <c r="Q68" i="74"/>
  <c r="R68" i="74" s="1"/>
  <c r="Q70" i="74"/>
  <c r="R70" i="74" s="1"/>
  <c r="U70" i="74" s="1"/>
  <c r="Q72" i="74"/>
  <c r="R72" i="74" s="1"/>
  <c r="U72" i="74" s="1"/>
  <c r="Q74" i="74"/>
  <c r="R74" i="74" s="1"/>
  <c r="U74" i="74" s="1"/>
  <c r="Q76" i="74"/>
  <c r="R76" i="74" s="1"/>
  <c r="U76" i="74" s="1"/>
  <c r="Q78" i="74"/>
  <c r="R78" i="74" s="1"/>
  <c r="U78" i="74" s="1"/>
  <c r="Q80" i="74"/>
  <c r="R80" i="74" s="1"/>
  <c r="U80" i="74" s="1"/>
  <c r="Q82" i="74"/>
  <c r="R82" i="74" s="1"/>
  <c r="U82" i="74" s="1"/>
  <c r="Q84" i="74"/>
  <c r="R84" i="74" s="1"/>
  <c r="U84" i="74" s="1"/>
  <c r="Q86" i="74"/>
  <c r="R86" i="74" s="1"/>
  <c r="U86" i="74" s="1"/>
  <c r="Q88" i="74"/>
  <c r="R88" i="74" s="1"/>
  <c r="U88" i="74" s="1"/>
  <c r="Q90" i="74"/>
  <c r="R90" i="74" s="1"/>
  <c r="U90" i="74" s="1"/>
  <c r="Q92" i="74"/>
  <c r="R92" i="74" s="1"/>
  <c r="U92" i="74" s="1"/>
  <c r="Q94" i="74"/>
  <c r="R94" i="74" s="1"/>
  <c r="U94" i="74" s="1"/>
  <c r="Q96" i="74"/>
  <c r="R96" i="74" s="1"/>
  <c r="U96" i="74" s="1"/>
  <c r="Q98" i="74"/>
  <c r="R98" i="74" s="1"/>
  <c r="U98" i="74" s="1"/>
  <c r="Q497" i="74"/>
  <c r="R497" i="74" s="1"/>
  <c r="U497" i="74" s="1"/>
  <c r="T497" i="74" s="1"/>
  <c r="V497" i="74" s="1"/>
  <c r="Q499" i="74"/>
  <c r="R499" i="74" s="1"/>
  <c r="U499" i="74" s="1"/>
  <c r="Q132" i="74"/>
  <c r="R132" i="74" s="1"/>
  <c r="U132" i="74" s="1"/>
  <c r="Q134" i="74"/>
  <c r="R134" i="74" s="1"/>
  <c r="U134" i="74" s="1"/>
  <c r="Q138" i="74"/>
  <c r="R138" i="74" s="1"/>
  <c r="U138" i="74" s="1"/>
  <c r="Q142" i="74"/>
  <c r="R142" i="74" s="1"/>
  <c r="U142" i="74" s="1"/>
  <c r="Q146" i="74"/>
  <c r="R146" i="74" s="1"/>
  <c r="U146" i="74" s="1"/>
  <c r="Q150" i="74"/>
  <c r="R150" i="74" s="1"/>
  <c r="U150" i="74" s="1"/>
  <c r="Q154" i="74"/>
  <c r="R154" i="74" s="1"/>
  <c r="U154" i="74" s="1"/>
  <c r="Q158" i="74"/>
  <c r="R158" i="74" s="1"/>
  <c r="U158" i="74" s="1"/>
  <c r="Q492" i="74"/>
  <c r="R492" i="74" s="1"/>
  <c r="U492" i="74" s="1"/>
  <c r="Q494" i="74"/>
  <c r="R494" i="74" s="1"/>
  <c r="U494" i="74" s="1"/>
  <c r="Q496" i="74"/>
  <c r="R496" i="74" s="1"/>
  <c r="U496" i="74" s="1"/>
  <c r="Q498" i="74"/>
  <c r="R498" i="74" s="1"/>
  <c r="U498" i="74" s="1"/>
  <c r="Q500" i="74"/>
  <c r="R500" i="74" s="1"/>
  <c r="U500" i="74" s="1"/>
  <c r="Q502" i="74"/>
  <c r="R502" i="74" s="1"/>
  <c r="U502" i="74" s="1"/>
  <c r="Q6" i="74"/>
  <c r="R6" i="74" s="1"/>
  <c r="U6" i="74" s="1"/>
  <c r="Q14" i="74"/>
  <c r="R14" i="74" s="1"/>
  <c r="U14" i="74" s="1"/>
  <c r="T14" i="74" s="1"/>
  <c r="V14" i="74" s="1"/>
  <c r="Q112" i="74"/>
  <c r="R112" i="74" s="1"/>
  <c r="U112" i="74" s="1"/>
  <c r="Q114" i="74"/>
  <c r="R114" i="74" s="1"/>
  <c r="U114" i="74" s="1"/>
  <c r="Q103" i="74"/>
  <c r="R103" i="74" s="1"/>
  <c r="U103" i="74" s="1"/>
  <c r="Q105" i="74"/>
  <c r="R105" i="74" s="1"/>
  <c r="U105" i="74" s="1"/>
  <c r="Q107" i="74"/>
  <c r="R107" i="74" s="1"/>
  <c r="U107" i="74" s="1"/>
  <c r="T107" i="74" s="1"/>
  <c r="Q109" i="74"/>
  <c r="R109" i="74" s="1"/>
  <c r="U109" i="74" s="1"/>
  <c r="Q116" i="74"/>
  <c r="R116" i="74" s="1"/>
  <c r="U116" i="74" s="1"/>
  <c r="Q118" i="74"/>
  <c r="R118" i="74" s="1"/>
  <c r="U118" i="74" s="1"/>
  <c r="Q229" i="74"/>
  <c r="R229" i="74" s="1"/>
  <c r="U229" i="74" s="1"/>
  <c r="Q231" i="74"/>
  <c r="R231" i="74" s="1"/>
  <c r="U231" i="74" s="1"/>
  <c r="Q233" i="74"/>
  <c r="R233" i="74" s="1"/>
  <c r="U233" i="74" s="1"/>
  <c r="Q235" i="74"/>
  <c r="R235" i="74" s="1"/>
  <c r="U235" i="74" s="1"/>
  <c r="Q271" i="74"/>
  <c r="R271" i="74" s="1"/>
  <c r="U271" i="74" s="1"/>
  <c r="Q275" i="74"/>
  <c r="R275" i="74" s="1"/>
  <c r="U275" i="74" s="1"/>
  <c r="Q406" i="74"/>
  <c r="R406" i="74" s="1"/>
  <c r="U406" i="74" s="1"/>
  <c r="Q408" i="74"/>
  <c r="R408" i="74" s="1"/>
  <c r="U408" i="74" s="1"/>
  <c r="Q414" i="74"/>
  <c r="R414" i="74" s="1"/>
  <c r="U414" i="74" s="1"/>
  <c r="Q431" i="74"/>
  <c r="R431" i="74" s="1"/>
  <c r="U431" i="74" s="1"/>
  <c r="Q17" i="74"/>
  <c r="R17" i="74" s="1"/>
  <c r="U17" i="74" s="1"/>
  <c r="Q226" i="74"/>
  <c r="R226" i="74" s="1"/>
  <c r="U226" i="74" s="1"/>
  <c r="Q245" i="74"/>
  <c r="R245" i="74" s="1"/>
  <c r="U245" i="74" s="1"/>
  <c r="Q247" i="74"/>
  <c r="R247" i="74" s="1"/>
  <c r="U247" i="74" s="1"/>
  <c r="Q249" i="74"/>
  <c r="R249" i="74" s="1"/>
  <c r="U249" i="74" s="1"/>
  <c r="Q276" i="74"/>
  <c r="R276" i="74" s="1"/>
  <c r="U276" i="74" s="1"/>
  <c r="Q286" i="74"/>
  <c r="R286" i="74" s="1"/>
  <c r="U286" i="74" s="1"/>
  <c r="Q294" i="74"/>
  <c r="R294" i="74" s="1"/>
  <c r="U294" i="74" s="1"/>
  <c r="Q296" i="74"/>
  <c r="R296" i="74" s="1"/>
  <c r="U296" i="74" s="1"/>
  <c r="Q432" i="74"/>
  <c r="R432" i="74" s="1"/>
  <c r="U432" i="74" s="1"/>
  <c r="T432" i="74" s="1"/>
  <c r="V432" i="74" s="1"/>
  <c r="Q444" i="74"/>
  <c r="R444" i="74" s="1"/>
  <c r="U444" i="74" s="1"/>
  <c r="Q446" i="74"/>
  <c r="R446" i="74" s="1"/>
  <c r="U446" i="74" s="1"/>
  <c r="Q8" i="74"/>
  <c r="R8" i="74" s="1"/>
  <c r="U8" i="74" s="1"/>
  <c r="T8" i="74" s="1"/>
  <c r="V8" i="74" s="1"/>
  <c r="Q69" i="74"/>
  <c r="R69" i="74" s="1"/>
  <c r="U69" i="74" s="1"/>
  <c r="Q73" i="74"/>
  <c r="R73" i="74" s="1"/>
  <c r="U73" i="74" s="1"/>
  <c r="Q77" i="74"/>
  <c r="R77" i="74" s="1"/>
  <c r="U77" i="74" s="1"/>
  <c r="Q81" i="74"/>
  <c r="R81" i="74" s="1"/>
  <c r="U81" i="74" s="1"/>
  <c r="Q85" i="74"/>
  <c r="R85" i="74" s="1"/>
  <c r="U85" i="74" s="1"/>
  <c r="Q89" i="74"/>
  <c r="R89" i="74" s="1"/>
  <c r="U89" i="74" s="1"/>
  <c r="Q93" i="74"/>
  <c r="R93" i="74" s="1"/>
  <c r="U93" i="74" s="1"/>
  <c r="Q97" i="74"/>
  <c r="R97" i="74" s="1"/>
  <c r="U97" i="74" s="1"/>
  <c r="Q104" i="74"/>
  <c r="R104" i="74" s="1"/>
  <c r="U104" i="74" s="1"/>
  <c r="T104" i="74" s="1"/>
  <c r="V104" i="74" s="1"/>
  <c r="Q106" i="74"/>
  <c r="R106" i="74" s="1"/>
  <c r="U106" i="74" s="1"/>
  <c r="T106" i="74" s="1"/>
  <c r="V106" i="74" s="1"/>
  <c r="Q113" i="74"/>
  <c r="R113" i="74" s="1"/>
  <c r="U113" i="74" s="1"/>
  <c r="Q120" i="74"/>
  <c r="R120" i="74" s="1"/>
  <c r="U120" i="74" s="1"/>
  <c r="T120" i="74" s="1"/>
  <c r="V120" i="74" s="1"/>
  <c r="Q122" i="74"/>
  <c r="R122" i="74" s="1"/>
  <c r="U122" i="74" s="1"/>
  <c r="T122" i="74" s="1"/>
  <c r="V122" i="74" s="1"/>
  <c r="Q13" i="74"/>
  <c r="R13" i="74" s="1"/>
  <c r="U13" i="74" s="1"/>
  <c r="Q101" i="74"/>
  <c r="R101" i="74" s="1"/>
  <c r="U101" i="74" s="1"/>
  <c r="Q108" i="74"/>
  <c r="R108" i="74" s="1"/>
  <c r="U108" i="74" s="1"/>
  <c r="T108" i="74" s="1"/>
  <c r="V108" i="74" s="1"/>
  <c r="Q110" i="74"/>
  <c r="R110" i="74" s="1"/>
  <c r="U110" i="74" s="1"/>
  <c r="Q117" i="74"/>
  <c r="R117" i="74" s="1"/>
  <c r="U117" i="74" s="1"/>
  <c r="Q124" i="74"/>
  <c r="R124" i="74" s="1"/>
  <c r="U124" i="74" s="1"/>
  <c r="T124" i="74" s="1"/>
  <c r="V124" i="74" s="1"/>
  <c r="Q128" i="74"/>
  <c r="R128" i="74" s="1"/>
  <c r="U128" i="74" s="1"/>
  <c r="Q130" i="74"/>
  <c r="R130" i="74" s="1"/>
  <c r="U130" i="74" s="1"/>
  <c r="Q127" i="74"/>
  <c r="R127" i="74" s="1"/>
  <c r="U127" i="74" s="1"/>
  <c r="T127" i="74" s="1"/>
  <c r="V127" i="74" s="1"/>
  <c r="Q126" i="74"/>
  <c r="R126" i="74" s="1"/>
  <c r="U126" i="74" s="1"/>
  <c r="Q135" i="74"/>
  <c r="R135" i="74" s="1"/>
  <c r="U135" i="74" s="1"/>
  <c r="Q137" i="74"/>
  <c r="R137" i="74" s="1"/>
  <c r="U137" i="74" s="1"/>
  <c r="Q139" i="74"/>
  <c r="R139" i="74" s="1"/>
  <c r="U139" i="74" s="1"/>
  <c r="Q141" i="74"/>
  <c r="R141" i="74" s="1"/>
  <c r="U141" i="74" s="1"/>
  <c r="Q143" i="74"/>
  <c r="R143" i="74" s="1"/>
  <c r="U143" i="74" s="1"/>
  <c r="Q145" i="74"/>
  <c r="R145" i="74" s="1"/>
  <c r="U145" i="74" s="1"/>
  <c r="Q147" i="74"/>
  <c r="R147" i="74" s="1"/>
  <c r="U147" i="74" s="1"/>
  <c r="Q149" i="74"/>
  <c r="R149" i="74" s="1"/>
  <c r="U149" i="74" s="1"/>
  <c r="Q151" i="74"/>
  <c r="R151" i="74" s="1"/>
  <c r="U151" i="74" s="1"/>
  <c r="Q153" i="74"/>
  <c r="R153" i="74" s="1"/>
  <c r="U153" i="74" s="1"/>
  <c r="Q155" i="74"/>
  <c r="R155" i="74" s="1"/>
  <c r="U155" i="74" s="1"/>
  <c r="Q157" i="74"/>
  <c r="R157" i="74" s="1"/>
  <c r="U157" i="74" s="1"/>
  <c r="Q159" i="74"/>
  <c r="R159" i="74" s="1"/>
  <c r="U159" i="74" s="1"/>
  <c r="Q161" i="74"/>
  <c r="R161" i="74" s="1"/>
  <c r="U161" i="74" s="1"/>
  <c r="Q163" i="74"/>
  <c r="R163" i="74" s="1"/>
  <c r="U163" i="74" s="1"/>
  <c r="Q165" i="74"/>
  <c r="R165" i="74" s="1"/>
  <c r="U165" i="74" s="1"/>
  <c r="Q167" i="74"/>
  <c r="R167" i="74" s="1"/>
  <c r="U167" i="74" s="1"/>
  <c r="Q169" i="74"/>
  <c r="R169" i="74" s="1"/>
  <c r="U169" i="74" s="1"/>
  <c r="Q171" i="74"/>
  <c r="R171" i="74" s="1"/>
  <c r="U171" i="74" s="1"/>
  <c r="Q173" i="74"/>
  <c r="R173" i="74" s="1"/>
  <c r="U173" i="74" s="1"/>
  <c r="Q175" i="74"/>
  <c r="R175" i="74" s="1"/>
  <c r="U175" i="74" s="1"/>
  <c r="Q177" i="74"/>
  <c r="R177" i="74" s="1"/>
  <c r="U177" i="74" s="1"/>
  <c r="Q179" i="74"/>
  <c r="R179" i="74" s="1"/>
  <c r="U179" i="74" s="1"/>
  <c r="Q181" i="74"/>
  <c r="R181" i="74" s="1"/>
  <c r="U181" i="74" s="1"/>
  <c r="Q183" i="74"/>
  <c r="R183" i="74" s="1"/>
  <c r="U183" i="74" s="1"/>
  <c r="Q185" i="74"/>
  <c r="R185" i="74" s="1"/>
  <c r="U185" i="74" s="1"/>
  <c r="Q187" i="74"/>
  <c r="R187" i="74" s="1"/>
  <c r="U187" i="74" s="1"/>
  <c r="Q189" i="74"/>
  <c r="R189" i="74" s="1"/>
  <c r="U189" i="74" s="1"/>
  <c r="Q191" i="74"/>
  <c r="R191" i="74" s="1"/>
  <c r="U191" i="74" s="1"/>
  <c r="Q193" i="74"/>
  <c r="R193" i="74" s="1"/>
  <c r="U193" i="74" s="1"/>
  <c r="Q195" i="74"/>
  <c r="R195" i="74" s="1"/>
  <c r="U195" i="74" s="1"/>
  <c r="Q197" i="74"/>
  <c r="R197" i="74" s="1"/>
  <c r="U197" i="74" s="1"/>
  <c r="Q199" i="74"/>
  <c r="R199" i="74" s="1"/>
  <c r="U199" i="74" s="1"/>
  <c r="Q201" i="74"/>
  <c r="R201" i="74" s="1"/>
  <c r="U201" i="74" s="1"/>
  <c r="Q203" i="74"/>
  <c r="R203" i="74" s="1"/>
  <c r="U203" i="74" s="1"/>
  <c r="Q205" i="74"/>
  <c r="R205" i="74" s="1"/>
  <c r="U205" i="74" s="1"/>
  <c r="Q207" i="74"/>
  <c r="R207" i="74" s="1"/>
  <c r="U207" i="74" s="1"/>
  <c r="Q209" i="74"/>
  <c r="R209" i="74" s="1"/>
  <c r="U209" i="74" s="1"/>
  <c r="Q211" i="74"/>
  <c r="R211" i="74" s="1"/>
  <c r="U211" i="74" s="1"/>
  <c r="Q213" i="74"/>
  <c r="R213" i="74" s="1"/>
  <c r="U213" i="74" s="1"/>
  <c r="Q215" i="74"/>
  <c r="R215" i="74" s="1"/>
  <c r="U215" i="74" s="1"/>
  <c r="Q217" i="74"/>
  <c r="R217" i="74" s="1"/>
  <c r="U217" i="74" s="1"/>
  <c r="Q219" i="74"/>
  <c r="R219" i="74" s="1"/>
  <c r="U219" i="74" s="1"/>
  <c r="Q221" i="74"/>
  <c r="R221" i="74" s="1"/>
  <c r="U221" i="74" s="1"/>
  <c r="Q223" i="74"/>
  <c r="R223" i="74" s="1"/>
  <c r="U223" i="74" s="1"/>
  <c r="Q230" i="74"/>
  <c r="R230" i="74" s="1"/>
  <c r="U230" i="74" s="1"/>
  <c r="Q239" i="74"/>
  <c r="R239" i="74" s="1"/>
  <c r="U239" i="74" s="1"/>
  <c r="Q246" i="74"/>
  <c r="R246" i="74" s="1"/>
  <c r="U246" i="74" s="1"/>
  <c r="Q261" i="74"/>
  <c r="R261" i="74" s="1"/>
  <c r="U261" i="74" s="1"/>
  <c r="Q265" i="74"/>
  <c r="R265" i="74" s="1"/>
  <c r="U265" i="74" s="1"/>
  <c r="Q269" i="74"/>
  <c r="R269" i="74" s="1"/>
  <c r="U269" i="74" s="1"/>
  <c r="T269" i="74" s="1"/>
  <c r="Q273" i="74"/>
  <c r="R273" i="74" s="1"/>
  <c r="U273" i="74" s="1"/>
  <c r="T273" i="74" s="1"/>
  <c r="V273" i="74" s="1"/>
  <c r="Q295" i="74"/>
  <c r="R295" i="74" s="1"/>
  <c r="U295" i="74" s="1"/>
  <c r="Q405" i="74"/>
  <c r="R405" i="74" s="1"/>
  <c r="U405" i="74" s="1"/>
  <c r="Q407" i="74"/>
  <c r="R407" i="74" s="1"/>
  <c r="U407" i="74" s="1"/>
  <c r="Q412" i="74"/>
  <c r="R412" i="74" s="1"/>
  <c r="U412" i="74" s="1"/>
  <c r="T412" i="74" s="1"/>
  <c r="V412" i="74" s="1"/>
  <c r="Q422" i="74"/>
  <c r="R422" i="74" s="1"/>
  <c r="U422" i="74" s="1"/>
  <c r="Q441" i="74"/>
  <c r="R441" i="74" s="1"/>
  <c r="U441" i="74" s="1"/>
  <c r="Q443" i="74"/>
  <c r="R443" i="74" s="1"/>
  <c r="U443" i="74" s="1"/>
  <c r="T443" i="74" s="1"/>
  <c r="V443" i="74" s="1"/>
  <c r="Q227" i="74"/>
  <c r="R227" i="74" s="1"/>
  <c r="U227" i="74" s="1"/>
  <c r="Q234" i="74"/>
  <c r="R234" i="74" s="1"/>
  <c r="U234" i="74" s="1"/>
  <c r="Q243" i="74"/>
  <c r="R243" i="74" s="1"/>
  <c r="U243" i="74" s="1"/>
  <c r="Q250" i="74"/>
  <c r="R250" i="74" s="1"/>
  <c r="U250" i="74" s="1"/>
  <c r="Q255" i="74"/>
  <c r="R255" i="74" s="1"/>
  <c r="U255" i="74" s="1"/>
  <c r="Q274" i="74"/>
  <c r="R274" i="74" s="1"/>
  <c r="U274" i="74" s="1"/>
  <c r="Q415" i="74"/>
  <c r="R415" i="74" s="1"/>
  <c r="U415" i="74" s="1"/>
  <c r="T415" i="74" s="1"/>
  <c r="V415" i="74" s="1"/>
  <c r="Q430" i="74"/>
  <c r="R430" i="74" s="1"/>
  <c r="U430" i="74" s="1"/>
  <c r="Q451" i="74"/>
  <c r="R451" i="74" s="1"/>
  <c r="U451" i="74" s="1"/>
  <c r="T451" i="74" s="1"/>
  <c r="V451" i="74" s="1"/>
  <c r="Q453" i="74"/>
  <c r="R453" i="74" s="1"/>
  <c r="U453" i="74" s="1"/>
  <c r="T453" i="74" s="1"/>
  <c r="V453" i="74" s="1"/>
  <c r="Q455" i="74"/>
  <c r="R455" i="74" s="1"/>
  <c r="U455" i="74" s="1"/>
  <c r="T455" i="74" s="1"/>
  <c r="V455" i="74" s="1"/>
  <c r="Q457" i="74"/>
  <c r="R457" i="74" s="1"/>
  <c r="Q459" i="74"/>
  <c r="R459" i="74" s="1"/>
  <c r="U459" i="74" s="1"/>
  <c r="T459" i="74" s="1"/>
  <c r="V459" i="74" s="1"/>
  <c r="Q461" i="74"/>
  <c r="R461" i="74" s="1"/>
  <c r="U461" i="74" s="1"/>
  <c r="T461" i="74" s="1"/>
  <c r="V461" i="74" s="1"/>
  <c r="Q463" i="74"/>
  <c r="R463" i="74" s="1"/>
  <c r="U463" i="74" s="1"/>
  <c r="Q465" i="74"/>
  <c r="R465" i="74" s="1"/>
  <c r="U465" i="74" s="1"/>
  <c r="T465" i="74" s="1"/>
  <c r="V465" i="74" s="1"/>
  <c r="Q467" i="74"/>
  <c r="R467" i="74" s="1"/>
  <c r="U467" i="74" s="1"/>
  <c r="T467" i="74" s="1"/>
  <c r="V467" i="74" s="1"/>
  <c r="Q469" i="74"/>
  <c r="R469" i="74" s="1"/>
  <c r="U469" i="74" s="1"/>
  <c r="T469" i="74" s="1"/>
  <c r="V469" i="74" s="1"/>
  <c r="Q471" i="74"/>
  <c r="R471" i="74" s="1"/>
  <c r="U471" i="74" s="1"/>
  <c r="T471" i="74" s="1"/>
  <c r="V471" i="74" s="1"/>
  <c r="Q473" i="74"/>
  <c r="R473" i="74" s="1"/>
  <c r="U473" i="74" s="1"/>
  <c r="T473" i="74" s="1"/>
  <c r="V473" i="74" s="1"/>
  <c r="Q475" i="74"/>
  <c r="R475" i="74" s="1"/>
  <c r="U475" i="74" s="1"/>
  <c r="T475" i="74" s="1"/>
  <c r="V475" i="74" s="1"/>
  <c r="Q477" i="74"/>
  <c r="R477" i="74" s="1"/>
  <c r="U477" i="74" s="1"/>
  <c r="T477" i="74" s="1"/>
  <c r="V477" i="74" s="1"/>
  <c r="Q479" i="74"/>
  <c r="R479" i="74" s="1"/>
  <c r="U479" i="74" s="1"/>
  <c r="Q481" i="74"/>
  <c r="R481" i="74" s="1"/>
  <c r="U481" i="74" s="1"/>
  <c r="T481" i="74" s="1"/>
  <c r="V481" i="74" s="1"/>
  <c r="Q483" i="74"/>
  <c r="R483" i="74" s="1"/>
  <c r="U483" i="74" s="1"/>
  <c r="T483" i="74" s="1"/>
  <c r="V483" i="74" s="1"/>
  <c r="Q485" i="74"/>
  <c r="R485" i="74" s="1"/>
  <c r="U485" i="74" s="1"/>
  <c r="T485" i="74" s="1"/>
  <c r="V485" i="74" s="1"/>
  <c r="Q487" i="74"/>
  <c r="R487" i="74" s="1"/>
  <c r="U487" i="74" s="1"/>
  <c r="T487" i="74" s="1"/>
  <c r="V487" i="74" s="1"/>
  <c r="Q489" i="74"/>
  <c r="R489" i="74" s="1"/>
  <c r="U489" i="74" s="1"/>
  <c r="T489" i="74" s="1"/>
  <c r="V489" i="74" s="1"/>
  <c r="Q491" i="74"/>
  <c r="R491" i="74" s="1"/>
  <c r="U491" i="74" s="1"/>
  <c r="T491" i="74" s="1"/>
  <c r="V491" i="74" s="1"/>
  <c r="Q493" i="74"/>
  <c r="R493" i="74" s="1"/>
  <c r="U493" i="74" s="1"/>
  <c r="T493" i="74" s="1"/>
  <c r="V493" i="74" s="1"/>
  <c r="Q495" i="74"/>
  <c r="R495" i="74" s="1"/>
  <c r="U495" i="74" s="1"/>
  <c r="U457" i="74"/>
  <c r="T457" i="74" s="1"/>
  <c r="V457" i="74" s="1"/>
  <c r="Q242" i="74"/>
  <c r="R242" i="74" s="1"/>
  <c r="U242" i="74" s="1"/>
  <c r="Q244" i="74"/>
  <c r="R244" i="74" s="1"/>
  <c r="U244" i="74" s="1"/>
  <c r="Q251" i="74"/>
  <c r="R251" i="74" s="1"/>
  <c r="U251" i="74" s="1"/>
  <c r="U253" i="74"/>
  <c r="T253" i="74" s="1"/>
  <c r="V253" i="74" s="1"/>
  <c r="Q254" i="74"/>
  <c r="R254" i="74" s="1"/>
  <c r="U254" i="74" s="1"/>
  <c r="Q257" i="74"/>
  <c r="R257" i="74" s="1"/>
  <c r="U257" i="74" s="1"/>
  <c r="Q280" i="74"/>
  <c r="R280" i="74" s="1"/>
  <c r="U280" i="74" s="1"/>
  <c r="Q284" i="74"/>
  <c r="R284" i="74" s="1"/>
  <c r="U284" i="74" s="1"/>
  <c r="T284" i="74" s="1"/>
  <c r="V284" i="74" s="1"/>
  <c r="Q288" i="74"/>
  <c r="R288" i="74" s="1"/>
  <c r="U288" i="74" s="1"/>
  <c r="Q292" i="74"/>
  <c r="R292" i="74" s="1"/>
  <c r="U292" i="74" s="1"/>
  <c r="Q400" i="74"/>
  <c r="R400" i="74" s="1"/>
  <c r="U400" i="74" s="1"/>
  <c r="T400" i="74" s="1"/>
  <c r="V400" i="74" s="1"/>
  <c r="Q404" i="74"/>
  <c r="R404" i="74" s="1"/>
  <c r="U404" i="74" s="1"/>
  <c r="Q438" i="74"/>
  <c r="R438" i="74" s="1"/>
  <c r="U438" i="74" s="1"/>
  <c r="Q452" i="74"/>
  <c r="R452" i="74" s="1"/>
  <c r="U452" i="74" s="1"/>
  <c r="Q454" i="74"/>
  <c r="R454" i="74" s="1"/>
  <c r="U454" i="74" s="1"/>
  <c r="Q456" i="74"/>
  <c r="R456" i="74" s="1"/>
  <c r="U456" i="74" s="1"/>
  <c r="Q458" i="74"/>
  <c r="R458" i="74" s="1"/>
  <c r="U458" i="74" s="1"/>
  <c r="Q460" i="74"/>
  <c r="R460" i="74" s="1"/>
  <c r="U460" i="74" s="1"/>
  <c r="Q462" i="74"/>
  <c r="R462" i="74" s="1"/>
  <c r="U462" i="74" s="1"/>
  <c r="Q464" i="74"/>
  <c r="R464" i="74" s="1"/>
  <c r="U464" i="74" s="1"/>
  <c r="Q466" i="74"/>
  <c r="R466" i="74" s="1"/>
  <c r="U466" i="74" s="1"/>
  <c r="Q468" i="74"/>
  <c r="R468" i="74" s="1"/>
  <c r="U468" i="74" s="1"/>
  <c r="Q470" i="74"/>
  <c r="R470" i="74" s="1"/>
  <c r="U470" i="74" s="1"/>
  <c r="Q472" i="74"/>
  <c r="R472" i="74" s="1"/>
  <c r="U472" i="74" s="1"/>
  <c r="Q474" i="74"/>
  <c r="R474" i="74" s="1"/>
  <c r="U474" i="74" s="1"/>
  <c r="Q476" i="74"/>
  <c r="R476" i="74" s="1"/>
  <c r="U476" i="74" s="1"/>
  <c r="Q478" i="74"/>
  <c r="R478" i="74" s="1"/>
  <c r="U478" i="74" s="1"/>
  <c r="Q480" i="74"/>
  <c r="R480" i="74" s="1"/>
  <c r="U480" i="74" s="1"/>
  <c r="Q482" i="74"/>
  <c r="R482" i="74" s="1"/>
  <c r="U482" i="74" s="1"/>
  <c r="Q484" i="74"/>
  <c r="R484" i="74" s="1"/>
  <c r="U484" i="74" s="1"/>
  <c r="Q486" i="74"/>
  <c r="R486" i="74" s="1"/>
  <c r="U486" i="74" s="1"/>
  <c r="Q488" i="74"/>
  <c r="R488" i="74" s="1"/>
  <c r="U488" i="74" s="1"/>
  <c r="Q490" i="74"/>
  <c r="R490" i="74" s="1"/>
  <c r="U490" i="74" s="1"/>
  <c r="Q10" i="74"/>
  <c r="R10" i="74" s="1"/>
  <c r="U10" i="74" s="1"/>
  <c r="Q267" i="74"/>
  <c r="R267" i="74" s="1"/>
  <c r="U267" i="74" s="1"/>
  <c r="T267" i="74" s="1"/>
  <c r="V267" i="74" s="1"/>
  <c r="Q283" i="74"/>
  <c r="R283" i="74" s="1"/>
  <c r="U283" i="74" s="1"/>
  <c r="T283" i="74" s="1"/>
  <c r="V283" i="74" s="1"/>
  <c r="Q290" i="74"/>
  <c r="R290" i="74" s="1"/>
  <c r="U290" i="74" s="1"/>
  <c r="Q299" i="74"/>
  <c r="R299" i="74" s="1"/>
  <c r="U299" i="74" s="1"/>
  <c r="T299" i="74" s="1"/>
  <c r="V299" i="74" s="1"/>
  <c r="Q5" i="74"/>
  <c r="R5" i="74" s="1"/>
  <c r="U5" i="74" s="1"/>
  <c r="T5" i="74" s="1"/>
  <c r="V5" i="74" s="1"/>
  <c r="Q7" i="74"/>
  <c r="R7" i="74" s="1"/>
  <c r="U7" i="74" s="1"/>
  <c r="Q21" i="74"/>
  <c r="R21" i="74" s="1"/>
  <c r="U21" i="74" s="1"/>
  <c r="Q25" i="74"/>
  <c r="R25" i="74" s="1"/>
  <c r="U25" i="74" s="1"/>
  <c r="Q29" i="74"/>
  <c r="R29" i="74" s="1"/>
  <c r="U29" i="74" s="1"/>
  <c r="Q40" i="74"/>
  <c r="R40" i="74" s="1"/>
  <c r="U40" i="74" s="1"/>
  <c r="Q42" i="74"/>
  <c r="R42" i="74" s="1"/>
  <c r="U42" i="74" s="1"/>
  <c r="Q44" i="74"/>
  <c r="R44" i="74" s="1"/>
  <c r="U44" i="74" s="1"/>
  <c r="Q46" i="74"/>
  <c r="R46" i="74" s="1"/>
  <c r="U46" i="74" s="1"/>
  <c r="Q48" i="74"/>
  <c r="R48" i="74" s="1"/>
  <c r="U48" i="74" s="1"/>
  <c r="Q50" i="74"/>
  <c r="R50" i="74" s="1"/>
  <c r="U50" i="74" s="1"/>
  <c r="Q52" i="74"/>
  <c r="R52" i="74" s="1"/>
  <c r="U52" i="74" s="1"/>
  <c r="Q54" i="74"/>
  <c r="R54" i="74" s="1"/>
  <c r="U54" i="74" s="1"/>
  <c r="Q56" i="74"/>
  <c r="R56" i="74" s="1"/>
  <c r="U56" i="74" s="1"/>
  <c r="Q58" i="74"/>
  <c r="R58" i="74" s="1"/>
  <c r="U58" i="74" s="1"/>
  <c r="Q60" i="74"/>
  <c r="R60" i="74" s="1"/>
  <c r="U60" i="74" s="1"/>
  <c r="Q62" i="74"/>
  <c r="R62" i="74" s="1"/>
  <c r="U62" i="74" s="1"/>
  <c r="Q64" i="74"/>
  <c r="R64" i="74" s="1"/>
  <c r="U64" i="74" s="1"/>
  <c r="Q66" i="74"/>
  <c r="R66" i="74" s="1"/>
  <c r="U66" i="74" s="1"/>
  <c r="Q270" i="74"/>
  <c r="R270" i="74" s="1"/>
  <c r="U270" i="74" s="1"/>
  <c r="Q279" i="74"/>
  <c r="R279" i="74" s="1"/>
  <c r="U279" i="74" s="1"/>
  <c r="T279" i="74" s="1"/>
  <c r="V279" i="74" s="1"/>
  <c r="Q402" i="74"/>
  <c r="R402" i="74" s="1"/>
  <c r="U402" i="74" s="1"/>
  <c r="Q409" i="74"/>
  <c r="R409" i="74" s="1"/>
  <c r="U409" i="74" s="1"/>
  <c r="Q411" i="74"/>
  <c r="R411" i="74" s="1"/>
  <c r="U411" i="74" s="1"/>
  <c r="Q418" i="74"/>
  <c r="R418" i="74" s="1"/>
  <c r="U418" i="74" s="1"/>
  <c r="Q427" i="74"/>
  <c r="R427" i="74" s="1"/>
  <c r="U427" i="74" s="1"/>
  <c r="Q428" i="74"/>
  <c r="R428" i="74" s="1"/>
  <c r="U428" i="74" s="1"/>
  <c r="T428" i="74" s="1"/>
  <c r="V428" i="74" s="1"/>
  <c r="Q434" i="74"/>
  <c r="R434" i="74" s="1"/>
  <c r="U434" i="74" s="1"/>
  <c r="Q436" i="74"/>
  <c r="R436" i="74" s="1"/>
  <c r="U436" i="74" s="1"/>
  <c r="Q447" i="74"/>
  <c r="R447" i="74" s="1"/>
  <c r="U447" i="74" s="1"/>
  <c r="T447" i="74" s="1"/>
  <c r="V447" i="74" s="1"/>
  <c r="Q449" i="74"/>
  <c r="R449" i="74" s="1"/>
  <c r="U449" i="74" s="1"/>
  <c r="T449" i="74" s="1"/>
  <c r="V449" i="74" s="1"/>
  <c r="Q9" i="74"/>
  <c r="R9" i="74" s="1"/>
  <c r="U9" i="74" s="1"/>
  <c r="Q263" i="74"/>
  <c r="R263" i="74" s="1"/>
  <c r="U263" i="74" s="1"/>
  <c r="Q282" i="74"/>
  <c r="R282" i="74" s="1"/>
  <c r="U282" i="74" s="1"/>
  <c r="Q291" i="74"/>
  <c r="R291" i="74" s="1"/>
  <c r="U291" i="74" s="1"/>
  <c r="T291" i="74" s="1"/>
  <c r="V291" i="74" s="1"/>
  <c r="Q298" i="74"/>
  <c r="R298" i="74" s="1"/>
  <c r="U298" i="74" s="1"/>
  <c r="Q18" i="74"/>
  <c r="R18" i="74" s="1"/>
  <c r="U18" i="74" s="1"/>
  <c r="Q20" i="74"/>
  <c r="R20" i="74" s="1"/>
  <c r="U20" i="74" s="1"/>
  <c r="Q22" i="74"/>
  <c r="R22" i="74" s="1"/>
  <c r="U22" i="74" s="1"/>
  <c r="Q24" i="74"/>
  <c r="R24" i="74" s="1"/>
  <c r="U24" i="74" s="1"/>
  <c r="Q26" i="74"/>
  <c r="R26" i="74" s="1"/>
  <c r="U26" i="74" s="1"/>
  <c r="Q28" i="74"/>
  <c r="R28" i="74" s="1"/>
  <c r="U28" i="74" s="1"/>
  <c r="Q41" i="74"/>
  <c r="R41" i="74" s="1"/>
  <c r="U41" i="74" s="1"/>
  <c r="Q45" i="74"/>
  <c r="R45" i="74" s="1"/>
  <c r="U45" i="74" s="1"/>
  <c r="Q49" i="74"/>
  <c r="R49" i="74" s="1"/>
  <c r="U49" i="74" s="1"/>
  <c r="Q53" i="74"/>
  <c r="R53" i="74" s="1"/>
  <c r="U53" i="74" s="1"/>
  <c r="Q57" i="74"/>
  <c r="R57" i="74" s="1"/>
  <c r="U57" i="74" s="1"/>
  <c r="Q61" i="74"/>
  <c r="R61" i="74" s="1"/>
  <c r="U61" i="74" s="1"/>
  <c r="Q65" i="74"/>
  <c r="R65" i="74" s="1"/>
  <c r="U65" i="74" s="1"/>
  <c r="Q278" i="74"/>
  <c r="R278" i="74" s="1"/>
  <c r="U278" i="74" s="1"/>
  <c r="Q287" i="74"/>
  <c r="R287" i="74" s="1"/>
  <c r="U287" i="74" s="1"/>
  <c r="Q401" i="74"/>
  <c r="R401" i="74" s="1"/>
  <c r="U401" i="74" s="1"/>
  <c r="Q403" i="74"/>
  <c r="R403" i="74" s="1"/>
  <c r="U403" i="74" s="1"/>
  <c r="T403" i="74" s="1"/>
  <c r="V403" i="74" s="1"/>
  <c r="Q410" i="74"/>
  <c r="R410" i="74" s="1"/>
  <c r="U410" i="74" s="1"/>
  <c r="Q419" i="74"/>
  <c r="R419" i="74" s="1"/>
  <c r="U419" i="74" s="1"/>
  <c r="T419" i="74" s="1"/>
  <c r="V419" i="74" s="1"/>
  <c r="Q426" i="74"/>
  <c r="R426" i="74" s="1"/>
  <c r="U426" i="74" s="1"/>
  <c r="Q435" i="74"/>
  <c r="R435" i="74" s="1"/>
  <c r="U435" i="74" s="1"/>
  <c r="Q448" i="74"/>
  <c r="R448" i="74" s="1"/>
  <c r="U448" i="74" s="1"/>
  <c r="Q450" i="74"/>
  <c r="R450" i="74" s="1"/>
  <c r="U450" i="74" s="1"/>
  <c r="Q4" i="74"/>
  <c r="R4" i="74" s="1"/>
  <c r="U4" i="74" s="1"/>
  <c r="T4" i="74" s="1"/>
  <c r="V4" i="74" s="1"/>
  <c r="Q16" i="74"/>
  <c r="R16" i="74" s="1"/>
  <c r="U16" i="74" s="1"/>
  <c r="Q12" i="74"/>
  <c r="R12" i="74" s="1"/>
  <c r="U12" i="74" s="1"/>
  <c r="U68" i="74"/>
  <c r="Q19" i="74"/>
  <c r="R19" i="74" s="1"/>
  <c r="U19" i="74" s="1"/>
  <c r="Q23" i="74"/>
  <c r="R23" i="74" s="1"/>
  <c r="U23" i="74" s="1"/>
  <c r="Q27" i="74"/>
  <c r="R27" i="74" s="1"/>
  <c r="U27" i="74" s="1"/>
  <c r="Q43" i="74"/>
  <c r="R43" i="74" s="1"/>
  <c r="U43" i="74" s="1"/>
  <c r="Q47" i="74"/>
  <c r="R47" i="74" s="1"/>
  <c r="U47" i="74" s="1"/>
  <c r="Q51" i="74"/>
  <c r="R51" i="74" s="1"/>
  <c r="U51" i="74" s="1"/>
  <c r="Q55" i="74"/>
  <c r="R55" i="74" s="1"/>
  <c r="U55" i="74" s="1"/>
  <c r="Q59" i="74"/>
  <c r="R59" i="74" s="1"/>
  <c r="U59" i="74" s="1"/>
  <c r="Q63" i="74"/>
  <c r="R63" i="74" s="1"/>
  <c r="U63" i="74" s="1"/>
  <c r="Q67" i="74"/>
  <c r="R67" i="74" s="1"/>
  <c r="U67" i="74" s="1"/>
  <c r="Q71" i="74"/>
  <c r="R71" i="74" s="1"/>
  <c r="U71" i="74" s="1"/>
  <c r="Q75" i="74"/>
  <c r="R75" i="74" s="1"/>
  <c r="U75" i="74" s="1"/>
  <c r="Q79" i="74"/>
  <c r="R79" i="74" s="1"/>
  <c r="U79" i="74" s="1"/>
  <c r="Q83" i="74"/>
  <c r="R83" i="74" s="1"/>
  <c r="U83" i="74" s="1"/>
  <c r="Q87" i="74"/>
  <c r="R87" i="74" s="1"/>
  <c r="U87" i="74" s="1"/>
  <c r="Q91" i="74"/>
  <c r="R91" i="74" s="1"/>
  <c r="U91" i="74" s="1"/>
  <c r="Q95" i="74"/>
  <c r="R95" i="74" s="1"/>
  <c r="U95" i="74" s="1"/>
  <c r="Q133" i="74"/>
  <c r="R133" i="74" s="1"/>
  <c r="U133" i="74" s="1"/>
  <c r="Q136" i="74"/>
  <c r="R136" i="74" s="1"/>
  <c r="U136" i="74" s="1"/>
  <c r="Q140" i="74"/>
  <c r="R140" i="74" s="1"/>
  <c r="U140" i="74" s="1"/>
  <c r="Q144" i="74"/>
  <c r="R144" i="74" s="1"/>
  <c r="U144" i="74" s="1"/>
  <c r="Q148" i="74"/>
  <c r="R148" i="74" s="1"/>
  <c r="U148" i="74" s="1"/>
  <c r="Q152" i="74"/>
  <c r="R152" i="74" s="1"/>
  <c r="U152" i="74" s="1"/>
  <c r="Q156" i="74"/>
  <c r="R156" i="74" s="1"/>
  <c r="U156" i="74" s="1"/>
  <c r="Q160" i="74"/>
  <c r="R160" i="74" s="1"/>
  <c r="U160" i="74" s="1"/>
  <c r="Q164" i="74"/>
  <c r="R164" i="74" s="1"/>
  <c r="U164" i="74" s="1"/>
  <c r="Q168" i="74"/>
  <c r="R168" i="74" s="1"/>
  <c r="U168" i="74" s="1"/>
  <c r="Q172" i="74"/>
  <c r="R172" i="74" s="1"/>
  <c r="U172" i="74" s="1"/>
  <c r="Q176" i="74"/>
  <c r="R176" i="74" s="1"/>
  <c r="U176" i="74" s="1"/>
  <c r="Q180" i="74"/>
  <c r="R180" i="74" s="1"/>
  <c r="U180" i="74" s="1"/>
  <c r="Q184" i="74"/>
  <c r="R184" i="74" s="1"/>
  <c r="U184" i="74" s="1"/>
  <c r="Q188" i="74"/>
  <c r="R188" i="74" s="1"/>
  <c r="U188" i="74" s="1"/>
  <c r="Q192" i="74"/>
  <c r="R192" i="74" s="1"/>
  <c r="U192" i="74" s="1"/>
  <c r="Q196" i="74"/>
  <c r="R196" i="74" s="1"/>
  <c r="U196" i="74" s="1"/>
  <c r="Q200" i="74"/>
  <c r="R200" i="74" s="1"/>
  <c r="U200" i="74" s="1"/>
  <c r="Q204" i="74"/>
  <c r="R204" i="74" s="1"/>
  <c r="U204" i="74" s="1"/>
  <c r="Q208" i="74"/>
  <c r="R208" i="74" s="1"/>
  <c r="U208" i="74" s="1"/>
  <c r="Q212" i="74"/>
  <c r="R212" i="74" s="1"/>
  <c r="U212" i="74" s="1"/>
  <c r="Q216" i="74"/>
  <c r="R216" i="74" s="1"/>
  <c r="U216" i="74" s="1"/>
  <c r="Q220" i="74"/>
  <c r="R220" i="74" s="1"/>
  <c r="U220" i="74" s="1"/>
  <c r="Q224" i="74"/>
  <c r="R224" i="74" s="1"/>
  <c r="U224" i="74" s="1"/>
  <c r="Q228" i="74"/>
  <c r="R228" i="74" s="1"/>
  <c r="U228" i="74" s="1"/>
  <c r="Q232" i="74"/>
  <c r="R232" i="74" s="1"/>
  <c r="U232" i="74" s="1"/>
  <c r="Q236" i="74"/>
  <c r="R236" i="74" s="1"/>
  <c r="U236" i="74" s="1"/>
  <c r="Q240" i="74"/>
  <c r="R240" i="74" s="1"/>
  <c r="U240" i="74" s="1"/>
  <c r="Q248" i="74"/>
  <c r="R248" i="74" s="1"/>
  <c r="U248" i="74" s="1"/>
  <c r="Q252" i="74"/>
  <c r="R252" i="74" s="1"/>
  <c r="U252" i="74" s="1"/>
  <c r="Q256" i="74"/>
  <c r="R256" i="74" s="1"/>
  <c r="U256" i="74" s="1"/>
  <c r="Q266" i="74"/>
  <c r="R266" i="74" s="1"/>
  <c r="U266" i="74" s="1"/>
  <c r="Q259" i="74"/>
  <c r="R259" i="74" s="1"/>
  <c r="U259" i="74" s="1"/>
  <c r="Q264" i="74"/>
  <c r="R264" i="74" s="1"/>
  <c r="U264" i="74" s="1"/>
  <c r="Q258" i="74"/>
  <c r="R258" i="74" s="1"/>
  <c r="U258" i="74" s="1"/>
  <c r="Q262" i="74"/>
  <c r="R262" i="74" s="1"/>
  <c r="U262" i="74" s="1"/>
  <c r="Q293" i="74"/>
  <c r="R293" i="74" s="1"/>
  <c r="U293" i="74" s="1"/>
  <c r="Q297" i="74"/>
  <c r="R297" i="74" s="1"/>
  <c r="U297" i="74" s="1"/>
  <c r="Q413" i="74"/>
  <c r="R413" i="74" s="1"/>
  <c r="U413" i="74" s="1"/>
  <c r="Q417" i="74"/>
  <c r="R417" i="74" s="1"/>
  <c r="U417" i="74" s="1"/>
  <c r="Q421" i="74"/>
  <c r="R421" i="74" s="1"/>
  <c r="U421" i="74" s="1"/>
  <c r="Q425" i="74"/>
  <c r="R425" i="74" s="1"/>
  <c r="U425" i="74" s="1"/>
  <c r="Q429" i="74"/>
  <c r="R429" i="74" s="1"/>
  <c r="U429" i="74" s="1"/>
  <c r="Q433" i="74"/>
  <c r="R433" i="74" s="1"/>
  <c r="U433" i="74" s="1"/>
  <c r="Q439" i="74"/>
  <c r="R439" i="74" s="1"/>
  <c r="U439" i="74" s="1"/>
  <c r="Q440" i="74"/>
  <c r="R440" i="74" s="1"/>
  <c r="U440" i="74" s="1"/>
  <c r="Q437" i="74"/>
  <c r="R437" i="74" s="1"/>
  <c r="U437" i="74" s="1"/>
  <c r="Q442" i="74"/>
  <c r="R442" i="74" s="1"/>
  <c r="U442" i="74" s="1"/>
  <c r="Q445" i="74"/>
  <c r="R445" i="74" s="1"/>
  <c r="U445" i="74" s="1"/>
  <c r="Q501" i="74"/>
  <c r="R501" i="74" s="1"/>
  <c r="U501" i="74" s="1"/>
  <c r="B8" i="73"/>
  <c r="B9" i="73" s="1"/>
  <c r="B10" i="73" s="1"/>
  <c r="B11" i="73" s="1"/>
  <c r="I3" i="73"/>
  <c r="I6" i="73" s="1"/>
  <c r="G22" i="60"/>
  <c r="D18" i="72" s="1"/>
  <c r="N19" i="60"/>
  <c r="B184" i="60"/>
  <c r="D184" i="60"/>
  <c r="F184" i="60"/>
  <c r="D16" i="72"/>
  <c r="C103" i="72"/>
  <c r="D103" i="72" s="1"/>
  <c r="B13" i="60"/>
  <c r="E13" i="60"/>
  <c r="F12" i="60"/>
  <c r="E93" i="72"/>
  <c r="E34" i="72"/>
  <c r="C107" i="72"/>
  <c r="D107" i="72" s="1"/>
  <c r="F107" i="72" s="1"/>
  <c r="E104" i="72"/>
  <c r="D51" i="72" s="1"/>
  <c r="D101" i="72"/>
  <c r="C102" i="72" s="1"/>
  <c r="D25" i="72" s="1"/>
  <c r="D7" i="72"/>
  <c r="D13" i="18"/>
  <c r="C3" i="19" s="1"/>
  <c r="D12" i="18"/>
  <c r="D18" i="18" s="1"/>
  <c r="D11" i="18"/>
  <c r="C4" i="19" s="1"/>
  <c r="C5" i="19" s="1"/>
  <c r="E5" i="19" s="1"/>
  <c r="D10" i="18"/>
  <c r="D18" i="60"/>
  <c r="K21" i="60"/>
  <c r="G21" i="60"/>
  <c r="D32" i="70"/>
  <c r="D23" i="71"/>
  <c r="F37" i="71"/>
  <c r="E35" i="71"/>
  <c r="E36" i="71"/>
  <c r="H22" i="71"/>
  <c r="D22" i="71"/>
  <c r="E21" i="71"/>
  <c r="J16" i="71"/>
  <c r="T26" i="42"/>
  <c r="L5" i="18"/>
  <c r="L4" i="18"/>
  <c r="T29" i="57"/>
  <c r="C57" i="21"/>
  <c r="T24" i="57"/>
  <c r="W8" i="57"/>
  <c r="AH55" i="57"/>
  <c r="A2" i="70"/>
  <c r="B11" i="70"/>
  <c r="B10" i="70"/>
  <c r="D5" i="70"/>
  <c r="B8" i="70"/>
  <c r="H83" i="18"/>
  <c r="D9" i="18"/>
  <c r="I165" i="60"/>
  <c r="J72" i="68"/>
  <c r="J72" i="61"/>
  <c r="J83" i="61"/>
  <c r="J83" i="68"/>
  <c r="G9" i="68"/>
  <c r="G9" i="61"/>
  <c r="Y5" i="18"/>
  <c r="Y6" i="18" s="1"/>
  <c r="Y7" i="18" s="1"/>
  <c r="M84" i="68"/>
  <c r="J84" i="68"/>
  <c r="J82" i="68"/>
  <c r="I81" i="68"/>
  <c r="E16" i="68"/>
  <c r="M73" i="68"/>
  <c r="J73" i="68"/>
  <c r="J71" i="68"/>
  <c r="I70" i="68"/>
  <c r="E23" i="68"/>
  <c r="H17" i="68"/>
  <c r="E17" i="68"/>
  <c r="M14" i="68"/>
  <c r="H14" i="68"/>
  <c r="B14" i="68"/>
  <c r="I13" i="68"/>
  <c r="D13" i="68"/>
  <c r="K8" i="68"/>
  <c r="L5" i="68"/>
  <c r="I3" i="68"/>
  <c r="J48" i="57"/>
  <c r="L47" i="57"/>
  <c r="M46" i="57"/>
  <c r="V44" i="57"/>
  <c r="W43" i="57"/>
  <c r="T42" i="57"/>
  <c r="K41" i="57"/>
  <c r="M34" i="57"/>
  <c r="C25" i="21"/>
  <c r="H84" i="18" s="1"/>
  <c r="E23" i="61"/>
  <c r="B16" i="66"/>
  <c r="I10" i="66" s="1"/>
  <c r="I11" i="66" s="1"/>
  <c r="I12" i="66" s="1"/>
  <c r="I13" i="66" s="1"/>
  <c r="P2" i="66"/>
  <c r="P4" i="66" s="1"/>
  <c r="P5" i="66" s="1"/>
  <c r="F12" i="66"/>
  <c r="F11" i="66"/>
  <c r="G18" i="66"/>
  <c r="G20" i="66" s="1"/>
  <c r="C2" i="66"/>
  <c r="T23" i="57"/>
  <c r="B19" i="50"/>
  <c r="B18" i="50"/>
  <c r="B17" i="50"/>
  <c r="B6" i="50"/>
  <c r="B5" i="50"/>
  <c r="B4" i="50"/>
  <c r="B3" i="50"/>
  <c r="B2" i="50"/>
  <c r="J35" i="57"/>
  <c r="M33" i="57"/>
  <c r="V31" i="57"/>
  <c r="K28" i="57"/>
  <c r="B7" i="65"/>
  <c r="B25" i="65" s="1"/>
  <c r="B44" i="65" s="1"/>
  <c r="C4" i="65"/>
  <c r="C23" i="65" s="1"/>
  <c r="A52" i="65"/>
  <c r="B50" i="65"/>
  <c r="A50" i="65"/>
  <c r="E49" i="65"/>
  <c r="A48" i="65"/>
  <c r="F46" i="65"/>
  <c r="F45" i="65"/>
  <c r="A44" i="65"/>
  <c r="A33" i="65"/>
  <c r="B32" i="65"/>
  <c r="A32" i="65"/>
  <c r="F29" i="65"/>
  <c r="B29" i="65"/>
  <c r="A29" i="65"/>
  <c r="F28" i="65"/>
  <c r="A28" i="65"/>
  <c r="F27" i="65"/>
  <c r="F25" i="65"/>
  <c r="A25" i="65"/>
  <c r="B50" i="59"/>
  <c r="B7" i="59"/>
  <c r="B25" i="59" s="1"/>
  <c r="B44" i="59" s="1"/>
  <c r="B29" i="59"/>
  <c r="C4" i="59"/>
  <c r="C42" i="59" s="1"/>
  <c r="W6" i="57"/>
  <c r="F6" i="59"/>
  <c r="E49" i="59" s="1"/>
  <c r="P2" i="17"/>
  <c r="M5" i="17"/>
  <c r="M8" i="17" s="1"/>
  <c r="L56" i="17"/>
  <c r="B58" i="17"/>
  <c r="A62" i="17"/>
  <c r="B62" i="17"/>
  <c r="A63" i="17" s="1"/>
  <c r="P2" i="13"/>
  <c r="M5" i="13"/>
  <c r="M8" i="13" s="1"/>
  <c r="L56" i="13"/>
  <c r="B58" i="13"/>
  <c r="A62" i="13"/>
  <c r="B62" i="13"/>
  <c r="A63" i="13" s="1"/>
  <c r="P2" i="12"/>
  <c r="M5" i="12"/>
  <c r="L56" i="12"/>
  <c r="B58" i="12"/>
  <c r="A62" i="12"/>
  <c r="B62" i="12"/>
  <c r="A63" i="12" s="1"/>
  <c r="P2" i="11"/>
  <c r="M5" i="11"/>
  <c r="M13" i="11" s="1"/>
  <c r="M14" i="11" s="1"/>
  <c r="L56" i="11"/>
  <c r="B58" i="11"/>
  <c r="A62" i="11"/>
  <c r="B62" i="11"/>
  <c r="A63" i="11" s="1"/>
  <c r="P2" i="10"/>
  <c r="M5" i="10"/>
  <c r="M13" i="10" s="1"/>
  <c r="B59" i="10" s="1"/>
  <c r="A60" i="10" s="1"/>
  <c r="L56" i="10"/>
  <c r="B58" i="10"/>
  <c r="A62" i="10"/>
  <c r="B62" i="10"/>
  <c r="A63" i="10" s="1"/>
  <c r="P2" i="5"/>
  <c r="M5" i="5"/>
  <c r="M13" i="5" s="1"/>
  <c r="M14" i="5" s="1"/>
  <c r="L56" i="5"/>
  <c r="B58" i="5"/>
  <c r="A62" i="5"/>
  <c r="B62" i="5"/>
  <c r="A63" i="5" s="1"/>
  <c r="P2" i="9"/>
  <c r="M5" i="9"/>
  <c r="L56" i="9"/>
  <c r="B58" i="9"/>
  <c r="A62" i="9"/>
  <c r="B62" i="9"/>
  <c r="A63" i="9" s="1"/>
  <c r="P2" i="6"/>
  <c r="L56" i="6"/>
  <c r="B58" i="6"/>
  <c r="A62" i="6"/>
  <c r="B62" i="6"/>
  <c r="A63" i="6" s="1"/>
  <c r="P2" i="15"/>
  <c r="M5" i="15"/>
  <c r="L56" i="15"/>
  <c r="B58" i="15"/>
  <c r="A62" i="15"/>
  <c r="B62" i="15"/>
  <c r="A63" i="15" s="1"/>
  <c r="P2" i="4"/>
  <c r="M5" i="4"/>
  <c r="L56" i="4"/>
  <c r="B58" i="4"/>
  <c r="A62" i="4"/>
  <c r="B62" i="4"/>
  <c r="A63" i="4" s="1"/>
  <c r="P2" i="20"/>
  <c r="M5" i="20"/>
  <c r="M8" i="20" s="1"/>
  <c r="M10" i="20" s="1"/>
  <c r="L56" i="20"/>
  <c r="B58" i="20"/>
  <c r="A62" i="20"/>
  <c r="B62" i="20"/>
  <c r="A63" i="20" s="1"/>
  <c r="P2" i="22"/>
  <c r="L56" i="22"/>
  <c r="B58" i="22"/>
  <c r="A62" i="22"/>
  <c r="B62" i="22"/>
  <c r="A63" i="22" s="1"/>
  <c r="E3" i="19"/>
  <c r="B8" i="19"/>
  <c r="P2" i="25"/>
  <c r="M5" i="25"/>
  <c r="L56" i="25"/>
  <c r="B58" i="25"/>
  <c r="A62" i="25"/>
  <c r="B62" i="25"/>
  <c r="A63" i="25" s="1"/>
  <c r="B9" i="53"/>
  <c r="N3" i="53"/>
  <c r="Q4" i="53" s="1"/>
  <c r="M12" i="53"/>
  <c r="B9" i="52"/>
  <c r="N3" i="52"/>
  <c r="M12" i="52"/>
  <c r="C5" i="49"/>
  <c r="D8" i="49"/>
  <c r="E8" i="49"/>
  <c r="B10" i="49"/>
  <c r="D10" i="49"/>
  <c r="B13" i="49"/>
  <c r="G3" i="51"/>
  <c r="B7" i="51"/>
  <c r="A25" i="59"/>
  <c r="A28" i="59"/>
  <c r="A29" i="59"/>
  <c r="F29" i="59"/>
  <c r="A32" i="59"/>
  <c r="B32" i="59"/>
  <c r="A33" i="59"/>
  <c r="A44" i="59"/>
  <c r="A50" i="59"/>
  <c r="A52" i="59"/>
  <c r="E12" i="58"/>
  <c r="I12" i="58"/>
  <c r="F21" i="58" s="1"/>
  <c r="D13" i="58"/>
  <c r="C15" i="58"/>
  <c r="C27" i="58"/>
  <c r="E28" i="58"/>
  <c r="F28" i="58"/>
  <c r="H28" i="58"/>
  <c r="G11" i="54"/>
  <c r="B21" i="54"/>
  <c r="E25" i="54"/>
  <c r="C7" i="18"/>
  <c r="C17" i="18"/>
  <c r="A18" i="18" s="1"/>
  <c r="B18" i="18" s="1"/>
  <c r="V7" i="57"/>
  <c r="W9" i="57"/>
  <c r="I10" i="57"/>
  <c r="Y10" i="57"/>
  <c r="AO10" i="57"/>
  <c r="N11" i="57"/>
  <c r="N12" i="57"/>
  <c r="C14" i="57"/>
  <c r="W16" i="57"/>
  <c r="R17" i="57"/>
  <c r="L18" i="57"/>
  <c r="K19" i="57"/>
  <c r="M20" i="57"/>
  <c r="L21" i="57"/>
  <c r="X22" i="57"/>
  <c r="A68" i="57"/>
  <c r="W8" i="42"/>
  <c r="W11" i="42"/>
  <c r="AI12" i="42"/>
  <c r="AM13" i="42"/>
  <c r="AR26" i="42"/>
  <c r="I28" i="42"/>
  <c r="I3" i="61"/>
  <c r="L5" i="61"/>
  <c r="K8" i="61"/>
  <c r="D13" i="61"/>
  <c r="I13" i="61"/>
  <c r="B14" i="61"/>
  <c r="H14" i="61"/>
  <c r="M14" i="61"/>
  <c r="E17" i="61"/>
  <c r="H17" i="61"/>
  <c r="E16" i="61"/>
  <c r="I70" i="61"/>
  <c r="I71" i="61"/>
  <c r="J73" i="61"/>
  <c r="M73" i="61"/>
  <c r="I81" i="61"/>
  <c r="I82" i="61"/>
  <c r="J84" i="61"/>
  <c r="M84" i="61"/>
  <c r="I3" i="60"/>
  <c r="M5" i="60"/>
  <c r="C18" i="66" s="1"/>
  <c r="C20" i="66" s="1"/>
  <c r="J8" i="60"/>
  <c r="F9" i="59"/>
  <c r="F45" i="59" s="1"/>
  <c r="I163" i="60"/>
  <c r="I164" i="60"/>
  <c r="I166" i="60"/>
  <c r="K166" i="60"/>
  <c r="C70" i="21"/>
  <c r="E70" i="21"/>
  <c r="F74" i="21"/>
  <c r="J1" i="19" s="1"/>
  <c r="H74" i="21"/>
  <c r="D82" i="21"/>
  <c r="F46" i="59"/>
  <c r="F27" i="59"/>
  <c r="H13" i="21"/>
  <c r="E17" i="21"/>
  <c r="M5" i="6"/>
  <c r="K14" i="61"/>
  <c r="K14" i="68"/>
  <c r="M13" i="4"/>
  <c r="M14" i="4" s="1"/>
  <c r="M13" i="9"/>
  <c r="M14" i="9" s="1"/>
  <c r="C10" i="70"/>
  <c r="M13" i="13"/>
  <c r="M14" i="13" s="1"/>
  <c r="M13" i="17"/>
  <c r="B59" i="17" s="1"/>
  <c r="A60" i="17" s="1"/>
  <c r="M10" i="17"/>
  <c r="A61" i="17"/>
  <c r="M13" i="25"/>
  <c r="B59" i="25" s="1"/>
  <c r="A60" i="25" s="1"/>
  <c r="E103" i="72"/>
  <c r="F103" i="72"/>
  <c r="C106" i="72" s="1"/>
  <c r="A1" i="13"/>
  <c r="F5" i="13" s="1"/>
  <c r="A61" i="13"/>
  <c r="M10" i="13"/>
  <c r="M6" i="13"/>
  <c r="M6" i="20"/>
  <c r="H2" i="13"/>
  <c r="I5" i="13"/>
  <c r="I2" i="13"/>
  <c r="H8" i="13" s="1"/>
  <c r="B4" i="13"/>
  <c r="I6" i="13"/>
  <c r="H10" i="13" l="1"/>
  <c r="G2" i="13"/>
  <c r="I8" i="13"/>
  <c r="C5" i="13"/>
  <c r="E4" i="13"/>
  <c r="E2" i="13"/>
  <c r="B2" i="13"/>
  <c r="M4" i="13" s="1"/>
  <c r="D31" i="13" s="1"/>
  <c r="H4" i="13"/>
  <c r="B59" i="4"/>
  <c r="A60" i="4" s="1"/>
  <c r="D4" i="13"/>
  <c r="F2" i="13"/>
  <c r="E9" i="13" s="1"/>
  <c r="G4" i="13"/>
  <c r="C4" i="13"/>
  <c r="G7" i="13"/>
  <c r="G3" i="13"/>
  <c r="G30" i="13" s="1"/>
  <c r="I31" i="13" s="1"/>
  <c r="I32" i="13" s="1"/>
  <c r="E3" i="13"/>
  <c r="E30" i="13" s="1"/>
  <c r="F31" i="13" s="1"/>
  <c r="F32" i="13" s="1"/>
  <c r="D36" i="13" s="1"/>
  <c r="M15" i="4"/>
  <c r="M16" i="4" s="1"/>
  <c r="M17" i="4" s="1"/>
  <c r="M18" i="4" s="1"/>
  <c r="M19" i="4" s="1"/>
  <c r="B59" i="9"/>
  <c r="A60" i="9" s="1"/>
  <c r="G6" i="13"/>
  <c r="N3" i="13"/>
  <c r="F8" i="13"/>
  <c r="E7" i="13"/>
  <c r="F6" i="13"/>
  <c r="P3" i="13"/>
  <c r="H6" i="13"/>
  <c r="H11" i="13"/>
  <c r="I4" i="13"/>
  <c r="M13" i="12"/>
  <c r="M8" i="12"/>
  <c r="E40" i="13"/>
  <c r="I9" i="13"/>
  <c r="H9" i="13"/>
  <c r="N2" i="13"/>
  <c r="I7" i="13"/>
  <c r="H5" i="13"/>
  <c r="E49" i="13"/>
  <c r="D38" i="13"/>
  <c r="F7" i="13"/>
  <c r="H7" i="13"/>
  <c r="M14" i="25"/>
  <c r="M8" i="4"/>
  <c r="M10" i="4" s="1"/>
  <c r="H3" i="13"/>
  <c r="H30" i="13" s="1"/>
  <c r="J31" i="13" s="1"/>
  <c r="J32" i="13" s="1"/>
  <c r="H12" i="13"/>
  <c r="M2" i="13"/>
  <c r="L31" i="13" s="1"/>
  <c r="E8" i="13"/>
  <c r="I3" i="13"/>
  <c r="I30" i="13" s="1"/>
  <c r="K31" i="13" s="1"/>
  <c r="K32" i="13" s="1"/>
  <c r="M15" i="25"/>
  <c r="M16" i="25" s="1"/>
  <c r="M17" i="25" s="1"/>
  <c r="A2" i="13"/>
  <c r="D2" i="13"/>
  <c r="C2" i="13"/>
  <c r="AH54" i="57"/>
  <c r="AH56" i="57" s="1"/>
  <c r="C36" i="42"/>
  <c r="E2" i="53"/>
  <c r="E13" i="53" s="1"/>
  <c r="A29" i="53" s="1"/>
  <c r="P15" i="18"/>
  <c r="F25" i="59"/>
  <c r="F28" i="59"/>
  <c r="E107" i="72"/>
  <c r="P3" i="74"/>
  <c r="C9" i="73"/>
  <c r="D10" i="73" s="1"/>
  <c r="D11" i="73" s="1"/>
  <c r="A19" i="18"/>
  <c r="A20" i="18" s="1"/>
  <c r="A21" i="18" s="1"/>
  <c r="V260" i="74"/>
  <c r="B186" i="60"/>
  <c r="F59" i="72"/>
  <c r="A1" i="20"/>
  <c r="C23" i="59"/>
  <c r="A61" i="20"/>
  <c r="M13" i="20"/>
  <c r="M15" i="20" s="1"/>
  <c r="M16" i="20" s="1"/>
  <c r="M17" i="20" s="1"/>
  <c r="C42" i="65"/>
  <c r="R10" i="18"/>
  <c r="C1" i="19"/>
  <c r="D8" i="19" s="1"/>
  <c r="F8" i="19" s="1"/>
  <c r="G18" i="18" s="1"/>
  <c r="E2" i="52"/>
  <c r="E13" i="52" s="1"/>
  <c r="A29" i="52" s="1"/>
  <c r="C2" i="19"/>
  <c r="A45" i="19" s="1"/>
  <c r="T123" i="74"/>
  <c r="V123" i="74" s="1"/>
  <c r="T241" i="74"/>
  <c r="V241" i="74" s="1"/>
  <c r="T275" i="74"/>
  <c r="V275" i="74" s="1"/>
  <c r="T7" i="74"/>
  <c r="V7" i="74" s="1"/>
  <c r="T495" i="74"/>
  <c r="V495" i="74" s="1"/>
  <c r="T479" i="74"/>
  <c r="V479" i="74" s="1"/>
  <c r="T463" i="74"/>
  <c r="V463" i="74" s="1"/>
  <c r="V107" i="74"/>
  <c r="T126" i="74"/>
  <c r="V126" i="74" s="1"/>
  <c r="T257" i="74"/>
  <c r="V257" i="74" s="1"/>
  <c r="T110" i="74"/>
  <c r="V110" i="74" s="1"/>
  <c r="T401" i="74"/>
  <c r="V401" i="74" s="1"/>
  <c r="T431" i="74"/>
  <c r="V431" i="74" s="1"/>
  <c r="V269" i="74"/>
  <c r="B59" i="5"/>
  <c r="A60" i="5" s="1"/>
  <c r="D19" i="18"/>
  <c r="D20" i="18" s="1"/>
  <c r="D21" i="18" s="1"/>
  <c r="D22" i="18" s="1"/>
  <c r="D23" i="18" s="1"/>
  <c r="D24" i="18" s="1"/>
  <c r="D25" i="18" s="1"/>
  <c r="D26" i="18" s="1"/>
  <c r="D27" i="18" s="1"/>
  <c r="D28" i="18" s="1"/>
  <c r="D29" i="18" s="1"/>
  <c r="D30" i="18" s="1"/>
  <c r="D31" i="18" s="1"/>
  <c r="M15" i="5"/>
  <c r="M16" i="5" s="1"/>
  <c r="M17" i="5" s="1"/>
  <c r="M8" i="5"/>
  <c r="M10" i="5" s="1"/>
  <c r="Y8" i="18"/>
  <c r="P3" i="53"/>
  <c r="R3" i="53"/>
  <c r="T442" i="74"/>
  <c r="V442" i="74" s="1"/>
  <c r="T440" i="74"/>
  <c r="V440" i="74" s="1"/>
  <c r="T413" i="74"/>
  <c r="V413" i="74" s="1"/>
  <c r="T297" i="74"/>
  <c r="V297" i="74" s="1"/>
  <c r="T258" i="74"/>
  <c r="V258" i="74" s="1"/>
  <c r="T240" i="74"/>
  <c r="V240" i="74" s="1"/>
  <c r="T232" i="74"/>
  <c r="V232" i="74" s="1"/>
  <c r="T224" i="74"/>
  <c r="V224" i="74" s="1"/>
  <c r="T216" i="74"/>
  <c r="V216" i="74" s="1"/>
  <c r="T208" i="74"/>
  <c r="V208" i="74" s="1"/>
  <c r="T200" i="74"/>
  <c r="V200" i="74" s="1"/>
  <c r="T192" i="74"/>
  <c r="V192" i="74" s="1"/>
  <c r="T184" i="74"/>
  <c r="V184" i="74" s="1"/>
  <c r="T176" i="74"/>
  <c r="V176" i="74" s="1"/>
  <c r="T168" i="74"/>
  <c r="V168" i="74" s="1"/>
  <c r="T160" i="74"/>
  <c r="V160" i="74" s="1"/>
  <c r="T152" i="74"/>
  <c r="V152" i="74" s="1"/>
  <c r="T144" i="74"/>
  <c r="V144" i="74" s="1"/>
  <c r="T136" i="74"/>
  <c r="V136" i="74" s="1"/>
  <c r="T87" i="74"/>
  <c r="V87" i="74" s="1"/>
  <c r="T71" i="74"/>
  <c r="V71" i="74" s="1"/>
  <c r="T55" i="74"/>
  <c r="V55" i="74" s="1"/>
  <c r="T23" i="74"/>
  <c r="V23" i="74" s="1"/>
  <c r="T439" i="74"/>
  <c r="V439" i="74" s="1"/>
  <c r="T425" i="74"/>
  <c r="V425" i="74" s="1"/>
  <c r="T293" i="74"/>
  <c r="V293" i="74" s="1"/>
  <c r="T256" i="74"/>
  <c r="V256" i="74" s="1"/>
  <c r="T248" i="74"/>
  <c r="V248" i="74" s="1"/>
  <c r="T83" i="74"/>
  <c r="V83" i="74" s="1"/>
  <c r="T67" i="74"/>
  <c r="V67" i="74" s="1"/>
  <c r="T51" i="74"/>
  <c r="V51" i="74" s="1"/>
  <c r="T19" i="74"/>
  <c r="V19" i="74" s="1"/>
  <c r="T16" i="74"/>
  <c r="V16" i="74" s="1"/>
  <c r="T437" i="74"/>
  <c r="V437" i="74" s="1"/>
  <c r="T421" i="74"/>
  <c r="V421" i="74" s="1"/>
  <c r="T262" i="74"/>
  <c r="V262" i="74" s="1"/>
  <c r="T236" i="74"/>
  <c r="V236" i="74" s="1"/>
  <c r="T228" i="74"/>
  <c r="V228" i="74" s="1"/>
  <c r="T220" i="74"/>
  <c r="V220" i="74" s="1"/>
  <c r="T212" i="74"/>
  <c r="V212" i="74" s="1"/>
  <c r="T204" i="74"/>
  <c r="V204" i="74" s="1"/>
  <c r="T196" i="74"/>
  <c r="V196" i="74" s="1"/>
  <c r="T188" i="74"/>
  <c r="V188" i="74" s="1"/>
  <c r="T180" i="74"/>
  <c r="V180" i="74" s="1"/>
  <c r="T172" i="74"/>
  <c r="V172" i="74" s="1"/>
  <c r="T164" i="74"/>
  <c r="V164" i="74" s="1"/>
  <c r="T156" i="74"/>
  <c r="V156" i="74" s="1"/>
  <c r="T148" i="74"/>
  <c r="V148" i="74" s="1"/>
  <c r="T140" i="74"/>
  <c r="V140" i="74" s="1"/>
  <c r="T95" i="74"/>
  <c r="V95" i="74" s="1"/>
  <c r="T79" i="74"/>
  <c r="V79" i="74" s="1"/>
  <c r="T63" i="74"/>
  <c r="V63" i="74" s="1"/>
  <c r="T47" i="74"/>
  <c r="V47" i="74" s="1"/>
  <c r="T445" i="74"/>
  <c r="V445" i="74" s="1"/>
  <c r="T433" i="74"/>
  <c r="V433" i="74" s="1"/>
  <c r="T417" i="74"/>
  <c r="V417" i="74" s="1"/>
  <c r="T264" i="74"/>
  <c r="V264" i="74" s="1"/>
  <c r="T266" i="74"/>
  <c r="V266" i="74" s="1"/>
  <c r="T252" i="74"/>
  <c r="V252" i="74" s="1"/>
  <c r="T91" i="74"/>
  <c r="V91" i="74" s="1"/>
  <c r="T75" i="74"/>
  <c r="V75" i="74" s="1"/>
  <c r="T59" i="74"/>
  <c r="V59" i="74" s="1"/>
  <c r="T43" i="74"/>
  <c r="V43" i="74" s="1"/>
  <c r="T27" i="74"/>
  <c r="V27" i="74" s="1"/>
  <c r="T470" i="74"/>
  <c r="V470" i="74" s="1"/>
  <c r="P3" i="66"/>
  <c r="T490" i="74"/>
  <c r="V490" i="74" s="1"/>
  <c r="T474" i="74"/>
  <c r="V474" i="74" s="1"/>
  <c r="T458" i="74"/>
  <c r="V458" i="74" s="1"/>
  <c r="T488" i="74"/>
  <c r="V488" i="74" s="1"/>
  <c r="T472" i="74"/>
  <c r="V472" i="74" s="1"/>
  <c r="T456" i="74"/>
  <c r="V456" i="74" s="1"/>
  <c r="T444" i="74"/>
  <c r="V444" i="74" s="1"/>
  <c r="T430" i="74"/>
  <c r="V430" i="74" s="1"/>
  <c r="T414" i="74"/>
  <c r="V414" i="74" s="1"/>
  <c r="T441" i="74"/>
  <c r="V441" i="74" s="1"/>
  <c r="T405" i="74"/>
  <c r="V405" i="74" s="1"/>
  <c r="T286" i="74"/>
  <c r="V286" i="74" s="1"/>
  <c r="T270" i="74"/>
  <c r="V270" i="74" s="1"/>
  <c r="T288" i="74"/>
  <c r="V288" i="74" s="1"/>
  <c r="T209" i="74"/>
  <c r="V209" i="74" s="1"/>
  <c r="T193" i="74"/>
  <c r="V193" i="74" s="1"/>
  <c r="T177" i="74"/>
  <c r="V177" i="74" s="1"/>
  <c r="T161" i="74"/>
  <c r="V161" i="74" s="1"/>
  <c r="T145" i="74"/>
  <c r="V145" i="74" s="1"/>
  <c r="T254" i="74"/>
  <c r="V254" i="74" s="1"/>
  <c r="T238" i="74"/>
  <c r="V238" i="74" s="1"/>
  <c r="T222" i="74"/>
  <c r="V222" i="74" s="1"/>
  <c r="T206" i="74"/>
  <c r="V206" i="74" s="1"/>
  <c r="T190" i="74"/>
  <c r="V190" i="74" s="1"/>
  <c r="T174" i="74"/>
  <c r="V174" i="74" s="1"/>
  <c r="T158" i="74"/>
  <c r="V158" i="74" s="1"/>
  <c r="T142" i="74"/>
  <c r="V142" i="74" s="1"/>
  <c r="T292" i="74"/>
  <c r="V292" i="74" s="1"/>
  <c r="T280" i="74"/>
  <c r="V280" i="74" s="1"/>
  <c r="T239" i="74"/>
  <c r="V239" i="74" s="1"/>
  <c r="T231" i="74"/>
  <c r="V231" i="74" s="1"/>
  <c r="T223" i="74"/>
  <c r="V223" i="74" s="1"/>
  <c r="T215" i="74"/>
  <c r="V215" i="74" s="1"/>
  <c r="T207" i="74"/>
  <c r="V207" i="74" s="1"/>
  <c r="T199" i="74"/>
  <c r="V199" i="74" s="1"/>
  <c r="T191" i="74"/>
  <c r="V191" i="74" s="1"/>
  <c r="T183" i="74"/>
  <c r="V183" i="74" s="1"/>
  <c r="T175" i="74"/>
  <c r="V175" i="74" s="1"/>
  <c r="T167" i="74"/>
  <c r="V167" i="74" s="1"/>
  <c r="T159" i="74"/>
  <c r="V159" i="74" s="1"/>
  <c r="T151" i="74"/>
  <c r="V151" i="74" s="1"/>
  <c r="T143" i="74"/>
  <c r="V143" i="74" s="1"/>
  <c r="T135" i="74"/>
  <c r="V135" i="74" s="1"/>
  <c r="T129" i="74"/>
  <c r="V129" i="74" s="1"/>
  <c r="T113" i="74"/>
  <c r="V113" i="74" s="1"/>
  <c r="T97" i="74"/>
  <c r="V97" i="74" s="1"/>
  <c r="T81" i="74"/>
  <c r="V81" i="74" s="1"/>
  <c r="T65" i="74"/>
  <c r="V65" i="74" s="1"/>
  <c r="T49" i="74"/>
  <c r="V49" i="74" s="1"/>
  <c r="T131" i="74"/>
  <c r="V131" i="74" s="1"/>
  <c r="T102" i="74"/>
  <c r="V102" i="74" s="1"/>
  <c r="T130" i="74"/>
  <c r="V130" i="74" s="1"/>
  <c r="T114" i="74"/>
  <c r="V114" i="74" s="1"/>
  <c r="T98" i="74"/>
  <c r="V98" i="74" s="1"/>
  <c r="T90" i="74"/>
  <c r="V90" i="74" s="1"/>
  <c r="T82" i="74"/>
  <c r="V82" i="74" s="1"/>
  <c r="T74" i="74"/>
  <c r="V74" i="74" s="1"/>
  <c r="T66" i="74"/>
  <c r="V66" i="74" s="1"/>
  <c r="T58" i="74"/>
  <c r="V58" i="74" s="1"/>
  <c r="T50" i="74"/>
  <c r="V50" i="74" s="1"/>
  <c r="T42" i="74"/>
  <c r="V42" i="74" s="1"/>
  <c r="T26" i="74"/>
  <c r="V26" i="74" s="1"/>
  <c r="T18" i="74"/>
  <c r="V18" i="74" s="1"/>
  <c r="T6" i="74"/>
  <c r="V6" i="74" s="1"/>
  <c r="T454" i="74"/>
  <c r="V454" i="74" s="1"/>
  <c r="T468" i="74"/>
  <c r="V468" i="74" s="1"/>
  <c r="T410" i="74"/>
  <c r="V410" i="74" s="1"/>
  <c r="T429" i="74"/>
  <c r="V429" i="74" s="1"/>
  <c r="T411" i="74"/>
  <c r="V411" i="74" s="1"/>
  <c r="T423" i="74"/>
  <c r="V423" i="74" s="1"/>
  <c r="T404" i="74"/>
  <c r="V404" i="74" s="1"/>
  <c r="T298" i="74"/>
  <c r="V298" i="74" s="1"/>
  <c r="T282" i="74"/>
  <c r="V282" i="74" s="1"/>
  <c r="T272" i="74"/>
  <c r="V272" i="74" s="1"/>
  <c r="T221" i="74"/>
  <c r="V221" i="74" s="1"/>
  <c r="T205" i="74"/>
  <c r="V205" i="74" s="1"/>
  <c r="T189" i="74"/>
  <c r="V189" i="74" s="1"/>
  <c r="T173" i="74"/>
  <c r="V173" i="74" s="1"/>
  <c r="T157" i="74"/>
  <c r="V157" i="74" s="1"/>
  <c r="T141" i="74"/>
  <c r="V141" i="74" s="1"/>
  <c r="T296" i="74"/>
  <c r="V296" i="74" s="1"/>
  <c r="T250" i="74"/>
  <c r="V250" i="74" s="1"/>
  <c r="T234" i="74"/>
  <c r="V234" i="74" s="1"/>
  <c r="T218" i="74"/>
  <c r="V218" i="74" s="1"/>
  <c r="T202" i="74"/>
  <c r="V202" i="74" s="1"/>
  <c r="T186" i="74"/>
  <c r="V186" i="74" s="1"/>
  <c r="T170" i="74"/>
  <c r="V170" i="74" s="1"/>
  <c r="T154" i="74"/>
  <c r="V154" i="74" s="1"/>
  <c r="T138" i="74"/>
  <c r="V138" i="74" s="1"/>
  <c r="T255" i="74"/>
  <c r="V255" i="74" s="1"/>
  <c r="T247" i="74"/>
  <c r="V247" i="74" s="1"/>
  <c r="T233" i="74"/>
  <c r="V233" i="74" s="1"/>
  <c r="T245" i="74"/>
  <c r="V245" i="74" s="1"/>
  <c r="T125" i="74"/>
  <c r="V125" i="74" s="1"/>
  <c r="T109" i="74"/>
  <c r="V109" i="74" s="1"/>
  <c r="T93" i="74"/>
  <c r="V93" i="74" s="1"/>
  <c r="T77" i="74"/>
  <c r="V77" i="74" s="1"/>
  <c r="T61" i="74"/>
  <c r="V61" i="74" s="1"/>
  <c r="T45" i="74"/>
  <c r="V45" i="74" s="1"/>
  <c r="T29" i="74"/>
  <c r="V29" i="74" s="1"/>
  <c r="T133" i="74"/>
  <c r="V133" i="74" s="1"/>
  <c r="T118" i="74"/>
  <c r="V118" i="74" s="1"/>
  <c r="T100" i="74"/>
  <c r="V100" i="74" s="1"/>
  <c r="T128" i="74"/>
  <c r="V128" i="74" s="1"/>
  <c r="T112" i="74"/>
  <c r="V112" i="74" s="1"/>
  <c r="T96" i="74"/>
  <c r="V96" i="74" s="1"/>
  <c r="T88" i="74"/>
  <c r="V88" i="74" s="1"/>
  <c r="T80" i="74"/>
  <c r="V80" i="74" s="1"/>
  <c r="T72" i="74"/>
  <c r="V72" i="74" s="1"/>
  <c r="T64" i="74"/>
  <c r="V64" i="74" s="1"/>
  <c r="T56" i="74"/>
  <c r="V56" i="74" s="1"/>
  <c r="T48" i="74"/>
  <c r="V48" i="74" s="1"/>
  <c r="T40" i="74"/>
  <c r="V40" i="74" s="1"/>
  <c r="T24" i="74"/>
  <c r="V24" i="74" s="1"/>
  <c r="T13" i="74"/>
  <c r="V13" i="74" s="1"/>
  <c r="T119" i="74"/>
  <c r="V119" i="74" s="1"/>
  <c r="T11" i="74"/>
  <c r="V11" i="74" s="1"/>
  <c r="T9" i="74"/>
  <c r="V9" i="74" s="1"/>
  <c r="T502" i="74"/>
  <c r="V502" i="74" s="1"/>
  <c r="T500" i="74"/>
  <c r="V500" i="74" s="1"/>
  <c r="T484" i="74"/>
  <c r="V484" i="74" s="1"/>
  <c r="T452" i="74"/>
  <c r="V452" i="74" s="1"/>
  <c r="T426" i="74"/>
  <c r="V426" i="74" s="1"/>
  <c r="P6" i="66"/>
  <c r="T498" i="74"/>
  <c r="V498" i="74" s="1"/>
  <c r="T482" i="74"/>
  <c r="V482" i="74" s="1"/>
  <c r="T466" i="74"/>
  <c r="V466" i="74" s="1"/>
  <c r="T450" i="74"/>
  <c r="V450" i="74" s="1"/>
  <c r="T496" i="74"/>
  <c r="V496" i="74" s="1"/>
  <c r="T480" i="74"/>
  <c r="V480" i="74" s="1"/>
  <c r="T464" i="74"/>
  <c r="V464" i="74" s="1"/>
  <c r="T448" i="74"/>
  <c r="V448" i="74" s="1"/>
  <c r="T438" i="74"/>
  <c r="V438" i="74" s="1"/>
  <c r="T436" i="74"/>
  <c r="V436" i="74" s="1"/>
  <c r="T422" i="74"/>
  <c r="V422" i="74" s="1"/>
  <c r="T406" i="74"/>
  <c r="V406" i="74" s="1"/>
  <c r="T435" i="74"/>
  <c r="V435" i="74" s="1"/>
  <c r="T427" i="74"/>
  <c r="V427" i="74" s="1"/>
  <c r="T409" i="74"/>
  <c r="V409" i="74" s="1"/>
  <c r="T420" i="74"/>
  <c r="V420" i="74" s="1"/>
  <c r="T294" i="74"/>
  <c r="V294" i="74" s="1"/>
  <c r="T278" i="74"/>
  <c r="V278" i="74" s="1"/>
  <c r="T263" i="74"/>
  <c r="V263" i="74" s="1"/>
  <c r="T217" i="74"/>
  <c r="V217" i="74" s="1"/>
  <c r="T201" i="74"/>
  <c r="V201" i="74" s="1"/>
  <c r="T185" i="74"/>
  <c r="V185" i="74" s="1"/>
  <c r="T169" i="74"/>
  <c r="V169" i="74" s="1"/>
  <c r="T153" i="74"/>
  <c r="V153" i="74" s="1"/>
  <c r="T137" i="74"/>
  <c r="V137" i="74" s="1"/>
  <c r="T276" i="74"/>
  <c r="V276" i="74" s="1"/>
  <c r="T246" i="74"/>
  <c r="V246" i="74" s="1"/>
  <c r="T230" i="74"/>
  <c r="V230" i="74" s="1"/>
  <c r="T214" i="74"/>
  <c r="V214" i="74" s="1"/>
  <c r="T198" i="74"/>
  <c r="V198" i="74" s="1"/>
  <c r="T182" i="74"/>
  <c r="V182" i="74" s="1"/>
  <c r="T166" i="74"/>
  <c r="V166" i="74" s="1"/>
  <c r="T150" i="74"/>
  <c r="V150" i="74" s="1"/>
  <c r="T134" i="74"/>
  <c r="V134" i="74" s="1"/>
  <c r="T265" i="74"/>
  <c r="V265" i="74" s="1"/>
  <c r="T243" i="74"/>
  <c r="V243" i="74" s="1"/>
  <c r="T235" i="74"/>
  <c r="V235" i="74" s="1"/>
  <c r="T227" i="74"/>
  <c r="V227" i="74" s="1"/>
  <c r="T219" i="74"/>
  <c r="V219" i="74" s="1"/>
  <c r="T211" i="74"/>
  <c r="V211" i="74" s="1"/>
  <c r="T203" i="74"/>
  <c r="V203" i="74" s="1"/>
  <c r="T195" i="74"/>
  <c r="V195" i="74" s="1"/>
  <c r="T187" i="74"/>
  <c r="V187" i="74" s="1"/>
  <c r="T179" i="74"/>
  <c r="V179" i="74" s="1"/>
  <c r="T171" i="74"/>
  <c r="V171" i="74" s="1"/>
  <c r="T163" i="74"/>
  <c r="V163" i="74" s="1"/>
  <c r="T155" i="74"/>
  <c r="V155" i="74" s="1"/>
  <c r="T147" i="74"/>
  <c r="V147" i="74" s="1"/>
  <c r="T139" i="74"/>
  <c r="V139" i="74" s="1"/>
  <c r="T121" i="74"/>
  <c r="V121" i="74" s="1"/>
  <c r="T105" i="74"/>
  <c r="V105" i="74" s="1"/>
  <c r="T89" i="74"/>
  <c r="V89" i="74" s="1"/>
  <c r="T73" i="74"/>
  <c r="V73" i="74" s="1"/>
  <c r="T57" i="74"/>
  <c r="V57" i="74" s="1"/>
  <c r="T41" i="74"/>
  <c r="V41" i="74" s="1"/>
  <c r="T25" i="74"/>
  <c r="V25" i="74" s="1"/>
  <c r="T116" i="74"/>
  <c r="V116" i="74" s="1"/>
  <c r="T99" i="74"/>
  <c r="V99" i="74" s="1"/>
  <c r="T94" i="74"/>
  <c r="V94" i="74" s="1"/>
  <c r="T86" i="74"/>
  <c r="V86" i="74" s="1"/>
  <c r="T78" i="74"/>
  <c r="V78" i="74" s="1"/>
  <c r="T70" i="74"/>
  <c r="V70" i="74" s="1"/>
  <c r="T62" i="74"/>
  <c r="V62" i="74" s="1"/>
  <c r="T54" i="74"/>
  <c r="V54" i="74" s="1"/>
  <c r="T46" i="74"/>
  <c r="V46" i="74" s="1"/>
  <c r="T22" i="74"/>
  <c r="V22" i="74" s="1"/>
  <c r="T12" i="74"/>
  <c r="V12" i="74" s="1"/>
  <c r="T103" i="74"/>
  <c r="V103" i="74" s="1"/>
  <c r="T486" i="74"/>
  <c r="V486" i="74" s="1"/>
  <c r="T494" i="74"/>
  <c r="V494" i="74" s="1"/>
  <c r="T478" i="74"/>
  <c r="V478" i="74" s="1"/>
  <c r="T462" i="74"/>
  <c r="V462" i="74" s="1"/>
  <c r="T499" i="74"/>
  <c r="V499" i="74" s="1"/>
  <c r="T492" i="74"/>
  <c r="V492" i="74" s="1"/>
  <c r="T476" i="74"/>
  <c r="V476" i="74" s="1"/>
  <c r="T460" i="74"/>
  <c r="V460" i="74" s="1"/>
  <c r="T446" i="74"/>
  <c r="V446" i="74" s="1"/>
  <c r="T434" i="74"/>
  <c r="V434" i="74" s="1"/>
  <c r="T418" i="74"/>
  <c r="V418" i="74" s="1"/>
  <c r="T402" i="74"/>
  <c r="V402" i="74" s="1"/>
  <c r="T501" i="74"/>
  <c r="V501" i="74" s="1"/>
  <c r="T424" i="74"/>
  <c r="V424" i="74" s="1"/>
  <c r="T408" i="74"/>
  <c r="V408" i="74" s="1"/>
  <c r="T407" i="74"/>
  <c r="V407" i="74" s="1"/>
  <c r="T290" i="74"/>
  <c r="V290" i="74" s="1"/>
  <c r="T274" i="74"/>
  <c r="V274" i="74" s="1"/>
  <c r="T261" i="74"/>
  <c r="V261" i="74" s="1"/>
  <c r="T213" i="74"/>
  <c r="V213" i="74" s="1"/>
  <c r="T197" i="74"/>
  <c r="V197" i="74" s="1"/>
  <c r="T181" i="74"/>
  <c r="V181" i="74" s="1"/>
  <c r="T165" i="74"/>
  <c r="V165" i="74" s="1"/>
  <c r="T149" i="74"/>
  <c r="V149" i="74" s="1"/>
  <c r="T259" i="74"/>
  <c r="V259" i="74" s="1"/>
  <c r="T242" i="74"/>
  <c r="V242" i="74" s="1"/>
  <c r="T226" i="74"/>
  <c r="V226" i="74" s="1"/>
  <c r="T210" i="74"/>
  <c r="V210" i="74" s="1"/>
  <c r="T194" i="74"/>
  <c r="V194" i="74" s="1"/>
  <c r="T178" i="74"/>
  <c r="V178" i="74" s="1"/>
  <c r="T162" i="74"/>
  <c r="V162" i="74" s="1"/>
  <c r="T146" i="74"/>
  <c r="V146" i="74" s="1"/>
  <c r="T295" i="74"/>
  <c r="V295" i="74" s="1"/>
  <c r="T287" i="74"/>
  <c r="V287" i="74" s="1"/>
  <c r="T271" i="74"/>
  <c r="V271" i="74" s="1"/>
  <c r="T251" i="74"/>
  <c r="V251" i="74" s="1"/>
  <c r="T249" i="74"/>
  <c r="V249" i="74" s="1"/>
  <c r="T229" i="74"/>
  <c r="V229" i="74" s="1"/>
  <c r="T117" i="74"/>
  <c r="V117" i="74" s="1"/>
  <c r="T101" i="74"/>
  <c r="V101" i="74" s="1"/>
  <c r="T85" i="74"/>
  <c r="V85" i="74" s="1"/>
  <c r="T69" i="74"/>
  <c r="V69" i="74" s="1"/>
  <c r="T53" i="74"/>
  <c r="V53" i="74" s="1"/>
  <c r="T21" i="74"/>
  <c r="V21" i="74" s="1"/>
  <c r="T244" i="74"/>
  <c r="V244" i="74" s="1"/>
  <c r="T132" i="74"/>
  <c r="V132" i="74" s="1"/>
  <c r="T115" i="74"/>
  <c r="V115" i="74" s="1"/>
  <c r="T15" i="74"/>
  <c r="V15" i="74" s="1"/>
  <c r="T92" i="74"/>
  <c r="V92" i="74" s="1"/>
  <c r="T84" i="74"/>
  <c r="V84" i="74" s="1"/>
  <c r="T76" i="74"/>
  <c r="V76" i="74" s="1"/>
  <c r="T68" i="74"/>
  <c r="V68" i="74" s="1"/>
  <c r="T60" i="74"/>
  <c r="V60" i="74" s="1"/>
  <c r="T52" i="74"/>
  <c r="V52" i="74" s="1"/>
  <c r="T44" i="74"/>
  <c r="V44" i="74" s="1"/>
  <c r="T28" i="74"/>
  <c r="V28" i="74" s="1"/>
  <c r="T20" i="74"/>
  <c r="V20" i="74" s="1"/>
  <c r="T10" i="74"/>
  <c r="V10" i="74" s="1"/>
  <c r="T17" i="74"/>
  <c r="V17" i="74" s="1"/>
  <c r="B59" i="13"/>
  <c r="A60" i="13" s="1"/>
  <c r="M15" i="17"/>
  <c r="M16" i="17" s="1"/>
  <c r="M17" i="17" s="1"/>
  <c r="M14" i="17"/>
  <c r="B7" i="50"/>
  <c r="B8" i="50" s="1"/>
  <c r="M15" i="13"/>
  <c r="M8" i="6"/>
  <c r="M10" i="6" s="1"/>
  <c r="M13" i="6"/>
  <c r="M15" i="11"/>
  <c r="M16" i="11" s="1"/>
  <c r="M17" i="11" s="1"/>
  <c r="M18" i="11" s="1"/>
  <c r="M19" i="11" s="1"/>
  <c r="B59" i="11"/>
  <c r="A60" i="11" s="1"/>
  <c r="Q4" i="52"/>
  <c r="S3" i="52" s="1"/>
  <c r="R3" i="52"/>
  <c r="P3" i="52"/>
  <c r="J11" i="66"/>
  <c r="C6" i="13"/>
  <c r="B8" i="13"/>
  <c r="B7" i="13"/>
  <c r="D6" i="13"/>
  <c r="A3" i="13"/>
  <c r="A30" i="13" s="1"/>
  <c r="A31" i="13" s="1"/>
  <c r="A32" i="13" s="1"/>
  <c r="M8" i="11"/>
  <c r="C7" i="13"/>
  <c r="C3" i="13"/>
  <c r="C30" i="13" s="1"/>
  <c r="C31" i="13" s="1"/>
  <c r="C32" i="13" s="1"/>
  <c r="B34" i="13" s="1"/>
  <c r="D8" i="13"/>
  <c r="N4" i="13"/>
  <c r="D7" i="13"/>
  <c r="M8" i="25"/>
  <c r="M10" i="25" s="1"/>
  <c r="M13" i="15"/>
  <c r="M8" i="10"/>
  <c r="M10" i="10" s="1"/>
  <c r="M8" i="9"/>
  <c r="M10" i="9" s="1"/>
  <c r="M15" i="9"/>
  <c r="M15" i="10"/>
  <c r="M14" i="10"/>
  <c r="M8" i="15"/>
  <c r="M10" i="15" s="1"/>
  <c r="A1" i="17"/>
  <c r="M6" i="17"/>
  <c r="S3" i="53"/>
  <c r="S4" i="53"/>
  <c r="I4" i="73"/>
  <c r="I5" i="73" s="1"/>
  <c r="B6" i="13" l="1"/>
  <c r="M3" i="13"/>
  <c r="H31" i="13" s="1"/>
  <c r="E5" i="13"/>
  <c r="E11" i="13"/>
  <c r="E10" i="13"/>
  <c r="B12" i="13"/>
  <c r="B5" i="13"/>
  <c r="M18" i="25"/>
  <c r="M19" i="25" s="1"/>
  <c r="P4" i="13"/>
  <c r="E37" i="13"/>
  <c r="F9" i="13"/>
  <c r="E6" i="13"/>
  <c r="M6" i="4"/>
  <c r="D40" i="13"/>
  <c r="F4" i="13"/>
  <c r="E12" i="13"/>
  <c r="A37" i="13"/>
  <c r="B3" i="13"/>
  <c r="B30" i="13" s="1"/>
  <c r="B31" i="13" s="1"/>
  <c r="B32" i="13" s="1"/>
  <c r="A34" i="13" s="1"/>
  <c r="G8" i="13"/>
  <c r="G5" i="13"/>
  <c r="F3" i="13"/>
  <c r="F30" i="13" s="1"/>
  <c r="G31" i="13" s="1"/>
  <c r="B11" i="13"/>
  <c r="E43" i="13"/>
  <c r="E46" i="13"/>
  <c r="B35" i="13"/>
  <c r="E35" i="13"/>
  <c r="L47" i="13"/>
  <c r="H37" i="13"/>
  <c r="H39" i="13"/>
  <c r="H35" i="13"/>
  <c r="A39" i="13"/>
  <c r="A58" i="19"/>
  <c r="M10" i="12"/>
  <c r="M6" i="12"/>
  <c r="A1" i="12"/>
  <c r="F43" i="13"/>
  <c r="A35" i="13"/>
  <c r="E50" i="13"/>
  <c r="D3" i="13"/>
  <c r="D30" i="13" s="1"/>
  <c r="E31" i="13" s="1"/>
  <c r="D5" i="13"/>
  <c r="A61" i="4"/>
  <c r="A1" i="4"/>
  <c r="M14" i="12"/>
  <c r="B59" i="12"/>
  <c r="A60" i="12" s="1"/>
  <c r="M15" i="12"/>
  <c r="A5" i="13"/>
  <c r="A6" i="13"/>
  <c r="C18" i="18"/>
  <c r="C8" i="13"/>
  <c r="B10" i="13"/>
  <c r="B9" i="13"/>
  <c r="C9" i="13"/>
  <c r="J34" i="13"/>
  <c r="A41" i="13"/>
  <c r="J35" i="13"/>
  <c r="L46" i="13"/>
  <c r="I35" i="13"/>
  <c r="A40" i="13"/>
  <c r="H40" i="13"/>
  <c r="H36" i="13"/>
  <c r="A61" i="12"/>
  <c r="B20" i="18"/>
  <c r="B19" i="18"/>
  <c r="Q3" i="53"/>
  <c r="K4" i="53" s="1"/>
  <c r="A38" i="19"/>
  <c r="B39" i="19"/>
  <c r="C10" i="73"/>
  <c r="C11" i="73" s="1"/>
  <c r="E9" i="73"/>
  <c r="A32" i="19"/>
  <c r="B59" i="19"/>
  <c r="B37" i="19"/>
  <c r="B50" i="19"/>
  <c r="A37" i="19"/>
  <c r="B9" i="19"/>
  <c r="A54" i="19"/>
  <c r="B53" i="19"/>
  <c r="B42" i="19"/>
  <c r="B48" i="19"/>
  <c r="B60" i="19"/>
  <c r="A53" i="19"/>
  <c r="B11" i="19"/>
  <c r="B46" i="19"/>
  <c r="A63" i="19"/>
  <c r="A62" i="19"/>
  <c r="A57" i="19"/>
  <c r="B12" i="19"/>
  <c r="B67" i="19"/>
  <c r="B38" i="19"/>
  <c r="A50" i="19"/>
  <c r="B27" i="19"/>
  <c r="A52" i="19"/>
  <c r="A65" i="19"/>
  <c r="A16" i="19"/>
  <c r="A19" i="19"/>
  <c r="B26" i="19"/>
  <c r="B21" i="19"/>
  <c r="B30" i="19"/>
  <c r="A29" i="19"/>
  <c r="A60" i="19"/>
  <c r="A49" i="19"/>
  <c r="B51" i="19"/>
  <c r="A17" i="19"/>
  <c r="B55" i="19"/>
  <c r="A26" i="19"/>
  <c r="B25" i="19"/>
  <c r="A47" i="19"/>
  <c r="A28" i="19"/>
  <c r="A64" i="19"/>
  <c r="B15" i="19"/>
  <c r="A34" i="19"/>
  <c r="A30" i="19"/>
  <c r="A43" i="19"/>
  <c r="B58" i="19"/>
  <c r="A41" i="19"/>
  <c r="B61" i="19"/>
  <c r="B65" i="19"/>
  <c r="A39" i="19"/>
  <c r="B19" i="19"/>
  <c r="B62" i="19"/>
  <c r="B28" i="19"/>
  <c r="B34" i="19"/>
  <c r="B32" i="19"/>
  <c r="B54" i="19"/>
  <c r="B23" i="19"/>
  <c r="B63" i="19"/>
  <c r="A15" i="19"/>
  <c r="B66" i="19"/>
  <c r="A66" i="19"/>
  <c r="B47" i="19"/>
  <c r="A31" i="19"/>
  <c r="A11" i="19"/>
  <c r="A27" i="19"/>
  <c r="B45" i="19"/>
  <c r="B40" i="19"/>
  <c r="A33" i="19"/>
  <c r="A18" i="19"/>
  <c r="B10" i="19"/>
  <c r="B24" i="19"/>
  <c r="B35" i="19"/>
  <c r="A67" i="19"/>
  <c r="A59" i="19"/>
  <c r="A61" i="19"/>
  <c r="B17" i="19"/>
  <c r="A23" i="19"/>
  <c r="B14" i="19"/>
  <c r="B43" i="19"/>
  <c r="B29" i="19"/>
  <c r="A24" i="19"/>
  <c r="B41" i="19"/>
  <c r="B49" i="19"/>
  <c r="A14" i="19"/>
  <c r="B16" i="19"/>
  <c r="B13" i="19"/>
  <c r="A22" i="19"/>
  <c r="A42" i="19"/>
  <c r="B52" i="19"/>
  <c r="B56" i="19"/>
  <c r="B22" i="19"/>
  <c r="A13" i="19"/>
  <c r="A46" i="19"/>
  <c r="A48" i="19"/>
  <c r="A36" i="19"/>
  <c r="B31" i="19"/>
  <c r="A56" i="19"/>
  <c r="B57" i="19"/>
  <c r="A9" i="19"/>
  <c r="A10" i="19"/>
  <c r="A51" i="19"/>
  <c r="A21" i="19"/>
  <c r="A20" i="19"/>
  <c r="B59" i="20"/>
  <c r="A60" i="20" s="1"/>
  <c r="B44" i="19"/>
  <c r="A55" i="19"/>
  <c r="B33" i="19"/>
  <c r="B36" i="19"/>
  <c r="A40" i="19"/>
  <c r="A35" i="19"/>
  <c r="A25" i="19"/>
  <c r="M18" i="20"/>
  <c r="M19" i="20" s="1"/>
  <c r="F26" i="52"/>
  <c r="M14" i="20"/>
  <c r="H2" i="20"/>
  <c r="I2" i="20"/>
  <c r="F2" i="20"/>
  <c r="B2" i="20"/>
  <c r="D2" i="20"/>
  <c r="A2" i="20"/>
  <c r="C2" i="20"/>
  <c r="G2" i="20"/>
  <c r="E2" i="20"/>
  <c r="A31" i="52"/>
  <c r="C31" i="52" s="1"/>
  <c r="E31" i="52" s="1"/>
  <c r="F1" i="19"/>
  <c r="D14" i="18" s="1"/>
  <c r="R11" i="18"/>
  <c r="G1" i="19"/>
  <c r="G3" i="19" s="1"/>
  <c r="G4" i="19" s="1"/>
  <c r="B29" i="53"/>
  <c r="E29" i="53" s="1"/>
  <c r="A28" i="53"/>
  <c r="A31" i="53"/>
  <c r="B20" i="19"/>
  <c r="B64" i="19"/>
  <c r="B18" i="19"/>
  <c r="A44" i="19"/>
  <c r="A12" i="19"/>
  <c r="M18" i="5"/>
  <c r="M19" i="5" s="1"/>
  <c r="M6" i="5"/>
  <c r="A61" i="5"/>
  <c r="A1" i="5"/>
  <c r="S4" i="52"/>
  <c r="Q3" i="52" s="1"/>
  <c r="K4" i="52" s="1"/>
  <c r="P7" i="66"/>
  <c r="A28" i="52"/>
  <c r="B29" i="52"/>
  <c r="E29" i="52" s="1"/>
  <c r="J12" i="66"/>
  <c r="L11" i="66"/>
  <c r="K12" i="66"/>
  <c r="M16" i="13"/>
  <c r="M17" i="13" s="1"/>
  <c r="M18" i="13" s="1"/>
  <c r="M19" i="13" s="1"/>
  <c r="M18" i="17"/>
  <c r="M19" i="17" s="1"/>
  <c r="M15" i="6"/>
  <c r="B59" i="6"/>
  <c r="A60" i="6" s="1"/>
  <c r="M14" i="6"/>
  <c r="A22" i="18"/>
  <c r="B21" i="18"/>
  <c r="A1" i="6"/>
  <c r="A61" i="6"/>
  <c r="M6" i="6"/>
  <c r="D32" i="18"/>
  <c r="A1" i="11"/>
  <c r="M10" i="11"/>
  <c r="A61" i="11"/>
  <c r="M6" i="11"/>
  <c r="L39" i="13"/>
  <c r="G33" i="13" s="1"/>
  <c r="L36" i="13"/>
  <c r="J33" i="13" s="1"/>
  <c r="L38" i="13"/>
  <c r="H33" i="13" s="1"/>
  <c r="L45" i="13"/>
  <c r="A33" i="13" s="1"/>
  <c r="L35" i="13"/>
  <c r="K33" i="13" s="1"/>
  <c r="L44" i="13"/>
  <c r="B33" i="13" s="1"/>
  <c r="L40" i="13"/>
  <c r="F33" i="13" s="1"/>
  <c r="L34" i="13"/>
  <c r="L33" i="13" s="1"/>
  <c r="L41" i="13"/>
  <c r="E33" i="13" s="1"/>
  <c r="L43" i="13"/>
  <c r="C33" i="13" s="1"/>
  <c r="L37" i="13"/>
  <c r="I33" i="13" s="1"/>
  <c r="L42" i="13"/>
  <c r="D33" i="13" s="1"/>
  <c r="L49" i="13"/>
  <c r="A61" i="25"/>
  <c r="M6" i="25"/>
  <c r="A1" i="25"/>
  <c r="M16" i="10"/>
  <c r="M17" i="10" s="1"/>
  <c r="M16" i="9"/>
  <c r="M17" i="9" s="1"/>
  <c r="M18" i="9" s="1"/>
  <c r="M14" i="15"/>
  <c r="M15" i="15"/>
  <c r="B59" i="15"/>
  <c r="A60" i="15" s="1"/>
  <c r="D4" i="17"/>
  <c r="H2" i="17"/>
  <c r="H4" i="17"/>
  <c r="G2" i="17"/>
  <c r="E4" i="17"/>
  <c r="D2" i="17"/>
  <c r="G4" i="17"/>
  <c r="F2" i="17"/>
  <c r="F5" i="17"/>
  <c r="C5" i="17"/>
  <c r="C2" i="17"/>
  <c r="B2" i="17"/>
  <c r="I2" i="17"/>
  <c r="E2" i="17"/>
  <c r="I5" i="17"/>
  <c r="B4" i="17"/>
  <c r="A2" i="17"/>
  <c r="M6" i="9"/>
  <c r="A61" i="9"/>
  <c r="A1" i="9"/>
  <c r="M6" i="15"/>
  <c r="A61" i="15"/>
  <c r="A1" i="15"/>
  <c r="A1" i="10"/>
  <c r="A61" i="10"/>
  <c r="M6" i="10"/>
  <c r="F44" i="13" l="1"/>
  <c r="F38" i="13"/>
  <c r="F34" i="13"/>
  <c r="G32" i="13"/>
  <c r="D39" i="13"/>
  <c r="E48" i="13"/>
  <c r="I39" i="13"/>
  <c r="H38" i="13"/>
  <c r="H41" i="13"/>
  <c r="H34" i="13"/>
  <c r="I40" i="13"/>
  <c r="H42" i="13"/>
  <c r="C19" i="18"/>
  <c r="C20" i="18" s="1"/>
  <c r="C21" i="18" s="1"/>
  <c r="D4" i="4"/>
  <c r="E2" i="4"/>
  <c r="E4" i="4"/>
  <c r="I5" i="4"/>
  <c r="G2" i="4"/>
  <c r="H2" i="4"/>
  <c r="F5" i="4"/>
  <c r="A2" i="4"/>
  <c r="D2" i="4"/>
  <c r="B4" i="4"/>
  <c r="G4" i="4"/>
  <c r="B2" i="4"/>
  <c r="I2" i="4"/>
  <c r="H4" i="4"/>
  <c r="F2" i="4"/>
  <c r="C2" i="4"/>
  <c r="C5" i="4"/>
  <c r="M16" i="12"/>
  <c r="M17" i="12" s="1"/>
  <c r="M18" i="12" s="1"/>
  <c r="M19" i="12" s="1"/>
  <c r="I36" i="13"/>
  <c r="I34" i="13"/>
  <c r="E32" i="13"/>
  <c r="D34" i="13"/>
  <c r="A2" i="12"/>
  <c r="D2" i="12"/>
  <c r="F2" i="12"/>
  <c r="D4" i="12"/>
  <c r="F5" i="12"/>
  <c r="G2" i="12"/>
  <c r="H4" i="12"/>
  <c r="C2" i="12"/>
  <c r="E4" i="12"/>
  <c r="B4" i="12"/>
  <c r="H2" i="12"/>
  <c r="B2" i="12"/>
  <c r="G4" i="12"/>
  <c r="I5" i="12"/>
  <c r="I2" i="12"/>
  <c r="E2" i="12"/>
  <c r="C5" i="12"/>
  <c r="E10" i="73"/>
  <c r="G9" i="73"/>
  <c r="H8" i="19"/>
  <c r="E8" i="19" s="1"/>
  <c r="B11" i="20"/>
  <c r="B5" i="20" s="1"/>
  <c r="B12" i="20"/>
  <c r="B6" i="20" s="1"/>
  <c r="B4" i="20" s="1"/>
  <c r="B3" i="20"/>
  <c r="B30" i="20" s="1"/>
  <c r="B31" i="20" s="1"/>
  <c r="B32" i="20" s="1"/>
  <c r="A5" i="20"/>
  <c r="A6" i="20"/>
  <c r="A3" i="20"/>
  <c r="A30" i="20" s="1"/>
  <c r="A31" i="20" s="1"/>
  <c r="A32" i="20" s="1"/>
  <c r="E8" i="20"/>
  <c r="F9" i="20"/>
  <c r="E7" i="20"/>
  <c r="E9" i="20"/>
  <c r="N3" i="20"/>
  <c r="M3" i="20" s="1"/>
  <c r="H31" i="20" s="1"/>
  <c r="F6" i="20"/>
  <c r="E10" i="20"/>
  <c r="F8" i="20"/>
  <c r="F3" i="20"/>
  <c r="F30" i="20" s="1"/>
  <c r="G31" i="20" s="1"/>
  <c r="F7" i="20"/>
  <c r="F5" i="20" s="1"/>
  <c r="F4" i="20" s="1"/>
  <c r="C6" i="20"/>
  <c r="B10" i="20"/>
  <c r="B7" i="20"/>
  <c r="C7" i="20"/>
  <c r="C5" i="20" s="1"/>
  <c r="C4" i="20" s="1"/>
  <c r="C8" i="20"/>
  <c r="C9" i="20"/>
  <c r="C3" i="20"/>
  <c r="C30" i="20" s="1"/>
  <c r="C31" i="20" s="1"/>
  <c r="C32" i="20" s="1"/>
  <c r="B9" i="20"/>
  <c r="N4" i="20"/>
  <c r="M4" i="20" s="1"/>
  <c r="D31" i="20" s="1"/>
  <c r="B8" i="20"/>
  <c r="E11" i="20"/>
  <c r="E5" i="20" s="1"/>
  <c r="E3" i="20"/>
  <c r="E30" i="20" s="1"/>
  <c r="F31" i="20" s="1"/>
  <c r="F32" i="20" s="1"/>
  <c r="P4" i="20"/>
  <c r="E12" i="20"/>
  <c r="E6" i="20" s="1"/>
  <c r="E4" i="20" s="1"/>
  <c r="D7" i="20"/>
  <c r="D4" i="20" s="1"/>
  <c r="D5" i="20"/>
  <c r="D8" i="20"/>
  <c r="D3" i="20"/>
  <c r="D30" i="20" s="1"/>
  <c r="E31" i="20" s="1"/>
  <c r="E32" i="20" s="1"/>
  <c r="D6" i="20"/>
  <c r="I3" i="20"/>
  <c r="I30" i="20" s="1"/>
  <c r="K31" i="20" s="1"/>
  <c r="K32" i="20" s="1"/>
  <c r="H8" i="20"/>
  <c r="I7" i="20"/>
  <c r="I5" i="20" s="1"/>
  <c r="I4" i="20" s="1"/>
  <c r="N2" i="20"/>
  <c r="M2" i="20" s="1"/>
  <c r="L31" i="20" s="1"/>
  <c r="H10" i="20"/>
  <c r="I9" i="20"/>
  <c r="H7" i="20"/>
  <c r="I6" i="20"/>
  <c r="I8" i="20"/>
  <c r="H9" i="20"/>
  <c r="G3" i="20"/>
  <c r="G30" i="20" s="1"/>
  <c r="I31" i="20" s="1"/>
  <c r="I32" i="20" s="1"/>
  <c r="G6" i="20"/>
  <c r="G5" i="20"/>
  <c r="G7" i="20"/>
  <c r="G4" i="20" s="1"/>
  <c r="G8" i="20"/>
  <c r="H12" i="20"/>
  <c r="H6" i="20" s="1"/>
  <c r="H4" i="20" s="1"/>
  <c r="H3" i="20"/>
  <c r="H30" i="20" s="1"/>
  <c r="J31" i="20" s="1"/>
  <c r="J32" i="20" s="1"/>
  <c r="P3" i="20"/>
  <c r="H11" i="20"/>
  <c r="H5" i="20" s="1"/>
  <c r="C82" i="21"/>
  <c r="C31" i="53"/>
  <c r="E31" i="53" s="1"/>
  <c r="R12" i="18"/>
  <c r="C32" i="52"/>
  <c r="E32" i="52" s="1"/>
  <c r="A27" i="53"/>
  <c r="B28" i="53"/>
  <c r="S11" i="18"/>
  <c r="D2" i="5"/>
  <c r="A2" i="5"/>
  <c r="E2" i="5"/>
  <c r="C2" i="5"/>
  <c r="F2" i="5"/>
  <c r="H2" i="5"/>
  <c r="I2" i="5"/>
  <c r="G2" i="5"/>
  <c r="B2" i="5"/>
  <c r="D33" i="18"/>
  <c r="A2" i="6"/>
  <c r="F2" i="6"/>
  <c r="D2" i="6"/>
  <c r="I2" i="6"/>
  <c r="E2" i="6"/>
  <c r="C2" i="6"/>
  <c r="G2" i="6"/>
  <c r="B2" i="6"/>
  <c r="H2" i="6"/>
  <c r="A23" i="18"/>
  <c r="B22" i="18"/>
  <c r="K13" i="66"/>
  <c r="L12" i="66"/>
  <c r="M12" i="66" s="1"/>
  <c r="M13" i="66" s="1"/>
  <c r="N11" i="66"/>
  <c r="M16" i="6"/>
  <c r="M17" i="6" s="1"/>
  <c r="M18" i="6" s="1"/>
  <c r="J13" i="66"/>
  <c r="B28" i="52"/>
  <c r="A27" i="52"/>
  <c r="H43" i="13"/>
  <c r="E52" i="13"/>
  <c r="G37" i="13"/>
  <c r="H44" i="13"/>
  <c r="I37" i="13"/>
  <c r="F37" i="13"/>
  <c r="G39" i="13"/>
  <c r="G38" i="13"/>
  <c r="E34" i="13"/>
  <c r="F41" i="13"/>
  <c r="E39" i="13"/>
  <c r="E54" i="13"/>
  <c r="E56" i="13"/>
  <c r="K56" i="13"/>
  <c r="K54" i="13"/>
  <c r="G56" i="13"/>
  <c r="G54" i="13"/>
  <c r="I5" i="25"/>
  <c r="E4" i="25"/>
  <c r="I2" i="25"/>
  <c r="C5" i="25"/>
  <c r="G2" i="25"/>
  <c r="E2" i="25"/>
  <c r="B4" i="25"/>
  <c r="H4" i="25"/>
  <c r="D2" i="25"/>
  <c r="D4" i="25"/>
  <c r="A2" i="25"/>
  <c r="B2" i="25"/>
  <c r="F2" i="25"/>
  <c r="F5" i="25"/>
  <c r="H2" i="25"/>
  <c r="G4" i="25"/>
  <c r="C2" i="25"/>
  <c r="D56" i="13"/>
  <c r="D54" i="13"/>
  <c r="L64" i="13"/>
  <c r="L54" i="13"/>
  <c r="A54" i="13"/>
  <c r="A56" i="13"/>
  <c r="I54" i="13"/>
  <c r="I56" i="13"/>
  <c r="F54" i="13"/>
  <c r="F56" i="13"/>
  <c r="H54" i="13"/>
  <c r="H56" i="13"/>
  <c r="C56" i="13"/>
  <c r="C54" i="13"/>
  <c r="B56" i="13"/>
  <c r="B54" i="13"/>
  <c r="J54" i="13"/>
  <c r="J56" i="13"/>
  <c r="E2" i="11"/>
  <c r="A2" i="11"/>
  <c r="D2" i="11"/>
  <c r="G2" i="11"/>
  <c r="F5" i="11"/>
  <c r="E4" i="11"/>
  <c r="C5" i="11"/>
  <c r="C2" i="11"/>
  <c r="H4" i="11"/>
  <c r="F2" i="11"/>
  <c r="I5" i="11"/>
  <c r="B2" i="11"/>
  <c r="H2" i="11"/>
  <c r="B4" i="11"/>
  <c r="D4" i="11"/>
  <c r="G4" i="11"/>
  <c r="I2" i="11"/>
  <c r="A5" i="17"/>
  <c r="A3" i="17"/>
  <c r="A30" i="17" s="1"/>
  <c r="A31" i="17" s="1"/>
  <c r="A32" i="17" s="1"/>
  <c r="A6" i="17"/>
  <c r="I7" i="17"/>
  <c r="H7" i="17"/>
  <c r="N2" i="17"/>
  <c r="H9" i="17"/>
  <c r="I8" i="17"/>
  <c r="I6" i="17"/>
  <c r="I9" i="17"/>
  <c r="H8" i="17"/>
  <c r="I3" i="17"/>
  <c r="I30" i="17" s="1"/>
  <c r="K31" i="17" s="1"/>
  <c r="K32" i="17" s="1"/>
  <c r="H10" i="17"/>
  <c r="E2" i="15"/>
  <c r="H4" i="15"/>
  <c r="D4" i="15"/>
  <c r="F2" i="15"/>
  <c r="I5" i="15"/>
  <c r="G4" i="15"/>
  <c r="F5" i="15"/>
  <c r="A2" i="15"/>
  <c r="G2" i="15"/>
  <c r="C2" i="15"/>
  <c r="B4" i="15"/>
  <c r="B2" i="15"/>
  <c r="H2" i="15"/>
  <c r="E4" i="15"/>
  <c r="D2" i="15"/>
  <c r="C5" i="15"/>
  <c r="I2" i="15"/>
  <c r="G4" i="9"/>
  <c r="H2" i="9"/>
  <c r="C2" i="9"/>
  <c r="D2" i="9"/>
  <c r="A2" i="9"/>
  <c r="F2" i="9"/>
  <c r="E2" i="9"/>
  <c r="H4" i="9"/>
  <c r="E4" i="9"/>
  <c r="D4" i="9"/>
  <c r="G2" i="9"/>
  <c r="B2" i="9"/>
  <c r="C5" i="9"/>
  <c r="B4" i="9"/>
  <c r="I2" i="9"/>
  <c r="F5" i="9"/>
  <c r="I5" i="9"/>
  <c r="C4" i="17"/>
  <c r="B12" i="17"/>
  <c r="M4" i="17"/>
  <c r="D31" i="17" s="1"/>
  <c r="B3" i="17"/>
  <c r="B30" i="17" s="1"/>
  <c r="B31" i="17" s="1"/>
  <c r="B32" i="17" s="1"/>
  <c r="A34" i="17" s="1"/>
  <c r="B6" i="17"/>
  <c r="B11" i="17"/>
  <c r="B5" i="17"/>
  <c r="E8" i="17"/>
  <c r="F7" i="17"/>
  <c r="F6" i="17"/>
  <c r="F3" i="17"/>
  <c r="F30" i="17" s="1"/>
  <c r="G31" i="17" s="1"/>
  <c r="E10" i="17"/>
  <c r="F9" i="17"/>
  <c r="E9" i="17"/>
  <c r="N3" i="17"/>
  <c r="F8" i="17"/>
  <c r="E7" i="17"/>
  <c r="G5" i="17"/>
  <c r="G6" i="17"/>
  <c r="G3" i="17"/>
  <c r="G30" i="17" s="1"/>
  <c r="I31" i="17" s="1"/>
  <c r="I32" i="17" s="1"/>
  <c r="G8" i="17"/>
  <c r="G7" i="17"/>
  <c r="M19" i="9"/>
  <c r="C3" i="17"/>
  <c r="C30" i="17" s="1"/>
  <c r="C31" i="17" s="1"/>
  <c r="B9" i="17"/>
  <c r="C9" i="17"/>
  <c r="B8" i="17"/>
  <c r="C6" i="17"/>
  <c r="C7" i="17"/>
  <c r="C8" i="17"/>
  <c r="B10" i="17"/>
  <c r="B7" i="17"/>
  <c r="N4" i="17"/>
  <c r="M16" i="15"/>
  <c r="M17" i="15" s="1"/>
  <c r="M18" i="15" s="1"/>
  <c r="H4" i="10"/>
  <c r="E4" i="10"/>
  <c r="H2" i="10"/>
  <c r="F2" i="10"/>
  <c r="E2" i="10"/>
  <c r="I5" i="10"/>
  <c r="B2" i="10"/>
  <c r="D2" i="10"/>
  <c r="A2" i="10"/>
  <c r="C5" i="10"/>
  <c r="G2" i="10"/>
  <c r="C2" i="10"/>
  <c r="D4" i="10"/>
  <c r="G4" i="10"/>
  <c r="B4" i="10"/>
  <c r="F5" i="10"/>
  <c r="I2" i="10"/>
  <c r="E11" i="17"/>
  <c r="E5" i="17"/>
  <c r="M3" i="17"/>
  <c r="H31" i="17" s="1"/>
  <c r="E12" i="17"/>
  <c r="P4" i="17"/>
  <c r="E6" i="17"/>
  <c r="E3" i="17"/>
  <c r="E30" i="17" s="1"/>
  <c r="F31" i="17" s="1"/>
  <c r="F4" i="17"/>
  <c r="D6" i="17"/>
  <c r="D5" i="17"/>
  <c r="D3" i="17"/>
  <c r="D30" i="17" s="1"/>
  <c r="E31" i="17" s="1"/>
  <c r="D7" i="17"/>
  <c r="D8" i="17"/>
  <c r="H3" i="17"/>
  <c r="H30" i="17" s="1"/>
  <c r="J31" i="17" s="1"/>
  <c r="J32" i="17" s="1"/>
  <c r="H11" i="17"/>
  <c r="H5" i="17"/>
  <c r="M2" i="17"/>
  <c r="L31" i="17" s="1"/>
  <c r="H6" i="17"/>
  <c r="I4" i="17"/>
  <c r="H12" i="17"/>
  <c r="P3" i="17"/>
  <c r="M18" i="10"/>
  <c r="M19" i="10" s="1"/>
  <c r="D37" i="13" l="1"/>
  <c r="E47" i="13"/>
  <c r="E42" i="13"/>
  <c r="E51" i="13"/>
  <c r="A38" i="13"/>
  <c r="F40" i="13"/>
  <c r="E36" i="13"/>
  <c r="F36" i="13"/>
  <c r="D42" i="13"/>
  <c r="D41" i="13"/>
  <c r="F42" i="13"/>
  <c r="E41" i="13"/>
  <c r="E38" i="13"/>
  <c r="E44" i="13"/>
  <c r="E45" i="13"/>
  <c r="B3" i="12"/>
  <c r="B30" i="12" s="1"/>
  <c r="B31" i="12" s="1"/>
  <c r="B32" i="12" s="1"/>
  <c r="A34" i="12" s="1"/>
  <c r="B5" i="12"/>
  <c r="B12" i="12"/>
  <c r="M4" i="12"/>
  <c r="D31" i="12" s="1"/>
  <c r="C4" i="12"/>
  <c r="B11" i="12"/>
  <c r="B6" i="12"/>
  <c r="B8" i="12"/>
  <c r="B9" i="12"/>
  <c r="C3" i="12"/>
  <c r="C30" i="12" s="1"/>
  <c r="C31" i="12" s="1"/>
  <c r="C8" i="12"/>
  <c r="C6" i="12"/>
  <c r="C7" i="12"/>
  <c r="N4" i="12"/>
  <c r="B7" i="12"/>
  <c r="B10" i="12"/>
  <c r="C9" i="12"/>
  <c r="C6" i="4"/>
  <c r="B9" i="4"/>
  <c r="C7" i="4"/>
  <c r="B8" i="4"/>
  <c r="C9" i="4"/>
  <c r="B10" i="4"/>
  <c r="C3" i="4"/>
  <c r="C30" i="4" s="1"/>
  <c r="C31" i="4" s="1"/>
  <c r="N4" i="4"/>
  <c r="C8" i="4"/>
  <c r="B7" i="4"/>
  <c r="B6" i="4"/>
  <c r="B3" i="4"/>
  <c r="B30" i="4" s="1"/>
  <c r="B31" i="4" s="1"/>
  <c r="B32" i="4" s="1"/>
  <c r="A34" i="4" s="1"/>
  <c r="C4" i="4"/>
  <c r="M4" i="4"/>
  <c r="D31" i="4" s="1"/>
  <c r="B5" i="4"/>
  <c r="B11" i="4"/>
  <c r="B12" i="4"/>
  <c r="A6" i="4"/>
  <c r="A3" i="4"/>
  <c r="A30" i="4" s="1"/>
  <c r="A31" i="4" s="1"/>
  <c r="A32" i="4" s="1"/>
  <c r="A5" i="4"/>
  <c r="H9" i="12"/>
  <c r="I9" i="12"/>
  <c r="I6" i="12"/>
  <c r="I3" i="12"/>
  <c r="I30" i="12" s="1"/>
  <c r="K31" i="12" s="1"/>
  <c r="K32" i="12" s="1"/>
  <c r="H10" i="12"/>
  <c r="I8" i="12"/>
  <c r="N2" i="12"/>
  <c r="H7" i="12"/>
  <c r="I7" i="12"/>
  <c r="H8" i="12"/>
  <c r="H5" i="12"/>
  <c r="H6" i="12"/>
  <c r="M2" i="12"/>
  <c r="L31" i="12" s="1"/>
  <c r="H12" i="12"/>
  <c r="H3" i="12"/>
  <c r="H30" i="12" s="1"/>
  <c r="J31" i="12" s="1"/>
  <c r="J32" i="12" s="1"/>
  <c r="H11" i="12"/>
  <c r="I4" i="12"/>
  <c r="P3" i="12"/>
  <c r="F3" i="12"/>
  <c r="F30" i="12" s="1"/>
  <c r="G31" i="12" s="1"/>
  <c r="F8" i="12"/>
  <c r="E10" i="12"/>
  <c r="E7" i="12"/>
  <c r="F9" i="12"/>
  <c r="F7" i="12"/>
  <c r="N3" i="12"/>
  <c r="E8" i="12"/>
  <c r="F6" i="12"/>
  <c r="E9" i="12"/>
  <c r="L48" i="13"/>
  <c r="D35" i="13"/>
  <c r="A36" i="13"/>
  <c r="F6" i="4"/>
  <c r="F3" i="4"/>
  <c r="F30" i="4" s="1"/>
  <c r="G31" i="4" s="1"/>
  <c r="F9" i="4"/>
  <c r="E7" i="4"/>
  <c r="N3" i="4"/>
  <c r="E9" i="4"/>
  <c r="F8" i="4"/>
  <c r="E10" i="4"/>
  <c r="E8" i="4"/>
  <c r="F7" i="4"/>
  <c r="G6" i="12"/>
  <c r="G8" i="12"/>
  <c r="G7" i="12"/>
  <c r="G3" i="12"/>
  <c r="G30" i="12" s="1"/>
  <c r="I31" i="12" s="1"/>
  <c r="I32" i="12" s="1"/>
  <c r="G5" i="12"/>
  <c r="D3" i="12"/>
  <c r="D30" i="12" s="1"/>
  <c r="E31" i="12" s="1"/>
  <c r="D6" i="12"/>
  <c r="D5" i="12"/>
  <c r="D7" i="12"/>
  <c r="D8" i="12"/>
  <c r="H6" i="4"/>
  <c r="H11" i="4"/>
  <c r="P3" i="4"/>
  <c r="M2" i="4"/>
  <c r="L31" i="4" s="1"/>
  <c r="H5" i="4"/>
  <c r="H12" i="4"/>
  <c r="H3" i="4"/>
  <c r="H30" i="4" s="1"/>
  <c r="J31" i="4" s="1"/>
  <c r="J32" i="4" s="1"/>
  <c r="I4" i="4"/>
  <c r="F4" i="4"/>
  <c r="E12" i="4"/>
  <c r="E3" i="4"/>
  <c r="E30" i="4" s="1"/>
  <c r="F31" i="4" s="1"/>
  <c r="E5" i="4"/>
  <c r="P4" i="4"/>
  <c r="E6" i="4"/>
  <c r="E11" i="4"/>
  <c r="M3" i="4"/>
  <c r="H31" i="4" s="1"/>
  <c r="E11" i="12"/>
  <c r="P4" i="12"/>
  <c r="E6" i="12"/>
  <c r="M3" i="12"/>
  <c r="H31" i="12" s="1"/>
  <c r="E5" i="12"/>
  <c r="E12" i="12"/>
  <c r="F4" i="12"/>
  <c r="E3" i="12"/>
  <c r="E30" i="12" s="1"/>
  <c r="F31" i="12" s="1"/>
  <c r="A6" i="12"/>
  <c r="A3" i="12"/>
  <c r="A30" i="12" s="1"/>
  <c r="A31" i="12" s="1"/>
  <c r="A32" i="12" s="1"/>
  <c r="A5" i="12"/>
  <c r="H9" i="4"/>
  <c r="I6" i="4"/>
  <c r="H8" i="4"/>
  <c r="H7" i="4"/>
  <c r="N2" i="4"/>
  <c r="I9" i="4"/>
  <c r="I8" i="4"/>
  <c r="H10" i="4"/>
  <c r="I7" i="4"/>
  <c r="I3" i="4"/>
  <c r="I30" i="4" s="1"/>
  <c r="K31" i="4" s="1"/>
  <c r="K32" i="4" s="1"/>
  <c r="D6" i="4"/>
  <c r="D7" i="4"/>
  <c r="D8" i="4"/>
  <c r="D5" i="4"/>
  <c r="D3" i="4"/>
  <c r="D30" i="4" s="1"/>
  <c r="E31" i="4" s="1"/>
  <c r="G6" i="4"/>
  <c r="G7" i="4"/>
  <c r="G8" i="4"/>
  <c r="G5" i="4"/>
  <c r="G3" i="4"/>
  <c r="G30" i="4" s="1"/>
  <c r="I31" i="4" s="1"/>
  <c r="I32" i="4" s="1"/>
  <c r="H9" i="73"/>
  <c r="I10" i="73" s="1"/>
  <c r="I11" i="73" s="1"/>
  <c r="G10" i="73"/>
  <c r="F10" i="73"/>
  <c r="E11" i="73"/>
  <c r="M5" i="22"/>
  <c r="M8" i="22" s="1"/>
  <c r="M10" i="22" s="1"/>
  <c r="J34" i="20"/>
  <c r="J35" i="20"/>
  <c r="A41" i="20"/>
  <c r="A40" i="20" s="1"/>
  <c r="A39" i="20" s="1"/>
  <c r="B34" i="20"/>
  <c r="F44" i="20"/>
  <c r="E50" i="20"/>
  <c r="E49" i="20" s="1"/>
  <c r="G32" i="20"/>
  <c r="L39" i="20" s="1"/>
  <c r="G33" i="20" s="1"/>
  <c r="F34" i="20"/>
  <c r="L47" i="20"/>
  <c r="H39" i="20"/>
  <c r="H37" i="20"/>
  <c r="L45" i="20"/>
  <c r="L44" i="20"/>
  <c r="L49" i="20"/>
  <c r="L37" i="20"/>
  <c r="I33" i="20" s="1"/>
  <c r="L40" i="20"/>
  <c r="L41" i="20"/>
  <c r="L43" i="20"/>
  <c r="L42" i="20"/>
  <c r="H40" i="20"/>
  <c r="L46" i="20"/>
  <c r="I35" i="20"/>
  <c r="H36" i="20"/>
  <c r="H35" i="20" s="1"/>
  <c r="L13" i="66"/>
  <c r="C32" i="53"/>
  <c r="E32" i="53" s="1"/>
  <c r="C28" i="53"/>
  <c r="E28" i="53" s="1"/>
  <c r="C29" i="53"/>
  <c r="R13" i="18"/>
  <c r="A25" i="53"/>
  <c r="B27" i="53"/>
  <c r="S12" i="18"/>
  <c r="T12" i="18"/>
  <c r="U11" i="18"/>
  <c r="G5" i="5"/>
  <c r="G3" i="5"/>
  <c r="G30" i="5" s="1"/>
  <c r="I31" i="5" s="1"/>
  <c r="I32" i="5" s="1"/>
  <c r="G8" i="5"/>
  <c r="G6" i="5"/>
  <c r="G7" i="5"/>
  <c r="G4" i="5" s="1"/>
  <c r="H10" i="5"/>
  <c r="H9" i="5" s="1"/>
  <c r="H8" i="5"/>
  <c r="H7" i="5" s="1"/>
  <c r="I8" i="5"/>
  <c r="I6" i="5" s="1"/>
  <c r="I9" i="5"/>
  <c r="I7" i="5" s="1"/>
  <c r="N2" i="5"/>
  <c r="M2" i="5" s="1"/>
  <c r="L31" i="5" s="1"/>
  <c r="P3" i="5"/>
  <c r="H12" i="5"/>
  <c r="H11" i="5"/>
  <c r="C8" i="5"/>
  <c r="C9" i="5"/>
  <c r="C7" i="5"/>
  <c r="C5" i="5" s="1"/>
  <c r="C4" i="5" s="1"/>
  <c r="N4" i="5"/>
  <c r="M4" i="5" s="1"/>
  <c r="D31" i="5" s="1"/>
  <c r="B10" i="5"/>
  <c r="C3" i="5"/>
  <c r="C30" i="5" s="1"/>
  <c r="C31" i="5" s="1"/>
  <c r="C32" i="5" s="1"/>
  <c r="B7" i="5"/>
  <c r="C6" i="5"/>
  <c r="B9" i="5"/>
  <c r="B8" i="5"/>
  <c r="D7" i="5"/>
  <c r="D4" i="5" s="1"/>
  <c r="D6" i="5"/>
  <c r="D8" i="5"/>
  <c r="D5" i="5"/>
  <c r="D3" i="5"/>
  <c r="D30" i="5" s="1"/>
  <c r="E31" i="5" s="1"/>
  <c r="E32" i="5" s="1"/>
  <c r="A6" i="5"/>
  <c r="A3" i="5"/>
  <c r="A30" i="5" s="1"/>
  <c r="A31" i="5" s="1"/>
  <c r="A32" i="5" s="1"/>
  <c r="A5" i="5"/>
  <c r="B12" i="5"/>
  <c r="B6" i="5" s="1"/>
  <c r="B4" i="5" s="1"/>
  <c r="B3" i="5"/>
  <c r="B30" i="5" s="1"/>
  <c r="B31" i="5" s="1"/>
  <c r="B32" i="5" s="1"/>
  <c r="B11" i="5"/>
  <c r="B5" i="5" s="1"/>
  <c r="F9" i="5"/>
  <c r="F3" i="5"/>
  <c r="F30" i="5" s="1"/>
  <c r="G31" i="5" s="1"/>
  <c r="E9" i="5"/>
  <c r="E10" i="5"/>
  <c r="E8" i="5"/>
  <c r="N3" i="5"/>
  <c r="M3" i="5" s="1"/>
  <c r="H31" i="5" s="1"/>
  <c r="E7" i="5"/>
  <c r="F8" i="5"/>
  <c r="F7" i="5"/>
  <c r="F5" i="5" s="1"/>
  <c r="F4" i="5" s="1"/>
  <c r="F6" i="5"/>
  <c r="E11" i="5"/>
  <c r="E5" i="5" s="1"/>
  <c r="E3" i="5"/>
  <c r="E30" i="5" s="1"/>
  <c r="F31" i="5" s="1"/>
  <c r="P4" i="5"/>
  <c r="E12" i="5"/>
  <c r="E6" i="5" s="1"/>
  <c r="E4" i="5" s="1"/>
  <c r="D9" i="19"/>
  <c r="G8" i="19"/>
  <c r="F18" i="18"/>
  <c r="P3" i="6"/>
  <c r="H12" i="6"/>
  <c r="H11" i="6"/>
  <c r="H5" i="6" s="1"/>
  <c r="C8" i="6"/>
  <c r="C9" i="6"/>
  <c r="B8" i="6"/>
  <c r="B10" i="6"/>
  <c r="B9" i="6"/>
  <c r="B7" i="6"/>
  <c r="C3" i="6"/>
  <c r="C30" i="6" s="1"/>
  <c r="C31" i="6" s="1"/>
  <c r="C7" i="6"/>
  <c r="C5" i="6" s="1"/>
  <c r="C4" i="6" s="1"/>
  <c r="N4" i="6"/>
  <c r="C6" i="6"/>
  <c r="E12" i="6"/>
  <c r="E6" i="6" s="1"/>
  <c r="E4" i="6" s="1"/>
  <c r="P4" i="6"/>
  <c r="E3" i="6"/>
  <c r="E30" i="6" s="1"/>
  <c r="F31" i="6" s="1"/>
  <c r="E11" i="6"/>
  <c r="E5" i="6" s="1"/>
  <c r="A5" i="6"/>
  <c r="A6" i="6"/>
  <c r="A3" i="6"/>
  <c r="A30" i="6" s="1"/>
  <c r="A31" i="6" s="1"/>
  <c r="A32" i="6" s="1"/>
  <c r="B12" i="6"/>
  <c r="B6" i="6" s="1"/>
  <c r="B4" i="6" s="1"/>
  <c r="B3" i="6"/>
  <c r="B30" i="6" s="1"/>
  <c r="B31" i="6" s="1"/>
  <c r="B32" i="6" s="1"/>
  <c r="B11" i="6"/>
  <c r="B5" i="6" s="1"/>
  <c r="M4" i="6"/>
  <c r="D31" i="6" s="1"/>
  <c r="H7" i="6"/>
  <c r="I9" i="6"/>
  <c r="N2" i="6"/>
  <c r="M2" i="6" s="1"/>
  <c r="L31" i="6" s="1"/>
  <c r="H8" i="6"/>
  <c r="I8" i="6"/>
  <c r="I6" i="6" s="1"/>
  <c r="I7" i="6"/>
  <c r="H10" i="6"/>
  <c r="H9" i="6"/>
  <c r="D34" i="18"/>
  <c r="A25" i="52"/>
  <c r="B27" i="52"/>
  <c r="N12" i="66"/>
  <c r="O11" i="66"/>
  <c r="O12" i="66" s="1"/>
  <c r="C22" i="18"/>
  <c r="D8" i="6"/>
  <c r="D6" i="6"/>
  <c r="D3" i="6"/>
  <c r="D30" i="6" s="1"/>
  <c r="E31" i="6" s="1"/>
  <c r="D5" i="6"/>
  <c r="D7" i="6"/>
  <c r="D4" i="6" s="1"/>
  <c r="C28" i="52"/>
  <c r="E28" i="52" s="1"/>
  <c r="C29" i="52"/>
  <c r="M19" i="6"/>
  <c r="A24" i="18"/>
  <c r="B23" i="18"/>
  <c r="G6" i="6"/>
  <c r="G7" i="6"/>
  <c r="G4" i="6" s="1"/>
  <c r="G3" i="6" s="1"/>
  <c r="G30" i="6" s="1"/>
  <c r="I31" i="6" s="1"/>
  <c r="I32" i="6" s="1"/>
  <c r="G5" i="6"/>
  <c r="G8" i="6"/>
  <c r="F8" i="6"/>
  <c r="E9" i="6"/>
  <c r="F9" i="6"/>
  <c r="E7" i="6"/>
  <c r="E10" i="6"/>
  <c r="E8" i="6"/>
  <c r="F7" i="6"/>
  <c r="F5" i="6" s="1"/>
  <c r="F4" i="6" s="1"/>
  <c r="F3" i="6"/>
  <c r="F30" i="6" s="1"/>
  <c r="G31" i="6" s="1"/>
  <c r="N3" i="6"/>
  <c r="M3" i="6" s="1"/>
  <c r="H31" i="6" s="1"/>
  <c r="F6" i="6"/>
  <c r="B11" i="11"/>
  <c r="B12" i="11"/>
  <c r="B3" i="11"/>
  <c r="B30" i="11" s="1"/>
  <c r="B31" i="11" s="1"/>
  <c r="B32" i="11" s="1"/>
  <c r="A34" i="11" s="1"/>
  <c r="B6" i="11"/>
  <c r="B5" i="11"/>
  <c r="C4" i="11"/>
  <c r="M4" i="11"/>
  <c r="D31" i="11" s="1"/>
  <c r="B9" i="11"/>
  <c r="C7" i="11"/>
  <c r="C8" i="11"/>
  <c r="C3" i="11"/>
  <c r="C30" i="11" s="1"/>
  <c r="C31" i="11" s="1"/>
  <c r="N4" i="11"/>
  <c r="B8" i="11"/>
  <c r="C9" i="11"/>
  <c r="C6" i="11"/>
  <c r="B10" i="11"/>
  <c r="B7" i="11"/>
  <c r="G5" i="11"/>
  <c r="G3" i="11"/>
  <c r="G30" i="11" s="1"/>
  <c r="I31" i="11" s="1"/>
  <c r="I32" i="11" s="1"/>
  <c r="G8" i="11"/>
  <c r="G6" i="11"/>
  <c r="G7" i="11"/>
  <c r="A64" i="13"/>
  <c r="A57" i="13"/>
  <c r="H5" i="25"/>
  <c r="H11" i="25"/>
  <c r="P3" i="25"/>
  <c r="I4" i="25"/>
  <c r="H6" i="25"/>
  <c r="M2" i="25"/>
  <c r="L31" i="25" s="1"/>
  <c r="H12" i="25"/>
  <c r="H3" i="25"/>
  <c r="H30" i="25" s="1"/>
  <c r="J31" i="25" s="1"/>
  <c r="J32" i="25" s="1"/>
  <c r="A3" i="25"/>
  <c r="A30" i="25" s="1"/>
  <c r="A31" i="25" s="1"/>
  <c r="A32" i="25" s="1"/>
  <c r="A6" i="25"/>
  <c r="A5" i="25"/>
  <c r="H9" i="25"/>
  <c r="H7" i="25"/>
  <c r="I7" i="25"/>
  <c r="I3" i="25"/>
  <c r="I30" i="25" s="1"/>
  <c r="K31" i="25" s="1"/>
  <c r="K32" i="25" s="1"/>
  <c r="H10" i="25"/>
  <c r="N2" i="25"/>
  <c r="H8" i="25"/>
  <c r="I8" i="25"/>
  <c r="I6" i="25"/>
  <c r="I9" i="25"/>
  <c r="D5" i="11"/>
  <c r="D3" i="11"/>
  <c r="D30" i="11" s="1"/>
  <c r="E31" i="11" s="1"/>
  <c r="D8" i="11"/>
  <c r="D6" i="11"/>
  <c r="D7" i="11"/>
  <c r="G55" i="13"/>
  <c r="F55" i="13"/>
  <c r="H55" i="13"/>
  <c r="K55" i="13"/>
  <c r="I55" i="13"/>
  <c r="J55" i="13"/>
  <c r="E55" i="13"/>
  <c r="L55" i="13"/>
  <c r="M3" i="25"/>
  <c r="H31" i="25" s="1"/>
  <c r="E3" i="25"/>
  <c r="E30" i="25" s="1"/>
  <c r="F31" i="25" s="1"/>
  <c r="E11" i="25"/>
  <c r="P4" i="25"/>
  <c r="E12" i="25"/>
  <c r="E6" i="25"/>
  <c r="F4" i="25"/>
  <c r="E5" i="25"/>
  <c r="F3" i="11"/>
  <c r="F30" i="11" s="1"/>
  <c r="G31" i="11" s="1"/>
  <c r="F6" i="11"/>
  <c r="N3" i="11"/>
  <c r="F9" i="11"/>
  <c r="E8" i="11"/>
  <c r="F7" i="11"/>
  <c r="F8" i="11"/>
  <c r="E9" i="11"/>
  <c r="E10" i="11"/>
  <c r="E7" i="11"/>
  <c r="A5" i="11"/>
  <c r="A6" i="11"/>
  <c r="A3" i="11"/>
  <c r="A30" i="11" s="1"/>
  <c r="A31" i="11" s="1"/>
  <c r="A32" i="11" s="1"/>
  <c r="C8" i="25"/>
  <c r="C3" i="25"/>
  <c r="C30" i="25" s="1"/>
  <c r="C31" i="25" s="1"/>
  <c r="C7" i="25"/>
  <c r="B9" i="25"/>
  <c r="C6" i="25"/>
  <c r="B7" i="25"/>
  <c r="B8" i="25"/>
  <c r="C9" i="25"/>
  <c r="B10" i="25"/>
  <c r="N4" i="25"/>
  <c r="N3" i="25"/>
  <c r="F6" i="25"/>
  <c r="E7" i="25"/>
  <c r="E9" i="25"/>
  <c r="E10" i="25"/>
  <c r="E8" i="25"/>
  <c r="F8" i="25"/>
  <c r="F7" i="25"/>
  <c r="F9" i="25"/>
  <c r="F3" i="25"/>
  <c r="F30" i="25" s="1"/>
  <c r="G31" i="25" s="1"/>
  <c r="D6" i="25"/>
  <c r="D3" i="25"/>
  <c r="D30" i="25" s="1"/>
  <c r="E31" i="25" s="1"/>
  <c r="D5" i="25"/>
  <c r="D7" i="25"/>
  <c r="D8" i="25"/>
  <c r="G6" i="25"/>
  <c r="G8" i="25"/>
  <c r="G5" i="25"/>
  <c r="G3" i="25"/>
  <c r="G30" i="25" s="1"/>
  <c r="I31" i="25" s="1"/>
  <c r="I32" i="25" s="1"/>
  <c r="G7" i="25"/>
  <c r="H7" i="11"/>
  <c r="H10" i="11"/>
  <c r="I3" i="11"/>
  <c r="I30" i="11" s="1"/>
  <c r="K31" i="11" s="1"/>
  <c r="K32" i="11" s="1"/>
  <c r="H9" i="11"/>
  <c r="N2" i="11"/>
  <c r="I6" i="11"/>
  <c r="H8" i="11"/>
  <c r="I7" i="11"/>
  <c r="I9" i="11"/>
  <c r="I8" i="11"/>
  <c r="I4" i="11"/>
  <c r="H3" i="11"/>
  <c r="H30" i="11" s="1"/>
  <c r="J31" i="11" s="1"/>
  <c r="J32" i="11" s="1"/>
  <c r="H6" i="11"/>
  <c r="H5" i="11"/>
  <c r="M2" i="11"/>
  <c r="L31" i="11" s="1"/>
  <c r="H12" i="11"/>
  <c r="P3" i="11"/>
  <c r="H11" i="11"/>
  <c r="E6" i="11"/>
  <c r="E12" i="11"/>
  <c r="E11" i="11"/>
  <c r="M3" i="11"/>
  <c r="H31" i="11" s="1"/>
  <c r="E5" i="11"/>
  <c r="E3" i="11"/>
  <c r="E30" i="11" s="1"/>
  <c r="F31" i="11" s="1"/>
  <c r="F4" i="11"/>
  <c r="P4" i="11"/>
  <c r="B11" i="25"/>
  <c r="M4" i="25"/>
  <c r="D31" i="25" s="1"/>
  <c r="B5" i="25"/>
  <c r="B12" i="25"/>
  <c r="C4" i="25"/>
  <c r="B3" i="25"/>
  <c r="B30" i="25" s="1"/>
  <c r="B31" i="25" s="1"/>
  <c r="B32" i="25" s="1"/>
  <c r="A34" i="25" s="1"/>
  <c r="B6" i="25"/>
  <c r="D34" i="17"/>
  <c r="E32" i="17"/>
  <c r="E49" i="17"/>
  <c r="F32" i="17"/>
  <c r="D38" i="17"/>
  <c r="N4" i="10"/>
  <c r="B9" i="10"/>
  <c r="B10" i="10"/>
  <c r="B8" i="10"/>
  <c r="C3" i="10"/>
  <c r="C30" i="10" s="1"/>
  <c r="C31" i="10" s="1"/>
  <c r="C8" i="10"/>
  <c r="C6" i="10"/>
  <c r="C7" i="10"/>
  <c r="C9" i="10"/>
  <c r="B7" i="10"/>
  <c r="D8" i="10"/>
  <c r="D7" i="10"/>
  <c r="D6" i="10"/>
  <c r="D5" i="10"/>
  <c r="D3" i="10"/>
  <c r="D30" i="10" s="1"/>
  <c r="E31" i="10" s="1"/>
  <c r="F9" i="10"/>
  <c r="E10" i="10"/>
  <c r="F8" i="10"/>
  <c r="E8" i="10"/>
  <c r="F7" i="10"/>
  <c r="N3" i="10"/>
  <c r="E7" i="10"/>
  <c r="F3" i="10"/>
  <c r="F30" i="10" s="1"/>
  <c r="G31" i="10" s="1"/>
  <c r="E9" i="10"/>
  <c r="F6" i="10"/>
  <c r="N2" i="9"/>
  <c r="H9" i="9"/>
  <c r="H10" i="9"/>
  <c r="I6" i="9"/>
  <c r="I8" i="9"/>
  <c r="H7" i="9"/>
  <c r="I7" i="9"/>
  <c r="H8" i="9"/>
  <c r="I3" i="9"/>
  <c r="I30" i="9" s="1"/>
  <c r="K31" i="9" s="1"/>
  <c r="K32" i="9" s="1"/>
  <c r="I9" i="9"/>
  <c r="G8" i="9"/>
  <c r="G5" i="9"/>
  <c r="G6" i="9"/>
  <c r="G3" i="9"/>
  <c r="G30" i="9" s="1"/>
  <c r="I31" i="9" s="1"/>
  <c r="I32" i="9" s="1"/>
  <c r="G7" i="9"/>
  <c r="P4" i="9"/>
  <c r="M3" i="9"/>
  <c r="H31" i="9" s="1"/>
  <c r="E12" i="9"/>
  <c r="F4" i="9"/>
  <c r="E6" i="9"/>
  <c r="E11" i="9"/>
  <c r="E3" i="9"/>
  <c r="E30" i="9" s="1"/>
  <c r="F31" i="9" s="1"/>
  <c r="E5" i="9"/>
  <c r="N4" i="9"/>
  <c r="B7" i="9"/>
  <c r="B9" i="9"/>
  <c r="C9" i="9"/>
  <c r="C7" i="9"/>
  <c r="C3" i="9"/>
  <c r="C30" i="9" s="1"/>
  <c r="C31" i="9" s="1"/>
  <c r="B10" i="9"/>
  <c r="C6" i="9"/>
  <c r="C8" i="9"/>
  <c r="B8" i="9"/>
  <c r="B11" i="15"/>
  <c r="B6" i="15"/>
  <c r="B3" i="15"/>
  <c r="B30" i="15" s="1"/>
  <c r="B31" i="15" s="1"/>
  <c r="B32" i="15" s="1"/>
  <c r="A34" i="15" s="1"/>
  <c r="M4" i="15"/>
  <c r="D31" i="15" s="1"/>
  <c r="C4" i="15"/>
  <c r="B12" i="15"/>
  <c r="B5" i="15"/>
  <c r="A3" i="15"/>
  <c r="A30" i="15" s="1"/>
  <c r="A31" i="15" s="1"/>
  <c r="A32" i="15" s="1"/>
  <c r="A6" i="15"/>
  <c r="A5" i="15"/>
  <c r="E8" i="15"/>
  <c r="F8" i="15"/>
  <c r="F6" i="15"/>
  <c r="N3" i="15"/>
  <c r="F3" i="15"/>
  <c r="F30" i="15" s="1"/>
  <c r="G31" i="15" s="1"/>
  <c r="E10" i="15"/>
  <c r="E9" i="15"/>
  <c r="F7" i="15"/>
  <c r="F9" i="15"/>
  <c r="E7" i="15"/>
  <c r="L46" i="17"/>
  <c r="H40" i="17"/>
  <c r="A40" i="17"/>
  <c r="I35" i="17"/>
  <c r="H36" i="17"/>
  <c r="G3" i="10"/>
  <c r="G30" i="10" s="1"/>
  <c r="I31" i="10" s="1"/>
  <c r="I32" i="10" s="1"/>
  <c r="G6" i="10"/>
  <c r="G5" i="10"/>
  <c r="G7" i="10"/>
  <c r="G8" i="10"/>
  <c r="B6" i="10"/>
  <c r="C4" i="10"/>
  <c r="M4" i="10"/>
  <c r="D31" i="10" s="1"/>
  <c r="B12" i="10"/>
  <c r="B5" i="10"/>
  <c r="B11" i="10"/>
  <c r="B3" i="10"/>
  <c r="B30" i="10" s="1"/>
  <c r="B31" i="10" s="1"/>
  <c r="B32" i="10" s="1"/>
  <c r="A34" i="10" s="1"/>
  <c r="M2" i="10"/>
  <c r="L31" i="10" s="1"/>
  <c r="H5" i="10"/>
  <c r="P3" i="10"/>
  <c r="H11" i="10"/>
  <c r="I4" i="10"/>
  <c r="H3" i="10"/>
  <c r="H30" i="10" s="1"/>
  <c r="J31" i="10" s="1"/>
  <c r="J32" i="10" s="1"/>
  <c r="H6" i="10"/>
  <c r="H12" i="10"/>
  <c r="M19" i="15"/>
  <c r="B35" i="17"/>
  <c r="C32" i="17"/>
  <c r="B34" i="17" s="1"/>
  <c r="A35" i="17"/>
  <c r="N3" i="9"/>
  <c r="E8" i="9"/>
  <c r="F3" i="9"/>
  <c r="F30" i="9" s="1"/>
  <c r="G31" i="9" s="1"/>
  <c r="F6" i="9"/>
  <c r="F7" i="9"/>
  <c r="E10" i="9"/>
  <c r="F9" i="9"/>
  <c r="F8" i="9"/>
  <c r="E9" i="9"/>
  <c r="E7" i="9"/>
  <c r="M2" i="9"/>
  <c r="L31" i="9" s="1"/>
  <c r="H11" i="9"/>
  <c r="H12" i="9"/>
  <c r="P3" i="9"/>
  <c r="I4" i="9"/>
  <c r="H6" i="9"/>
  <c r="H3" i="9"/>
  <c r="H30" i="9" s="1"/>
  <c r="J31" i="9" s="1"/>
  <c r="J32" i="9" s="1"/>
  <c r="H5" i="9"/>
  <c r="D8" i="15"/>
  <c r="D5" i="15"/>
  <c r="D3" i="15"/>
  <c r="D30" i="15" s="1"/>
  <c r="E31" i="15" s="1"/>
  <c r="D7" i="15"/>
  <c r="D6" i="15"/>
  <c r="A41" i="17"/>
  <c r="J34" i="17"/>
  <c r="J35" i="17"/>
  <c r="H37" i="17"/>
  <c r="H39" i="17"/>
  <c r="A39" i="17"/>
  <c r="H35" i="17"/>
  <c r="L47" i="17"/>
  <c r="A5" i="9"/>
  <c r="A6" i="9"/>
  <c r="A3" i="9"/>
  <c r="A30" i="9" s="1"/>
  <c r="A31" i="9" s="1"/>
  <c r="A32" i="9" s="1"/>
  <c r="B9" i="15"/>
  <c r="B10" i="15"/>
  <c r="B8" i="15"/>
  <c r="C9" i="15"/>
  <c r="C8" i="15"/>
  <c r="C3" i="15"/>
  <c r="C30" i="15" s="1"/>
  <c r="C31" i="15" s="1"/>
  <c r="C7" i="15"/>
  <c r="B7" i="15"/>
  <c r="C6" i="15"/>
  <c r="N4" i="15"/>
  <c r="H9" i="10"/>
  <c r="I8" i="10"/>
  <c r="H7" i="10"/>
  <c r="H10" i="10"/>
  <c r="I9" i="10"/>
  <c r="N2" i="10"/>
  <c r="H8" i="10"/>
  <c r="I3" i="10"/>
  <c r="I30" i="10" s="1"/>
  <c r="K31" i="10" s="1"/>
  <c r="K32" i="10" s="1"/>
  <c r="I6" i="10"/>
  <c r="I7" i="10"/>
  <c r="A3" i="10"/>
  <c r="A30" i="10" s="1"/>
  <c r="A31" i="10" s="1"/>
  <c r="A32" i="10" s="1"/>
  <c r="A6" i="10"/>
  <c r="A5" i="10"/>
  <c r="M3" i="10"/>
  <c r="H31" i="10" s="1"/>
  <c r="F4" i="10"/>
  <c r="E6" i="10"/>
  <c r="E3" i="10"/>
  <c r="E30" i="10" s="1"/>
  <c r="F31" i="10" s="1"/>
  <c r="E5" i="10"/>
  <c r="P4" i="10"/>
  <c r="E11" i="10"/>
  <c r="E12" i="10"/>
  <c r="F44" i="17"/>
  <c r="D39" i="17"/>
  <c r="E48" i="17"/>
  <c r="E50" i="17"/>
  <c r="F34" i="17"/>
  <c r="G32" i="17"/>
  <c r="F38" i="17"/>
  <c r="F43" i="17"/>
  <c r="B12" i="9"/>
  <c r="C4" i="9"/>
  <c r="B6" i="9"/>
  <c r="B11" i="9"/>
  <c r="B5" i="9"/>
  <c r="M4" i="9"/>
  <c r="D31" i="9" s="1"/>
  <c r="B3" i="9"/>
  <c r="B30" i="9" s="1"/>
  <c r="B31" i="9" s="1"/>
  <c r="B32" i="9" s="1"/>
  <c r="A34" i="9" s="1"/>
  <c r="D3" i="9"/>
  <c r="D30" i="9" s="1"/>
  <c r="E31" i="9" s="1"/>
  <c r="D5" i="9"/>
  <c r="D7" i="9"/>
  <c r="D8" i="9"/>
  <c r="D6" i="9"/>
  <c r="H10" i="15"/>
  <c r="N2" i="15"/>
  <c r="I9" i="15"/>
  <c r="I7" i="15"/>
  <c r="I8" i="15"/>
  <c r="H9" i="15"/>
  <c r="H8" i="15"/>
  <c r="H7" i="15"/>
  <c r="I3" i="15"/>
  <c r="I30" i="15" s="1"/>
  <c r="K31" i="15" s="1"/>
  <c r="K32" i="15" s="1"/>
  <c r="I6" i="15"/>
  <c r="H5" i="15"/>
  <c r="P3" i="15"/>
  <c r="I4" i="15"/>
  <c r="H12" i="15"/>
  <c r="M2" i="15"/>
  <c r="L31" i="15" s="1"/>
  <c r="H11" i="15"/>
  <c r="H3" i="15"/>
  <c r="H30" i="15" s="1"/>
  <c r="J31" i="15" s="1"/>
  <c r="J32" i="15" s="1"/>
  <c r="H6" i="15"/>
  <c r="G7" i="15"/>
  <c r="G3" i="15"/>
  <c r="G30" i="15" s="1"/>
  <c r="I31" i="15" s="1"/>
  <c r="I32" i="15" s="1"/>
  <c r="G6" i="15"/>
  <c r="G5" i="15"/>
  <c r="G8" i="15"/>
  <c r="E12" i="15"/>
  <c r="E5" i="15"/>
  <c r="E3" i="15"/>
  <c r="E30" i="15" s="1"/>
  <c r="F31" i="15" s="1"/>
  <c r="M3" i="15"/>
  <c r="H31" i="15" s="1"/>
  <c r="E11" i="15"/>
  <c r="E6" i="15"/>
  <c r="P4" i="15"/>
  <c r="F4" i="15"/>
  <c r="L44" i="17"/>
  <c r="B33" i="17" s="1"/>
  <c r="L34" i="17"/>
  <c r="L33" i="17" s="1"/>
  <c r="L36" i="17"/>
  <c r="J33" i="17" s="1"/>
  <c r="L42" i="17"/>
  <c r="D33" i="17" s="1"/>
  <c r="L49" i="17"/>
  <c r="L37" i="17"/>
  <c r="I33" i="17" s="1"/>
  <c r="L40" i="17"/>
  <c r="F33" i="17" s="1"/>
  <c r="L35" i="17"/>
  <c r="K33" i="17" s="1"/>
  <c r="L38" i="17"/>
  <c r="H33" i="17" s="1"/>
  <c r="L41" i="17"/>
  <c r="E33" i="17" s="1"/>
  <c r="L39" i="17"/>
  <c r="G33" i="17" s="1"/>
  <c r="L43" i="17"/>
  <c r="C33" i="17" s="1"/>
  <c r="L45" i="17"/>
  <c r="A33" i="17" s="1"/>
  <c r="L35" i="20" l="1"/>
  <c r="K33" i="20" s="1"/>
  <c r="E32" i="12"/>
  <c r="D34" i="12"/>
  <c r="D39" i="12"/>
  <c r="E48" i="12"/>
  <c r="F43" i="12"/>
  <c r="F34" i="12"/>
  <c r="E50" i="12"/>
  <c r="F44" i="12"/>
  <c r="G32" i="12"/>
  <c r="F38" i="12"/>
  <c r="C32" i="4"/>
  <c r="B34" i="4" s="1"/>
  <c r="A35" i="4"/>
  <c r="B35" i="4"/>
  <c r="A39" i="4"/>
  <c r="H35" i="4"/>
  <c r="H37" i="4"/>
  <c r="H39" i="4"/>
  <c r="L47" i="4"/>
  <c r="F32" i="4"/>
  <c r="E49" i="4"/>
  <c r="D38" i="4"/>
  <c r="L46" i="4"/>
  <c r="A40" i="4"/>
  <c r="H36" i="4"/>
  <c r="H40" i="4"/>
  <c r="I35" i="4"/>
  <c r="F32" i="12"/>
  <c r="E49" i="12"/>
  <c r="D38" i="12"/>
  <c r="E32" i="4"/>
  <c r="D34" i="4"/>
  <c r="L40" i="12"/>
  <c r="F33" i="12" s="1"/>
  <c r="L36" i="12"/>
  <c r="J33" i="12" s="1"/>
  <c r="L35" i="12"/>
  <c r="K33" i="12" s="1"/>
  <c r="L49" i="12"/>
  <c r="L39" i="12"/>
  <c r="G33" i="12" s="1"/>
  <c r="L37" i="12"/>
  <c r="I33" i="12" s="1"/>
  <c r="L38" i="12"/>
  <c r="H33" i="12" s="1"/>
  <c r="L34" i="12"/>
  <c r="L33" i="12" s="1"/>
  <c r="L41" i="12"/>
  <c r="E33" i="12" s="1"/>
  <c r="L44" i="12"/>
  <c r="B33" i="12" s="1"/>
  <c r="L43" i="12"/>
  <c r="C33" i="12" s="1"/>
  <c r="L42" i="12"/>
  <c r="D33" i="12" s="1"/>
  <c r="L45" i="12"/>
  <c r="A33" i="12" s="1"/>
  <c r="H39" i="12"/>
  <c r="H35" i="12"/>
  <c r="A39" i="12"/>
  <c r="H37" i="12"/>
  <c r="L47" i="12"/>
  <c r="F34" i="4"/>
  <c r="G32" i="4"/>
  <c r="F38" i="4"/>
  <c r="F43" i="4"/>
  <c r="E48" i="4"/>
  <c r="D39" i="4"/>
  <c r="E50" i="4"/>
  <c r="F44" i="4"/>
  <c r="C34" i="13"/>
  <c r="I38" i="13"/>
  <c r="G34" i="13"/>
  <c r="E53" i="13"/>
  <c r="D43" i="13"/>
  <c r="F35" i="13"/>
  <c r="G35" i="13"/>
  <c r="G36" i="13"/>
  <c r="F39" i="13"/>
  <c r="B35" i="12"/>
  <c r="A35" i="12"/>
  <c r="C32" i="12"/>
  <c r="B34" i="12" s="1"/>
  <c r="H40" i="12"/>
  <c r="I35" i="12"/>
  <c r="H36" i="12"/>
  <c r="L46" i="12"/>
  <c r="A40" i="12"/>
  <c r="L39" i="4"/>
  <c r="G33" i="4" s="1"/>
  <c r="L41" i="4"/>
  <c r="E33" i="4" s="1"/>
  <c r="L36" i="4"/>
  <c r="J33" i="4" s="1"/>
  <c r="L34" i="4"/>
  <c r="L33" i="4" s="1"/>
  <c r="L40" i="4"/>
  <c r="F33" i="4" s="1"/>
  <c r="L37" i="4"/>
  <c r="I33" i="4" s="1"/>
  <c r="L38" i="4"/>
  <c r="H33" i="4" s="1"/>
  <c r="L49" i="4"/>
  <c r="L42" i="4"/>
  <c r="D33" i="4" s="1"/>
  <c r="L43" i="4"/>
  <c r="C33" i="4" s="1"/>
  <c r="L44" i="4"/>
  <c r="B33" i="4" s="1"/>
  <c r="L45" i="4"/>
  <c r="A33" i="4" s="1"/>
  <c r="L35" i="4"/>
  <c r="K33" i="4" s="1"/>
  <c r="J34" i="4"/>
  <c r="A41" i="4"/>
  <c r="J35" i="4"/>
  <c r="J34" i="12"/>
  <c r="A41" i="12"/>
  <c r="J35" i="12"/>
  <c r="J9" i="73"/>
  <c r="J10" i="73" s="1"/>
  <c r="K10" i="73" s="1"/>
  <c r="K11" i="73" s="1"/>
  <c r="H6" i="6"/>
  <c r="H4" i="6" s="1"/>
  <c r="H3" i="6" s="1"/>
  <c r="H30" i="6" s="1"/>
  <c r="J31" i="6" s="1"/>
  <c r="J32" i="6" s="1"/>
  <c r="M13" i="22"/>
  <c r="M15" i="22" s="1"/>
  <c r="F11" i="73"/>
  <c r="G11" i="73"/>
  <c r="H10" i="73"/>
  <c r="L34" i="20"/>
  <c r="L33" i="20" s="1"/>
  <c r="L54" i="20" s="1"/>
  <c r="F33" i="20"/>
  <c r="F54" i="20" s="1"/>
  <c r="L48" i="20"/>
  <c r="G36" i="20" s="1"/>
  <c r="L36" i="20"/>
  <c r="J33" i="20" s="1"/>
  <c r="J54" i="20" s="1"/>
  <c r="E33" i="20"/>
  <c r="E54" i="20" s="1"/>
  <c r="G54" i="20"/>
  <c r="G56" i="20"/>
  <c r="I54" i="20"/>
  <c r="I56" i="20"/>
  <c r="A38" i="20"/>
  <c r="A37" i="20" s="1"/>
  <c r="A36" i="20" s="1"/>
  <c r="A35" i="20" s="1"/>
  <c r="A34" i="20" s="1"/>
  <c r="A33" i="20" s="1"/>
  <c r="E45" i="20"/>
  <c r="E38" i="20"/>
  <c r="E37" i="20" s="1"/>
  <c r="E34" i="20" s="1"/>
  <c r="D42" i="20"/>
  <c r="D41" i="20"/>
  <c r="D40" i="20" s="1"/>
  <c r="E42" i="20"/>
  <c r="L64" i="20"/>
  <c r="I36" i="20"/>
  <c r="I34" i="20"/>
  <c r="L38" i="20"/>
  <c r="H33" i="20" s="1"/>
  <c r="H44" i="20"/>
  <c r="G39" i="20"/>
  <c r="I37" i="20"/>
  <c r="K56" i="20"/>
  <c r="K54" i="20"/>
  <c r="H38" i="20"/>
  <c r="D39" i="20" s="1"/>
  <c r="D38" i="20" s="1"/>
  <c r="D34" i="20" s="1"/>
  <c r="B35" i="20" s="1"/>
  <c r="B33" i="20" s="1"/>
  <c r="H34" i="20"/>
  <c r="E48" i="20" s="1"/>
  <c r="I40" i="20"/>
  <c r="I39" i="20" s="1"/>
  <c r="H42" i="20"/>
  <c r="F43" i="20" s="1"/>
  <c r="F41" i="20" s="1"/>
  <c r="H41" i="20"/>
  <c r="F38" i="20" s="1"/>
  <c r="F37" i="20" s="1"/>
  <c r="F29" i="53"/>
  <c r="D29" i="53"/>
  <c r="U12" i="18"/>
  <c r="W11" i="18"/>
  <c r="X11" i="18" s="1"/>
  <c r="X12" i="18" s="1"/>
  <c r="T13" i="18"/>
  <c r="E30" i="53"/>
  <c r="C27" i="53"/>
  <c r="E27" i="53"/>
  <c r="B25" i="53"/>
  <c r="E25" i="53" s="1"/>
  <c r="A24" i="53"/>
  <c r="S13" i="18"/>
  <c r="I5" i="6"/>
  <c r="I4" i="6" s="1"/>
  <c r="I3" i="6" s="1"/>
  <c r="I30" i="6" s="1"/>
  <c r="K31" i="6" s="1"/>
  <c r="K32" i="6" s="1"/>
  <c r="J35" i="6" s="1"/>
  <c r="H6" i="5"/>
  <c r="H4" i="5" s="1"/>
  <c r="H3" i="5" s="1"/>
  <c r="H30" i="5" s="1"/>
  <c r="J31" i="5" s="1"/>
  <c r="J32" i="5" s="1"/>
  <c r="H5" i="5"/>
  <c r="I5" i="5"/>
  <c r="I4" i="5" s="1"/>
  <c r="I3" i="5" s="1"/>
  <c r="I30" i="5" s="1"/>
  <c r="K31" i="5" s="1"/>
  <c r="K32" i="5" s="1"/>
  <c r="A41" i="5" s="1"/>
  <c r="L42" i="5"/>
  <c r="L41" i="5"/>
  <c r="L45" i="5"/>
  <c r="L43" i="5"/>
  <c r="L44" i="5"/>
  <c r="F44" i="5"/>
  <c r="G32" i="5"/>
  <c r="E50" i="5"/>
  <c r="E49" i="5" s="1"/>
  <c r="F34" i="5"/>
  <c r="L49" i="5"/>
  <c r="B34" i="5"/>
  <c r="F32" i="5"/>
  <c r="F34" i="6"/>
  <c r="G32" i="6"/>
  <c r="F32" i="6"/>
  <c r="E18" i="18"/>
  <c r="H18" i="18"/>
  <c r="O13" i="66"/>
  <c r="C23" i="18"/>
  <c r="M21" i="53" s="1"/>
  <c r="E32" i="6"/>
  <c r="Q11" i="66"/>
  <c r="S11" i="66" s="1"/>
  <c r="D35" i="18"/>
  <c r="C32" i="6"/>
  <c r="B34" i="6" s="1"/>
  <c r="A1" i="22"/>
  <c r="M6" i="22"/>
  <c r="A25" i="18"/>
  <c r="B24" i="18"/>
  <c r="E30" i="52"/>
  <c r="C27" i="52"/>
  <c r="E27" i="52"/>
  <c r="H9" i="19"/>
  <c r="F9" i="19"/>
  <c r="F29" i="52"/>
  <c r="D29" i="52"/>
  <c r="P12" i="66"/>
  <c r="P13" i="66" s="1"/>
  <c r="A24" i="52"/>
  <c r="B25" i="52"/>
  <c r="E25" i="52" s="1"/>
  <c r="A41" i="6"/>
  <c r="L45" i="6"/>
  <c r="L44" i="6"/>
  <c r="N13" i="66"/>
  <c r="A61" i="22"/>
  <c r="J34" i="11"/>
  <c r="J35" i="11"/>
  <c r="A41" i="11"/>
  <c r="H37" i="25"/>
  <c r="H35" i="25"/>
  <c r="A39" i="25"/>
  <c r="L47" i="25"/>
  <c r="H39" i="25"/>
  <c r="E49" i="25"/>
  <c r="F32" i="25"/>
  <c r="D38" i="25"/>
  <c r="A40" i="25"/>
  <c r="H36" i="25"/>
  <c r="I35" i="25"/>
  <c r="H40" i="25"/>
  <c r="L46" i="25"/>
  <c r="F34" i="25"/>
  <c r="D39" i="25"/>
  <c r="F38" i="25"/>
  <c r="G32" i="25"/>
  <c r="E48" i="25"/>
  <c r="F43" i="25"/>
  <c r="E50" i="25"/>
  <c r="F44" i="25"/>
  <c r="L37" i="11"/>
  <c r="I33" i="11" s="1"/>
  <c r="L34" i="11"/>
  <c r="L33" i="11" s="1"/>
  <c r="L45" i="11"/>
  <c r="A33" i="11" s="1"/>
  <c r="L44" i="11"/>
  <c r="B33" i="11" s="1"/>
  <c r="L39" i="11"/>
  <c r="G33" i="11" s="1"/>
  <c r="L41" i="11"/>
  <c r="E33" i="11" s="1"/>
  <c r="L43" i="11"/>
  <c r="C33" i="11" s="1"/>
  <c r="L40" i="11"/>
  <c r="F33" i="11" s="1"/>
  <c r="L38" i="11"/>
  <c r="H33" i="11" s="1"/>
  <c r="L35" i="11"/>
  <c r="K33" i="11" s="1"/>
  <c r="L42" i="11"/>
  <c r="D33" i="11" s="1"/>
  <c r="L36" i="11"/>
  <c r="J33" i="11" s="1"/>
  <c r="L49" i="11"/>
  <c r="F34" i="11"/>
  <c r="F44" i="11"/>
  <c r="G32" i="11"/>
  <c r="F38" i="11"/>
  <c r="E48" i="11"/>
  <c r="F43" i="11"/>
  <c r="E50" i="11"/>
  <c r="D39" i="11"/>
  <c r="E32" i="11"/>
  <c r="D34" i="11"/>
  <c r="A41" i="25"/>
  <c r="J34" i="25"/>
  <c r="J35" i="25"/>
  <c r="H39" i="11"/>
  <c r="A39" i="11"/>
  <c r="L47" i="11"/>
  <c r="H35" i="11"/>
  <c r="H37" i="11"/>
  <c r="B35" i="11"/>
  <c r="C32" i="11"/>
  <c r="B34" i="11" s="1"/>
  <c r="A35" i="11"/>
  <c r="E49" i="11"/>
  <c r="D38" i="11"/>
  <c r="F32" i="11"/>
  <c r="I35" i="11"/>
  <c r="H36" i="11"/>
  <c r="L46" i="11"/>
  <c r="H40" i="11"/>
  <c r="A40" i="11"/>
  <c r="D34" i="25"/>
  <c r="E32" i="25"/>
  <c r="B35" i="25"/>
  <c r="A35" i="25"/>
  <c r="C32" i="25"/>
  <c r="B34" i="25" s="1"/>
  <c r="L43" i="25"/>
  <c r="C33" i="25" s="1"/>
  <c r="L45" i="25"/>
  <c r="A33" i="25" s="1"/>
  <c r="L37" i="25"/>
  <c r="I33" i="25" s="1"/>
  <c r="L44" i="25"/>
  <c r="B33" i="25" s="1"/>
  <c r="L34" i="25"/>
  <c r="L33" i="25" s="1"/>
  <c r="L40" i="25"/>
  <c r="F33" i="25" s="1"/>
  <c r="L49" i="25"/>
  <c r="L36" i="25"/>
  <c r="J33" i="25" s="1"/>
  <c r="L41" i="25"/>
  <c r="E33" i="25" s="1"/>
  <c r="L42" i="25"/>
  <c r="D33" i="25" s="1"/>
  <c r="L39" i="25"/>
  <c r="G33" i="25" s="1"/>
  <c r="L35" i="25"/>
  <c r="K33" i="25" s="1"/>
  <c r="L38" i="25"/>
  <c r="H33" i="25" s="1"/>
  <c r="E56" i="17"/>
  <c r="E54" i="17"/>
  <c r="I54" i="17"/>
  <c r="I56" i="17"/>
  <c r="L64" i="17"/>
  <c r="L54" i="17"/>
  <c r="A40" i="15"/>
  <c r="L46" i="15"/>
  <c r="I35" i="15"/>
  <c r="H36" i="15"/>
  <c r="H40" i="15"/>
  <c r="A41" i="15"/>
  <c r="J34" i="15"/>
  <c r="J35" i="15"/>
  <c r="L41" i="9"/>
  <c r="E33" i="9" s="1"/>
  <c r="L49" i="9"/>
  <c r="L35" i="9"/>
  <c r="K33" i="9" s="1"/>
  <c r="L42" i="9"/>
  <c r="D33" i="9" s="1"/>
  <c r="L45" i="9"/>
  <c r="A33" i="9" s="1"/>
  <c r="L34" i="9"/>
  <c r="L33" i="9" s="1"/>
  <c r="L38" i="9"/>
  <c r="H33" i="9" s="1"/>
  <c r="L40" i="9"/>
  <c r="F33" i="9" s="1"/>
  <c r="L37" i="9"/>
  <c r="I33" i="9" s="1"/>
  <c r="L36" i="9"/>
  <c r="J33" i="9" s="1"/>
  <c r="L44" i="9"/>
  <c r="B33" i="9" s="1"/>
  <c r="L39" i="9"/>
  <c r="G33" i="9" s="1"/>
  <c r="L43" i="9"/>
  <c r="C33" i="9" s="1"/>
  <c r="I36" i="17"/>
  <c r="I34" i="17"/>
  <c r="F32" i="9"/>
  <c r="D38" i="9"/>
  <c r="E49" i="9"/>
  <c r="H35" i="9"/>
  <c r="A39" i="9"/>
  <c r="L47" i="9"/>
  <c r="H39" i="9"/>
  <c r="H37" i="9"/>
  <c r="E50" i="10"/>
  <c r="G32" i="10"/>
  <c r="F34" i="10"/>
  <c r="F43" i="10"/>
  <c r="F44" i="10"/>
  <c r="E48" i="10"/>
  <c r="F38" i="10"/>
  <c r="D39" i="10"/>
  <c r="D34" i="10"/>
  <c r="E32" i="10"/>
  <c r="D40" i="17"/>
  <c r="E35" i="17"/>
  <c r="E43" i="17"/>
  <c r="E40" i="17"/>
  <c r="D36" i="17"/>
  <c r="E37" i="17"/>
  <c r="A37" i="17"/>
  <c r="E46" i="17"/>
  <c r="A56" i="17"/>
  <c r="A54" i="17"/>
  <c r="H54" i="17"/>
  <c r="H56" i="17"/>
  <c r="G39" i="17"/>
  <c r="E39" i="17"/>
  <c r="H44" i="17"/>
  <c r="H43" i="17"/>
  <c r="F41" i="17"/>
  <c r="E34" i="17"/>
  <c r="G37" i="17"/>
  <c r="G38" i="17"/>
  <c r="I37" i="17"/>
  <c r="E52" i="17"/>
  <c r="F37" i="17"/>
  <c r="B54" i="17"/>
  <c r="B56" i="17"/>
  <c r="L47" i="15"/>
  <c r="H37" i="15"/>
  <c r="A39" i="15"/>
  <c r="H39" i="15"/>
  <c r="H35" i="15"/>
  <c r="E32" i="9"/>
  <c r="D34" i="9"/>
  <c r="F32" i="10"/>
  <c r="D38" i="10"/>
  <c r="E49" i="10"/>
  <c r="E48" i="9"/>
  <c r="F44" i="9"/>
  <c r="E50" i="9"/>
  <c r="F38" i="9"/>
  <c r="F34" i="9"/>
  <c r="G32" i="9"/>
  <c r="D39" i="9"/>
  <c r="F43" i="9"/>
  <c r="L35" i="15"/>
  <c r="K33" i="15" s="1"/>
  <c r="L43" i="15"/>
  <c r="C33" i="15" s="1"/>
  <c r="L45" i="15"/>
  <c r="A33" i="15" s="1"/>
  <c r="L40" i="15"/>
  <c r="F33" i="15" s="1"/>
  <c r="L41" i="15"/>
  <c r="E33" i="15" s="1"/>
  <c r="L39" i="15"/>
  <c r="G33" i="15" s="1"/>
  <c r="L36" i="15"/>
  <c r="J33" i="15" s="1"/>
  <c r="L49" i="15"/>
  <c r="L37" i="15"/>
  <c r="I33" i="15" s="1"/>
  <c r="L44" i="15"/>
  <c r="B33" i="15" s="1"/>
  <c r="L38" i="15"/>
  <c r="H33" i="15" s="1"/>
  <c r="L34" i="15"/>
  <c r="L33" i="15" s="1"/>
  <c r="L42" i="15"/>
  <c r="D33" i="15" s="1"/>
  <c r="A35" i="9"/>
  <c r="C32" i="9"/>
  <c r="B34" i="9" s="1"/>
  <c r="B35" i="9"/>
  <c r="J35" i="9"/>
  <c r="A41" i="9"/>
  <c r="J34" i="9"/>
  <c r="C54" i="17"/>
  <c r="C56" i="17"/>
  <c r="K56" i="17"/>
  <c r="K54" i="17"/>
  <c r="D54" i="17"/>
  <c r="D56" i="17"/>
  <c r="J35" i="10"/>
  <c r="A41" i="10"/>
  <c r="J34" i="10"/>
  <c r="A35" i="15"/>
  <c r="B35" i="15"/>
  <c r="C32" i="15"/>
  <c r="B34" i="15" s="1"/>
  <c r="L46" i="10"/>
  <c r="A40" i="10"/>
  <c r="H40" i="10"/>
  <c r="H36" i="10"/>
  <c r="I35" i="10"/>
  <c r="F43" i="15"/>
  <c r="E48" i="15"/>
  <c r="D39" i="15"/>
  <c r="G32" i="15"/>
  <c r="F38" i="15"/>
  <c r="E50" i="15"/>
  <c r="F34" i="15"/>
  <c r="F44" i="15"/>
  <c r="A35" i="10"/>
  <c r="C32" i="10"/>
  <c r="B34" i="10" s="1"/>
  <c r="B35" i="10"/>
  <c r="A36" i="17"/>
  <c r="L48" i="17"/>
  <c r="D35" i="17"/>
  <c r="G54" i="17"/>
  <c r="G56" i="17"/>
  <c r="F54" i="17"/>
  <c r="F56" i="17"/>
  <c r="J54" i="17"/>
  <c r="J56" i="17"/>
  <c r="E49" i="15"/>
  <c r="F32" i="15"/>
  <c r="D38" i="15"/>
  <c r="E36" i="17"/>
  <c r="F36" i="17"/>
  <c r="E38" i="17"/>
  <c r="F40" i="17"/>
  <c r="A38" i="17"/>
  <c r="D42" i="17"/>
  <c r="E42" i="17"/>
  <c r="E45" i="17"/>
  <c r="E44" i="17"/>
  <c r="D41" i="17"/>
  <c r="E51" i="17"/>
  <c r="E41" i="17"/>
  <c r="D37" i="17"/>
  <c r="E47" i="17"/>
  <c r="F42" i="17"/>
  <c r="L42" i="10"/>
  <c r="D33" i="10" s="1"/>
  <c r="L41" i="10"/>
  <c r="E33" i="10" s="1"/>
  <c r="L35" i="10"/>
  <c r="K33" i="10" s="1"/>
  <c r="L39" i="10"/>
  <c r="G33" i="10" s="1"/>
  <c r="L44" i="10"/>
  <c r="B33" i="10" s="1"/>
  <c r="L43" i="10"/>
  <c r="C33" i="10" s="1"/>
  <c r="L40" i="10"/>
  <c r="F33" i="10" s="1"/>
  <c r="L45" i="10"/>
  <c r="A33" i="10" s="1"/>
  <c r="L38" i="10"/>
  <c r="H33" i="10" s="1"/>
  <c r="L34" i="10"/>
  <c r="L33" i="10" s="1"/>
  <c r="L36" i="10"/>
  <c r="J33" i="10" s="1"/>
  <c r="L37" i="10"/>
  <c r="I33" i="10" s="1"/>
  <c r="L49" i="10"/>
  <c r="H41" i="17"/>
  <c r="H42" i="17"/>
  <c r="I40" i="17"/>
  <c r="I39" i="17"/>
  <c r="H38" i="17"/>
  <c r="H34" i="17"/>
  <c r="E32" i="15"/>
  <c r="D34" i="15"/>
  <c r="I35" i="9"/>
  <c r="H36" i="9"/>
  <c r="A40" i="9"/>
  <c r="L46" i="9"/>
  <c r="H40" i="9"/>
  <c r="H37" i="10"/>
  <c r="L47" i="10"/>
  <c r="H35" i="10"/>
  <c r="A39" i="10"/>
  <c r="H39" i="10"/>
  <c r="E53" i="20" l="1"/>
  <c r="E52" i="20" s="1"/>
  <c r="F56" i="20"/>
  <c r="A11" i="53"/>
  <c r="A11" i="52"/>
  <c r="C56" i="4"/>
  <c r="C54" i="4"/>
  <c r="G54" i="12"/>
  <c r="G56" i="12"/>
  <c r="K54" i="4"/>
  <c r="K56" i="4"/>
  <c r="D54" i="4"/>
  <c r="D56" i="4"/>
  <c r="F56" i="4"/>
  <c r="F54" i="4"/>
  <c r="G54" i="4"/>
  <c r="G56" i="4"/>
  <c r="D37" i="4"/>
  <c r="F42" i="4"/>
  <c r="F40" i="4"/>
  <c r="E36" i="4"/>
  <c r="A38" i="4"/>
  <c r="D42" i="4"/>
  <c r="E51" i="4"/>
  <c r="E42" i="4"/>
  <c r="E38" i="4"/>
  <c r="F36" i="4"/>
  <c r="E45" i="4"/>
  <c r="E47" i="4"/>
  <c r="E44" i="4"/>
  <c r="E41" i="4"/>
  <c r="D41" i="4"/>
  <c r="D56" i="12"/>
  <c r="D54" i="12"/>
  <c r="L54" i="12"/>
  <c r="L64" i="12"/>
  <c r="G37" i="12"/>
  <c r="E34" i="12"/>
  <c r="G38" i="12"/>
  <c r="F37" i="12"/>
  <c r="I37" i="12"/>
  <c r="H43" i="12"/>
  <c r="H44" i="12"/>
  <c r="E39" i="12"/>
  <c r="E52" i="12"/>
  <c r="G39" i="12"/>
  <c r="F41" i="12"/>
  <c r="E43" i="12"/>
  <c r="E40" i="12"/>
  <c r="E35" i="12"/>
  <c r="A37" i="12"/>
  <c r="D40" i="12"/>
  <c r="E46" i="12"/>
  <c r="E37" i="12"/>
  <c r="D36" i="12"/>
  <c r="E43" i="4"/>
  <c r="A37" i="4"/>
  <c r="E46" i="4"/>
  <c r="D36" i="4"/>
  <c r="E35" i="4"/>
  <c r="E40" i="4"/>
  <c r="E37" i="4"/>
  <c r="D40" i="4"/>
  <c r="I54" i="4"/>
  <c r="I56" i="4"/>
  <c r="A54" i="12"/>
  <c r="A56" i="12"/>
  <c r="F54" i="12"/>
  <c r="F56" i="12"/>
  <c r="A54" i="4"/>
  <c r="A56" i="4"/>
  <c r="G38" i="4"/>
  <c r="F37" i="4"/>
  <c r="E39" i="4"/>
  <c r="F41" i="4"/>
  <c r="E34" i="4"/>
  <c r="I37" i="4"/>
  <c r="G39" i="4"/>
  <c r="E52" i="4"/>
  <c r="G37" i="4"/>
  <c r="H44" i="4"/>
  <c r="H43" i="4"/>
  <c r="L64" i="4"/>
  <c r="L54" i="4"/>
  <c r="C54" i="12"/>
  <c r="C56" i="12"/>
  <c r="H54" i="12"/>
  <c r="H56" i="12"/>
  <c r="K54" i="12"/>
  <c r="K56" i="12"/>
  <c r="D35" i="4"/>
  <c r="L48" i="4"/>
  <c r="A36" i="4"/>
  <c r="I36" i="4"/>
  <c r="I34" i="4"/>
  <c r="I39" i="4"/>
  <c r="H34" i="4"/>
  <c r="H41" i="4"/>
  <c r="I40" i="4"/>
  <c r="H38" i="4"/>
  <c r="H42" i="4"/>
  <c r="E54" i="4"/>
  <c r="E56" i="4"/>
  <c r="E54" i="12"/>
  <c r="E56" i="12"/>
  <c r="B54" i="4"/>
  <c r="B56" i="4"/>
  <c r="H54" i="4"/>
  <c r="H56" i="4"/>
  <c r="J54" i="4"/>
  <c r="J56" i="4"/>
  <c r="I36" i="12"/>
  <c r="I34" i="12"/>
  <c r="I40" i="12"/>
  <c r="H38" i="12"/>
  <c r="H42" i="12"/>
  <c r="H41" i="12"/>
  <c r="I39" i="12"/>
  <c r="H34" i="12"/>
  <c r="B56" i="12"/>
  <c r="B54" i="12"/>
  <c r="I56" i="12"/>
  <c r="I54" i="12"/>
  <c r="J54" i="12"/>
  <c r="J56" i="12"/>
  <c r="F36" i="12"/>
  <c r="E41" i="12"/>
  <c r="E47" i="12"/>
  <c r="E42" i="12"/>
  <c r="F40" i="12"/>
  <c r="E44" i="12"/>
  <c r="D37" i="12"/>
  <c r="D42" i="12"/>
  <c r="D41" i="12"/>
  <c r="E51" i="12"/>
  <c r="E38" i="12"/>
  <c r="A38" i="12"/>
  <c r="E36" i="12"/>
  <c r="E45" i="12"/>
  <c r="F42" i="12"/>
  <c r="D35" i="12"/>
  <c r="L48" i="12"/>
  <c r="A36" i="12"/>
  <c r="J11" i="73"/>
  <c r="M14" i="22"/>
  <c r="B59" i="22"/>
  <c r="A60" i="22" s="1"/>
  <c r="A40" i="6"/>
  <c r="A39" i="6" s="1"/>
  <c r="H37" i="6"/>
  <c r="I38" i="20"/>
  <c r="L9" i="73"/>
  <c r="J34" i="6"/>
  <c r="L46" i="6"/>
  <c r="I36" i="6" s="1"/>
  <c r="H11" i="73"/>
  <c r="D43" i="20"/>
  <c r="D33" i="20" s="1"/>
  <c r="D56" i="20" s="1"/>
  <c r="J56" i="20"/>
  <c r="L38" i="6"/>
  <c r="H33" i="6" s="1"/>
  <c r="H56" i="6" s="1"/>
  <c r="E56" i="20"/>
  <c r="L43" i="6"/>
  <c r="L42" i="6"/>
  <c r="F36" i="20"/>
  <c r="L34" i="6"/>
  <c r="L33" i="6" s="1"/>
  <c r="L54" i="6" s="1"/>
  <c r="H40" i="6"/>
  <c r="L41" i="6"/>
  <c r="B54" i="20"/>
  <c r="B56" i="20"/>
  <c r="D54" i="20"/>
  <c r="F39" i="20"/>
  <c r="L40" i="6"/>
  <c r="L35" i="6"/>
  <c r="K33" i="6" s="1"/>
  <c r="K56" i="6" s="1"/>
  <c r="H36" i="6"/>
  <c r="H35" i="6" s="1"/>
  <c r="F35" i="20"/>
  <c r="F40" i="20"/>
  <c r="E41" i="20"/>
  <c r="E40" i="20" s="1"/>
  <c r="A54" i="20"/>
  <c r="A56" i="20"/>
  <c r="H56" i="20"/>
  <c r="H54" i="20"/>
  <c r="L47" i="6"/>
  <c r="H38" i="6" s="1"/>
  <c r="G34" i="20"/>
  <c r="C34" i="20"/>
  <c r="C33" i="20" s="1"/>
  <c r="H43" i="20"/>
  <c r="G38" i="20"/>
  <c r="F42" i="20"/>
  <c r="E36" i="20"/>
  <c r="E35" i="20" s="1"/>
  <c r="E44" i="20"/>
  <c r="E43" i="20" s="1"/>
  <c r="E39" i="20" s="1"/>
  <c r="L37" i="6"/>
  <c r="I33" i="6" s="1"/>
  <c r="I54" i="6" s="1"/>
  <c r="G35" i="20"/>
  <c r="G37" i="20"/>
  <c r="E47" i="20"/>
  <c r="E46" i="20" s="1"/>
  <c r="D37" i="20"/>
  <c r="D36" i="20" s="1"/>
  <c r="D35" i="20" s="1"/>
  <c r="E51" i="20"/>
  <c r="L39" i="6"/>
  <c r="L36" i="6"/>
  <c r="J33" i="6" s="1"/>
  <c r="J56" i="6" s="1"/>
  <c r="L49" i="6"/>
  <c r="I37" i="6" s="1"/>
  <c r="I35" i="6"/>
  <c r="H39" i="6"/>
  <c r="B24" i="53"/>
  <c r="A23" i="53"/>
  <c r="V12" i="18"/>
  <c r="U13" i="18"/>
  <c r="Z11" i="18"/>
  <c r="Z12" i="18" s="1"/>
  <c r="AA12" i="18" s="1"/>
  <c r="AA13" i="18" s="1"/>
  <c r="W12" i="18"/>
  <c r="Y12" i="18"/>
  <c r="Y13" i="18" s="1"/>
  <c r="A40" i="5"/>
  <c r="A39" i="5" s="1"/>
  <c r="A38" i="5" s="1"/>
  <c r="A37" i="5" s="1"/>
  <c r="A36" i="5" s="1"/>
  <c r="A35" i="5" s="1"/>
  <c r="A34" i="5" s="1"/>
  <c r="A33" i="5" s="1"/>
  <c r="I35" i="5"/>
  <c r="H36" i="5"/>
  <c r="H35" i="5" s="1"/>
  <c r="H39" i="5"/>
  <c r="H40" i="5"/>
  <c r="L46" i="5"/>
  <c r="L47" i="5"/>
  <c r="J34" i="5"/>
  <c r="H37" i="5"/>
  <c r="J35" i="5"/>
  <c r="L37" i="5"/>
  <c r="I33" i="5" s="1"/>
  <c r="I56" i="5" s="1"/>
  <c r="L48" i="5"/>
  <c r="I38" i="5" s="1"/>
  <c r="L39" i="5"/>
  <c r="G33" i="5" s="1"/>
  <c r="G54" i="5" s="1"/>
  <c r="L34" i="5"/>
  <c r="L33" i="5" s="1"/>
  <c r="L36" i="5"/>
  <c r="J33" i="5" s="1"/>
  <c r="G39" i="5"/>
  <c r="I37" i="5"/>
  <c r="H44" i="5"/>
  <c r="E9" i="19"/>
  <c r="D10" i="19" s="1"/>
  <c r="L35" i="5"/>
  <c r="K33" i="5" s="1"/>
  <c r="L40" i="5"/>
  <c r="F33" i="5" s="1"/>
  <c r="E33" i="5"/>
  <c r="D41" i="5"/>
  <c r="D40" i="5" s="1"/>
  <c r="D42" i="5"/>
  <c r="E42" i="5"/>
  <c r="E38" i="5"/>
  <c r="E37" i="5" s="1"/>
  <c r="E34" i="5" s="1"/>
  <c r="E45" i="5"/>
  <c r="L38" i="5"/>
  <c r="H33" i="5" s="1"/>
  <c r="B24" i="52"/>
  <c r="A23" i="52"/>
  <c r="M16" i="22"/>
  <c r="M17" i="22" s="1"/>
  <c r="M18" i="22" s="1"/>
  <c r="C24" i="18"/>
  <c r="Q12" i="66"/>
  <c r="R12" i="66" s="1"/>
  <c r="R13" i="66" s="1"/>
  <c r="L48" i="6"/>
  <c r="A26" i="18"/>
  <c r="B25" i="18"/>
  <c r="T11" i="66"/>
  <c r="T12" i="66" s="1"/>
  <c r="D36" i="18"/>
  <c r="S12" i="66"/>
  <c r="G19" i="18"/>
  <c r="A2" i="22"/>
  <c r="F2" i="22"/>
  <c r="D2" i="22"/>
  <c r="B2" i="22"/>
  <c r="I2" i="22"/>
  <c r="H2" i="22"/>
  <c r="G2" i="22"/>
  <c r="E2" i="22"/>
  <c r="C2" i="22"/>
  <c r="D41" i="6"/>
  <c r="D40" i="6" s="1"/>
  <c r="A38" i="6"/>
  <c r="A37" i="6" s="1"/>
  <c r="A36" i="6" s="1"/>
  <c r="A35" i="6" s="1"/>
  <c r="A34" i="6" s="1"/>
  <c r="A33" i="6" s="1"/>
  <c r="E42" i="6"/>
  <c r="D42" i="6"/>
  <c r="E45" i="6"/>
  <c r="E38" i="6"/>
  <c r="E37" i="6" s="1"/>
  <c r="H54" i="25"/>
  <c r="H56" i="25"/>
  <c r="E54" i="25"/>
  <c r="E56" i="25"/>
  <c r="L64" i="25"/>
  <c r="L54" i="25"/>
  <c r="C56" i="25"/>
  <c r="C54" i="25"/>
  <c r="A36" i="25"/>
  <c r="L48" i="25"/>
  <c r="D35" i="25"/>
  <c r="I36" i="11"/>
  <c r="I34" i="11"/>
  <c r="E44" i="11"/>
  <c r="E41" i="11"/>
  <c r="E51" i="11"/>
  <c r="E47" i="11"/>
  <c r="E45" i="11"/>
  <c r="A38" i="11"/>
  <c r="D41" i="11"/>
  <c r="E42" i="11"/>
  <c r="E36" i="11"/>
  <c r="F40" i="11"/>
  <c r="F42" i="11"/>
  <c r="E38" i="11"/>
  <c r="F36" i="11"/>
  <c r="D42" i="11"/>
  <c r="D37" i="11"/>
  <c r="J56" i="11"/>
  <c r="J54" i="11"/>
  <c r="F56" i="11"/>
  <c r="F54" i="11"/>
  <c r="B56" i="11"/>
  <c r="B54" i="11"/>
  <c r="E41" i="25"/>
  <c r="F40" i="25"/>
  <c r="E36" i="25"/>
  <c r="D37" i="25"/>
  <c r="E47" i="25"/>
  <c r="E44" i="25"/>
  <c r="E42" i="25"/>
  <c r="D41" i="25"/>
  <c r="A38" i="25"/>
  <c r="D42" i="25"/>
  <c r="E38" i="25"/>
  <c r="F36" i="25"/>
  <c r="E45" i="25"/>
  <c r="E51" i="25"/>
  <c r="F42" i="25"/>
  <c r="I34" i="25"/>
  <c r="I36" i="25"/>
  <c r="K54" i="25"/>
  <c r="K56" i="25"/>
  <c r="J54" i="25"/>
  <c r="J56" i="25"/>
  <c r="B54" i="25"/>
  <c r="B56" i="25"/>
  <c r="D56" i="11"/>
  <c r="D54" i="11"/>
  <c r="C54" i="11"/>
  <c r="C56" i="11"/>
  <c r="A54" i="11"/>
  <c r="A56" i="11"/>
  <c r="H38" i="25"/>
  <c r="H34" i="25"/>
  <c r="H42" i="25"/>
  <c r="I39" i="25"/>
  <c r="H41" i="25"/>
  <c r="I40" i="25"/>
  <c r="G56" i="25"/>
  <c r="G54" i="25"/>
  <c r="G37" i="25"/>
  <c r="F37" i="25"/>
  <c r="E39" i="25"/>
  <c r="I37" i="25"/>
  <c r="E34" i="25"/>
  <c r="H43" i="25"/>
  <c r="H44" i="25"/>
  <c r="E52" i="25"/>
  <c r="G39" i="25"/>
  <c r="G38" i="25"/>
  <c r="F41" i="25"/>
  <c r="I56" i="25"/>
  <c r="I54" i="25"/>
  <c r="A36" i="11"/>
  <c r="D35" i="11"/>
  <c r="L48" i="11"/>
  <c r="K56" i="11"/>
  <c r="K54" i="11"/>
  <c r="E56" i="11"/>
  <c r="E54" i="11"/>
  <c r="L64" i="11"/>
  <c r="L54" i="11"/>
  <c r="E43" i="25"/>
  <c r="D40" i="25"/>
  <c r="E35" i="25"/>
  <c r="E37" i="25"/>
  <c r="E46" i="25"/>
  <c r="E40" i="25"/>
  <c r="A37" i="25"/>
  <c r="D36" i="25"/>
  <c r="D54" i="25"/>
  <c r="D56" i="25"/>
  <c r="F56" i="25"/>
  <c r="F54" i="25"/>
  <c r="A56" i="25"/>
  <c r="A54" i="25"/>
  <c r="A37" i="11"/>
  <c r="E46" i="11"/>
  <c r="D40" i="11"/>
  <c r="E35" i="11"/>
  <c r="D36" i="11"/>
  <c r="E40" i="11"/>
  <c r="E43" i="11"/>
  <c r="E37" i="11"/>
  <c r="H41" i="11"/>
  <c r="I40" i="11"/>
  <c r="H38" i="11"/>
  <c r="H34" i="11"/>
  <c r="H42" i="11"/>
  <c r="I39" i="11"/>
  <c r="G39" i="11"/>
  <c r="G37" i="11"/>
  <c r="F37" i="11"/>
  <c r="E34" i="11"/>
  <c r="H44" i="11"/>
  <c r="E52" i="11"/>
  <c r="H43" i="11"/>
  <c r="E39" i="11"/>
  <c r="F41" i="11"/>
  <c r="G38" i="11"/>
  <c r="I37" i="11"/>
  <c r="H54" i="11"/>
  <c r="H56" i="11"/>
  <c r="G54" i="11"/>
  <c r="G56" i="11"/>
  <c r="I56" i="11"/>
  <c r="I54" i="11"/>
  <c r="H38" i="10"/>
  <c r="I40" i="10"/>
  <c r="H34" i="10"/>
  <c r="H41" i="10"/>
  <c r="I39" i="10"/>
  <c r="H42" i="10"/>
  <c r="L48" i="15"/>
  <c r="A36" i="15"/>
  <c r="D35" i="15"/>
  <c r="I56" i="10"/>
  <c r="I54" i="10"/>
  <c r="A54" i="10"/>
  <c r="A56" i="10"/>
  <c r="G56" i="10"/>
  <c r="G54" i="10"/>
  <c r="E40" i="15"/>
  <c r="E35" i="15"/>
  <c r="D36" i="15"/>
  <c r="E37" i="15"/>
  <c r="E46" i="15"/>
  <c r="A37" i="15"/>
  <c r="E43" i="15"/>
  <c r="D40" i="15"/>
  <c r="B54" i="15"/>
  <c r="B56" i="15"/>
  <c r="G56" i="15"/>
  <c r="G54" i="15"/>
  <c r="C54" i="15"/>
  <c r="C56" i="15"/>
  <c r="E47" i="9"/>
  <c r="F42" i="9"/>
  <c r="D42" i="9"/>
  <c r="E41" i="9"/>
  <c r="E38" i="9"/>
  <c r="E42" i="9"/>
  <c r="D37" i="9"/>
  <c r="E44" i="9"/>
  <c r="F40" i="9"/>
  <c r="D41" i="9"/>
  <c r="E45" i="9"/>
  <c r="A38" i="9"/>
  <c r="F36" i="9"/>
  <c r="E36" i="9"/>
  <c r="E51" i="9"/>
  <c r="E46" i="10"/>
  <c r="D40" i="10"/>
  <c r="E37" i="10"/>
  <c r="E40" i="10"/>
  <c r="E43" i="10"/>
  <c r="A37" i="10"/>
  <c r="D36" i="10"/>
  <c r="E35" i="10"/>
  <c r="A64" i="17"/>
  <c r="A57" i="17"/>
  <c r="J54" i="9"/>
  <c r="J56" i="9"/>
  <c r="L54" i="9"/>
  <c r="L64" i="9"/>
  <c r="E34" i="9"/>
  <c r="F37" i="9"/>
  <c r="I37" i="9"/>
  <c r="H44" i="9"/>
  <c r="G39" i="9"/>
  <c r="E39" i="9"/>
  <c r="H43" i="9"/>
  <c r="E52" i="9"/>
  <c r="G38" i="9"/>
  <c r="F41" i="9"/>
  <c r="G37" i="9"/>
  <c r="I36" i="15"/>
  <c r="I34" i="15"/>
  <c r="J56" i="10"/>
  <c r="J54" i="10"/>
  <c r="F54" i="10"/>
  <c r="F56" i="10"/>
  <c r="K56" i="10"/>
  <c r="K54" i="10"/>
  <c r="F35" i="17"/>
  <c r="G34" i="17"/>
  <c r="G35" i="17"/>
  <c r="I38" i="17"/>
  <c r="E53" i="17"/>
  <c r="C34" i="17"/>
  <c r="D43" i="17"/>
  <c r="G36" i="17"/>
  <c r="F39" i="17"/>
  <c r="D56" i="15"/>
  <c r="D54" i="15"/>
  <c r="I54" i="15"/>
  <c r="I56" i="15"/>
  <c r="E54" i="15"/>
  <c r="E56" i="15"/>
  <c r="K56" i="15"/>
  <c r="K54" i="15"/>
  <c r="L48" i="10"/>
  <c r="A36" i="10"/>
  <c r="D35" i="10"/>
  <c r="E47" i="10"/>
  <c r="E42" i="10"/>
  <c r="E44" i="10"/>
  <c r="E38" i="10"/>
  <c r="D41" i="10"/>
  <c r="E45" i="10"/>
  <c r="D37" i="10"/>
  <c r="E51" i="10"/>
  <c r="E41" i="10"/>
  <c r="A38" i="10"/>
  <c r="F40" i="10"/>
  <c r="D42" i="10"/>
  <c r="F42" i="10"/>
  <c r="E36" i="10"/>
  <c r="F36" i="10"/>
  <c r="H41" i="9"/>
  <c r="H34" i="9"/>
  <c r="H38" i="9"/>
  <c r="H42" i="9"/>
  <c r="I39" i="9"/>
  <c r="I40" i="9"/>
  <c r="C56" i="9"/>
  <c r="C54" i="9"/>
  <c r="I54" i="9"/>
  <c r="I56" i="9"/>
  <c r="A56" i="9"/>
  <c r="A54" i="9"/>
  <c r="E56" i="9"/>
  <c r="E54" i="9"/>
  <c r="L54" i="10"/>
  <c r="L64" i="10"/>
  <c r="C54" i="10"/>
  <c r="C56" i="10"/>
  <c r="E54" i="10"/>
  <c r="E56" i="10"/>
  <c r="E47" i="15"/>
  <c r="A38" i="15"/>
  <c r="E42" i="15"/>
  <c r="E51" i="15"/>
  <c r="F42" i="15"/>
  <c r="D41" i="15"/>
  <c r="E36" i="15"/>
  <c r="E41" i="15"/>
  <c r="F40" i="15"/>
  <c r="E38" i="15"/>
  <c r="D37" i="15"/>
  <c r="D42" i="15"/>
  <c r="E44" i="15"/>
  <c r="E45" i="15"/>
  <c r="F36" i="15"/>
  <c r="I34" i="10"/>
  <c r="I36" i="10"/>
  <c r="L54" i="15"/>
  <c r="L64" i="15"/>
  <c r="G39" i="15"/>
  <c r="E34" i="15"/>
  <c r="G37" i="15"/>
  <c r="E39" i="15"/>
  <c r="H44" i="15"/>
  <c r="G38" i="15"/>
  <c r="I37" i="15"/>
  <c r="E52" i="15"/>
  <c r="F41" i="15"/>
  <c r="H43" i="15"/>
  <c r="F37" i="15"/>
  <c r="F54" i="15"/>
  <c r="F56" i="15"/>
  <c r="A36" i="9"/>
  <c r="L48" i="9"/>
  <c r="D35" i="9"/>
  <c r="E35" i="9"/>
  <c r="A37" i="9"/>
  <c r="D40" i="9"/>
  <c r="D36" i="9"/>
  <c r="E43" i="9"/>
  <c r="E40" i="9"/>
  <c r="E37" i="9"/>
  <c r="E46" i="9"/>
  <c r="G56" i="9"/>
  <c r="G54" i="9"/>
  <c r="F56" i="9"/>
  <c r="F54" i="9"/>
  <c r="D56" i="9"/>
  <c r="D54" i="9"/>
  <c r="I36" i="9"/>
  <c r="I34" i="9"/>
  <c r="G38" i="10"/>
  <c r="F41" i="10"/>
  <c r="E52" i="10"/>
  <c r="E39" i="10"/>
  <c r="I37" i="10"/>
  <c r="F37" i="10"/>
  <c r="E34" i="10"/>
  <c r="G37" i="10"/>
  <c r="H43" i="10"/>
  <c r="H44" i="10"/>
  <c r="G39" i="10"/>
  <c r="H56" i="10"/>
  <c r="H54" i="10"/>
  <c r="B54" i="10"/>
  <c r="B56" i="10"/>
  <c r="D54" i="10"/>
  <c r="D56" i="10"/>
  <c r="H54" i="15"/>
  <c r="H56" i="15"/>
  <c r="J54" i="15"/>
  <c r="J56" i="15"/>
  <c r="A54" i="15"/>
  <c r="A56" i="15"/>
  <c r="H41" i="15"/>
  <c r="H38" i="15"/>
  <c r="I40" i="15"/>
  <c r="I39" i="15"/>
  <c r="H42" i="15"/>
  <c r="H34" i="15"/>
  <c r="F55" i="17"/>
  <c r="G55" i="17"/>
  <c r="K55" i="17"/>
  <c r="J55" i="17"/>
  <c r="H55" i="17"/>
  <c r="I55" i="17"/>
  <c r="L55" i="17"/>
  <c r="E55" i="17"/>
  <c r="B56" i="9"/>
  <c r="B54" i="9"/>
  <c r="H54" i="9"/>
  <c r="H56" i="9"/>
  <c r="K56" i="9"/>
  <c r="K54" i="9"/>
  <c r="L64" i="6" l="1"/>
  <c r="F35" i="4"/>
  <c r="G36" i="4"/>
  <c r="E53" i="4"/>
  <c r="I38" i="4"/>
  <c r="C34" i="4"/>
  <c r="D43" i="4"/>
  <c r="G35" i="4"/>
  <c r="G34" i="4"/>
  <c r="F39" i="4"/>
  <c r="A64" i="4"/>
  <c r="A57" i="4"/>
  <c r="A64" i="12"/>
  <c r="A57" i="12"/>
  <c r="D43" i="12"/>
  <c r="F39" i="12"/>
  <c r="G34" i="12"/>
  <c r="C34" i="12"/>
  <c r="E53" i="12"/>
  <c r="F35" i="12"/>
  <c r="G36" i="12"/>
  <c r="I38" i="12"/>
  <c r="G35" i="12"/>
  <c r="H55" i="4"/>
  <c r="I55" i="4"/>
  <c r="F55" i="4"/>
  <c r="E55" i="4"/>
  <c r="K55" i="4"/>
  <c r="L55" i="4"/>
  <c r="J55" i="4"/>
  <c r="G55" i="4"/>
  <c r="H55" i="12"/>
  <c r="J55" i="12"/>
  <c r="I55" i="12"/>
  <c r="E55" i="12"/>
  <c r="L55" i="12"/>
  <c r="F55" i="12"/>
  <c r="G55" i="12"/>
  <c r="K55" i="12"/>
  <c r="I34" i="6"/>
  <c r="H38" i="5"/>
  <c r="D39" i="5" s="1"/>
  <c r="D38" i="5" s="1"/>
  <c r="D34" i="5" s="1"/>
  <c r="B35" i="5" s="1"/>
  <c r="B33" i="5" s="1"/>
  <c r="B56" i="5" s="1"/>
  <c r="L10" i="73"/>
  <c r="L11" i="73" s="1"/>
  <c r="M9" i="73"/>
  <c r="H54" i="6"/>
  <c r="K54" i="6"/>
  <c r="E34" i="6"/>
  <c r="G39" i="6"/>
  <c r="G36" i="6" s="1"/>
  <c r="G33" i="6" s="1"/>
  <c r="I34" i="5"/>
  <c r="H44" i="6"/>
  <c r="I56" i="6"/>
  <c r="H34" i="6"/>
  <c r="E48" i="6" s="1"/>
  <c r="U12" i="66"/>
  <c r="U13" i="66" s="1"/>
  <c r="D39" i="6"/>
  <c r="D38" i="6" s="1"/>
  <c r="D34" i="6" s="1"/>
  <c r="B35" i="6" s="1"/>
  <c r="B33" i="6" s="1"/>
  <c r="B54" i="6" s="1"/>
  <c r="F40" i="6"/>
  <c r="E41" i="6"/>
  <c r="E40" i="6" s="1"/>
  <c r="I40" i="6"/>
  <c r="I39" i="6" s="1"/>
  <c r="H42" i="6"/>
  <c r="J54" i="6"/>
  <c r="H41" i="6"/>
  <c r="C56" i="20"/>
  <c r="A57" i="20" s="1"/>
  <c r="C54" i="20"/>
  <c r="J55" i="20" s="1"/>
  <c r="A64" i="20"/>
  <c r="AB11" i="18"/>
  <c r="AB12" i="18" s="1"/>
  <c r="AB13" i="18" s="1"/>
  <c r="V11" i="66"/>
  <c r="V12" i="66" s="1"/>
  <c r="W12" i="66" s="1"/>
  <c r="W13" i="66" s="1"/>
  <c r="A21" i="53"/>
  <c r="B23" i="53"/>
  <c r="Z13" i="18"/>
  <c r="W13" i="18"/>
  <c r="C24" i="53"/>
  <c r="E24" i="53" s="1"/>
  <c r="C25" i="53"/>
  <c r="V13" i="18"/>
  <c r="X13" i="18"/>
  <c r="Q13" i="66"/>
  <c r="T13" i="66"/>
  <c r="H42" i="5"/>
  <c r="F43" i="5" s="1"/>
  <c r="F41" i="5" s="1"/>
  <c r="H41" i="5"/>
  <c r="F38" i="5" s="1"/>
  <c r="F37" i="5" s="1"/>
  <c r="I36" i="5"/>
  <c r="H34" i="5"/>
  <c r="E48" i="5" s="1"/>
  <c r="I40" i="5"/>
  <c r="I39" i="5" s="1"/>
  <c r="I54" i="5"/>
  <c r="E53" i="5"/>
  <c r="E52" i="5" s="1"/>
  <c r="G36" i="5"/>
  <c r="G56" i="5"/>
  <c r="G9" i="19"/>
  <c r="A56" i="5"/>
  <c r="A54" i="5"/>
  <c r="F19" i="18"/>
  <c r="H19" i="18" s="1"/>
  <c r="F54" i="5"/>
  <c r="F56" i="5"/>
  <c r="E56" i="5"/>
  <c r="E54" i="5"/>
  <c r="K56" i="5"/>
  <c r="K54" i="5"/>
  <c r="J56" i="5"/>
  <c r="J54" i="5"/>
  <c r="C25" i="18"/>
  <c r="H54" i="5"/>
  <c r="H56" i="5"/>
  <c r="L54" i="5"/>
  <c r="L64" i="5"/>
  <c r="A54" i="6"/>
  <c r="A56" i="6"/>
  <c r="M19" i="22"/>
  <c r="A21" i="52"/>
  <c r="B23" i="52"/>
  <c r="H8" i="22"/>
  <c r="H7" i="22" s="1"/>
  <c r="H10" i="22"/>
  <c r="H9" i="22" s="1"/>
  <c r="I8" i="22"/>
  <c r="I6" i="22" s="1"/>
  <c r="I9" i="22"/>
  <c r="I7" i="22" s="1"/>
  <c r="N2" i="22"/>
  <c r="M2" i="22" s="1"/>
  <c r="L31" i="22" s="1"/>
  <c r="B12" i="22"/>
  <c r="B6" i="22" s="1"/>
  <c r="B4" i="22" s="1"/>
  <c r="B11" i="22"/>
  <c r="B5" i="22" s="1"/>
  <c r="B3" i="22"/>
  <c r="B30" i="22" s="1"/>
  <c r="B31" i="22" s="1"/>
  <c r="B32" i="22" s="1"/>
  <c r="F8" i="22"/>
  <c r="F7" i="22"/>
  <c r="F5" i="22" s="1"/>
  <c r="F4" i="22" s="1"/>
  <c r="F3" i="22" s="1"/>
  <c r="F30" i="22" s="1"/>
  <c r="G31" i="22" s="1"/>
  <c r="E10" i="22"/>
  <c r="F9" i="22"/>
  <c r="N3" i="22"/>
  <c r="M3" i="22" s="1"/>
  <c r="H31" i="22" s="1"/>
  <c r="F6" i="22"/>
  <c r="E7" i="22"/>
  <c r="E9" i="22"/>
  <c r="E8" i="22"/>
  <c r="A64" i="11"/>
  <c r="B8" i="22"/>
  <c r="C8" i="22"/>
  <c r="B7" i="22"/>
  <c r="B9" i="22"/>
  <c r="C9" i="22"/>
  <c r="C3" i="22"/>
  <c r="C30" i="22" s="1"/>
  <c r="C31" i="22" s="1"/>
  <c r="C6" i="22"/>
  <c r="C7" i="22"/>
  <c r="C5" i="22" s="1"/>
  <c r="C4" i="22" s="1"/>
  <c r="N4" i="22"/>
  <c r="M4" i="22" s="1"/>
  <c r="D31" i="22" s="1"/>
  <c r="B10" i="22"/>
  <c r="D8" i="22"/>
  <c r="D6" i="22"/>
  <c r="D7" i="22"/>
  <c r="D4" i="22" s="1"/>
  <c r="D3" i="22"/>
  <c r="D30" i="22" s="1"/>
  <c r="E31" i="22" s="1"/>
  <c r="D5" i="22"/>
  <c r="A5" i="22"/>
  <c r="A6" i="22"/>
  <c r="A3" i="22"/>
  <c r="A30" i="22" s="1"/>
  <c r="A31" i="22" s="1"/>
  <c r="A32" i="22" s="1"/>
  <c r="E12" i="22"/>
  <c r="E6" i="22" s="1"/>
  <c r="E4" i="22" s="1"/>
  <c r="E3" i="22"/>
  <c r="E30" i="22" s="1"/>
  <c r="F31" i="22" s="1"/>
  <c r="P4" i="22"/>
  <c r="E11" i="22"/>
  <c r="E5" i="22" s="1"/>
  <c r="G8" i="22"/>
  <c r="G7" i="22" s="1"/>
  <c r="G6" i="22"/>
  <c r="G5" i="22" s="1"/>
  <c r="S13" i="66"/>
  <c r="D37" i="18"/>
  <c r="A27" i="18"/>
  <c r="B26" i="18"/>
  <c r="C25" i="52"/>
  <c r="C24" i="52"/>
  <c r="E24" i="52" s="1"/>
  <c r="H12" i="22"/>
  <c r="P3" i="22"/>
  <c r="H11" i="22"/>
  <c r="H5" i="22" s="1"/>
  <c r="I38" i="6"/>
  <c r="E53" i="6"/>
  <c r="E52" i="6" s="1"/>
  <c r="H10" i="19"/>
  <c r="F10" i="19"/>
  <c r="K55" i="25"/>
  <c r="F55" i="25"/>
  <c r="G55" i="25"/>
  <c r="J55" i="25"/>
  <c r="I55" i="25"/>
  <c r="L55" i="25"/>
  <c r="H55" i="25"/>
  <c r="E55" i="25"/>
  <c r="G36" i="11"/>
  <c r="G35" i="11"/>
  <c r="D43" i="11"/>
  <c r="I38" i="11"/>
  <c r="F35" i="11"/>
  <c r="E53" i="11"/>
  <c r="F39" i="11"/>
  <c r="G34" i="11"/>
  <c r="C34" i="11"/>
  <c r="A57" i="25"/>
  <c r="A64" i="25"/>
  <c r="A57" i="11"/>
  <c r="E55" i="11"/>
  <c r="J55" i="11"/>
  <c r="K55" i="11"/>
  <c r="L55" i="11"/>
  <c r="I55" i="11"/>
  <c r="G55" i="11"/>
  <c r="H55" i="11"/>
  <c r="F55" i="11"/>
  <c r="G34" i="25"/>
  <c r="G35" i="25"/>
  <c r="C34" i="25"/>
  <c r="E53" i="25"/>
  <c r="D43" i="25"/>
  <c r="F39" i="25"/>
  <c r="G36" i="25"/>
  <c r="I38" i="25"/>
  <c r="F35" i="25"/>
  <c r="H55" i="9"/>
  <c r="K55" i="9"/>
  <c r="I55" i="9"/>
  <c r="G55" i="9"/>
  <c r="L55" i="9"/>
  <c r="J55" i="9"/>
  <c r="F55" i="9"/>
  <c r="E55" i="9"/>
  <c r="L55" i="10"/>
  <c r="K55" i="10"/>
  <c r="E55" i="10"/>
  <c r="G55" i="10"/>
  <c r="F55" i="10"/>
  <c r="J55" i="10"/>
  <c r="I55" i="10"/>
  <c r="H55" i="10"/>
  <c r="A64" i="9"/>
  <c r="A57" i="9"/>
  <c r="G35" i="10"/>
  <c r="C34" i="10"/>
  <c r="F35" i="10"/>
  <c r="E53" i="10"/>
  <c r="D43" i="10"/>
  <c r="G36" i="10"/>
  <c r="G34" i="10"/>
  <c r="F39" i="10"/>
  <c r="I38" i="10"/>
  <c r="F35" i="15"/>
  <c r="G36" i="15"/>
  <c r="G34" i="15"/>
  <c r="F39" i="15"/>
  <c r="G35" i="15"/>
  <c r="D43" i="15"/>
  <c r="I38" i="15"/>
  <c r="E53" i="15"/>
  <c r="C34" i="15"/>
  <c r="A57" i="15"/>
  <c r="A64" i="15"/>
  <c r="G34" i="9"/>
  <c r="G36" i="9"/>
  <c r="F39" i="9"/>
  <c r="G35" i="9"/>
  <c r="F35" i="9"/>
  <c r="C34" i="9"/>
  <c r="E53" i="9"/>
  <c r="D43" i="9"/>
  <c r="I38" i="9"/>
  <c r="F55" i="15"/>
  <c r="J55" i="15"/>
  <c r="H55" i="15"/>
  <c r="L55" i="15"/>
  <c r="I55" i="15"/>
  <c r="K55" i="15"/>
  <c r="G55" i="15"/>
  <c r="E55" i="15"/>
  <c r="A57" i="10"/>
  <c r="A64" i="10"/>
  <c r="I5" i="22" l="1"/>
  <c r="I4" i="22" s="1"/>
  <c r="I3" i="22" s="1"/>
  <c r="I30" i="22" s="1"/>
  <c r="K31" i="22" s="1"/>
  <c r="K32" i="22" s="1"/>
  <c r="A41" i="22" s="1"/>
  <c r="F35" i="5"/>
  <c r="F40" i="5"/>
  <c r="B54" i="5"/>
  <c r="E41" i="5"/>
  <c r="E40" i="5" s="1"/>
  <c r="G56" i="6"/>
  <c r="G54" i="6"/>
  <c r="F38" i="6"/>
  <c r="F37" i="6" s="1"/>
  <c r="E50" i="6"/>
  <c r="E49" i="6" s="1"/>
  <c r="E33" i="6" s="1"/>
  <c r="F43" i="6"/>
  <c r="F41" i="6" s="1"/>
  <c r="F44" i="6"/>
  <c r="F33" i="6" s="1"/>
  <c r="O9" i="73"/>
  <c r="M10" i="73"/>
  <c r="M11" i="73" s="1"/>
  <c r="N10" i="73"/>
  <c r="N11" i="73" s="1"/>
  <c r="G4" i="22"/>
  <c r="G3" i="22" s="1"/>
  <c r="G30" i="22" s="1"/>
  <c r="I31" i="22" s="1"/>
  <c r="I32" i="22" s="1"/>
  <c r="G35" i="6"/>
  <c r="B56" i="6"/>
  <c r="A64" i="6" s="1"/>
  <c r="E44" i="6"/>
  <c r="E43" i="6" s="1"/>
  <c r="E39" i="6" s="1"/>
  <c r="D37" i="6"/>
  <c r="D36" i="6" s="1"/>
  <c r="D35" i="6" s="1"/>
  <c r="E36" i="6"/>
  <c r="E35" i="6" s="1"/>
  <c r="F39" i="6"/>
  <c r="E47" i="6"/>
  <c r="E46" i="6" s="1"/>
  <c r="F36" i="6"/>
  <c r="F35" i="6" s="1"/>
  <c r="AC11" i="18"/>
  <c r="AC12" i="18" s="1"/>
  <c r="AC13" i="18" s="1"/>
  <c r="D43" i="6"/>
  <c r="D33" i="6" s="1"/>
  <c r="D54" i="6" s="1"/>
  <c r="H43" i="6"/>
  <c r="G38" i="6"/>
  <c r="E55" i="20"/>
  <c r="K55" i="20"/>
  <c r="C34" i="6"/>
  <c r="C33" i="6" s="1"/>
  <c r="C54" i="6" s="1"/>
  <c r="G37" i="6"/>
  <c r="F42" i="6"/>
  <c r="G55" i="20"/>
  <c r="G34" i="6"/>
  <c r="H55" i="20"/>
  <c r="I55" i="20"/>
  <c r="E51" i="6"/>
  <c r="F55" i="20"/>
  <c r="L55" i="20"/>
  <c r="D43" i="5"/>
  <c r="D33" i="5" s="1"/>
  <c r="D54" i="5" s="1"/>
  <c r="V13" i="66"/>
  <c r="X11" i="66"/>
  <c r="X12" i="66" s="1"/>
  <c r="X13" i="66" s="1"/>
  <c r="C23" i="53"/>
  <c r="E26" i="53"/>
  <c r="D25" i="53"/>
  <c r="A10" i="53" s="1"/>
  <c r="F25" i="53"/>
  <c r="A20" i="53"/>
  <c r="B21" i="53"/>
  <c r="G37" i="5"/>
  <c r="E51" i="5"/>
  <c r="C34" i="5"/>
  <c r="C33" i="5" s="1"/>
  <c r="C56" i="5" s="1"/>
  <c r="F42" i="5"/>
  <c r="G34" i="5"/>
  <c r="F39" i="5"/>
  <c r="E47" i="5"/>
  <c r="E46" i="5" s="1"/>
  <c r="G38" i="5"/>
  <c r="G35" i="5"/>
  <c r="H43" i="5"/>
  <c r="F36" i="5"/>
  <c r="E36" i="5"/>
  <c r="E35" i="5" s="1"/>
  <c r="E44" i="5"/>
  <c r="E43" i="5" s="1"/>
  <c r="E39" i="5" s="1"/>
  <c r="D37" i="5"/>
  <c r="D36" i="5" s="1"/>
  <c r="D35" i="5" s="1"/>
  <c r="H6" i="22"/>
  <c r="H4" i="22" s="1"/>
  <c r="H3" i="22" s="1"/>
  <c r="H30" i="22" s="1"/>
  <c r="J31" i="22" s="1"/>
  <c r="E19" i="18"/>
  <c r="C26" i="18"/>
  <c r="E10" i="19"/>
  <c r="G10" i="19" s="1"/>
  <c r="A64" i="5"/>
  <c r="F32" i="22"/>
  <c r="G20" i="18"/>
  <c r="D38" i="18"/>
  <c r="D25" i="52"/>
  <c r="F25" i="52"/>
  <c r="F34" i="22"/>
  <c r="G32" i="22"/>
  <c r="A10" i="52"/>
  <c r="C23" i="52"/>
  <c r="E26" i="52"/>
  <c r="A28" i="18"/>
  <c r="B27" i="18"/>
  <c r="L44" i="22"/>
  <c r="L45" i="22"/>
  <c r="E32" i="22"/>
  <c r="C32" i="22"/>
  <c r="B34" i="22" s="1"/>
  <c r="B21" i="52"/>
  <c r="A20" i="52"/>
  <c r="J35" i="22" l="1"/>
  <c r="J34" i="22"/>
  <c r="AE11" i="18"/>
  <c r="AE12" i="18" s="1"/>
  <c r="E54" i="6"/>
  <c r="E56" i="6"/>
  <c r="D56" i="6"/>
  <c r="F56" i="6"/>
  <c r="F54" i="6"/>
  <c r="J55" i="6" s="1"/>
  <c r="Q9" i="73"/>
  <c r="O10" i="73"/>
  <c r="AD12" i="18"/>
  <c r="AD13" i="18" s="1"/>
  <c r="C56" i="6"/>
  <c r="C54" i="5"/>
  <c r="J55" i="5" s="1"/>
  <c r="D56" i="5"/>
  <c r="A57" i="5" s="1"/>
  <c r="Y11" i="66"/>
  <c r="Z11" i="66" s="1"/>
  <c r="AA11" i="66" s="1"/>
  <c r="AA12" i="66" s="1"/>
  <c r="B20" i="53"/>
  <c r="A19" i="53"/>
  <c r="E55" i="6"/>
  <c r="J32" i="22"/>
  <c r="A40" i="22" s="1"/>
  <c r="A39" i="22" s="1"/>
  <c r="A38" i="22" s="1"/>
  <c r="A37" i="22" s="1"/>
  <c r="A36" i="22" s="1"/>
  <c r="A35" i="22" s="1"/>
  <c r="A34" i="22" s="1"/>
  <c r="A33" i="22" s="1"/>
  <c r="H37" i="22"/>
  <c r="D11" i="19"/>
  <c r="H11" i="19" s="1"/>
  <c r="F20" i="18"/>
  <c r="E20" i="18" s="1"/>
  <c r="L43" i="22"/>
  <c r="L41" i="22"/>
  <c r="L48" i="22"/>
  <c r="L38" i="22"/>
  <c r="H33" i="22" s="1"/>
  <c r="L40" i="22"/>
  <c r="B20" i="52"/>
  <c r="A19" i="52"/>
  <c r="L39" i="22"/>
  <c r="L42" i="22"/>
  <c r="L49" i="22"/>
  <c r="D39" i="18"/>
  <c r="L37" i="22"/>
  <c r="I33" i="22" s="1"/>
  <c r="C27" i="18"/>
  <c r="E42" i="22"/>
  <c r="D42" i="22"/>
  <c r="D41" i="22"/>
  <c r="D40" i="22" s="1"/>
  <c r="E38" i="22"/>
  <c r="E37" i="22" s="1"/>
  <c r="E45" i="22"/>
  <c r="B28" i="18"/>
  <c r="A29" i="18"/>
  <c r="G55" i="6" l="1"/>
  <c r="F55" i="6"/>
  <c r="K55" i="6"/>
  <c r="AG11" i="18"/>
  <c r="AG12" i="18" s="1"/>
  <c r="A57" i="6"/>
  <c r="I55" i="6"/>
  <c r="H55" i="6"/>
  <c r="L55" i="6"/>
  <c r="Q10" i="73"/>
  <c r="R9" i="73"/>
  <c r="R10" i="73" s="1"/>
  <c r="O11" i="73"/>
  <c r="P10" i="73"/>
  <c r="L55" i="5"/>
  <c r="F55" i="5"/>
  <c r="E55" i="5"/>
  <c r="G55" i="5"/>
  <c r="K55" i="5"/>
  <c r="H55" i="5"/>
  <c r="I55" i="5"/>
  <c r="Y12" i="66"/>
  <c r="Y13" i="66" s="1"/>
  <c r="I14" i="66" s="1"/>
  <c r="Z12" i="66"/>
  <c r="I15" i="66"/>
  <c r="AF12" i="18"/>
  <c r="AF13" i="18" s="1"/>
  <c r="AE13" i="18"/>
  <c r="A17" i="53"/>
  <c r="B19" i="53"/>
  <c r="C20" i="53"/>
  <c r="E20" i="53" s="1"/>
  <c r="C21" i="53"/>
  <c r="L34" i="22"/>
  <c r="L33" i="22" s="1"/>
  <c r="L64" i="22" s="1"/>
  <c r="L36" i="22"/>
  <c r="J33" i="22" s="1"/>
  <c r="J56" i="22" s="1"/>
  <c r="L35" i="22"/>
  <c r="K33" i="22" s="1"/>
  <c r="K56" i="22" s="1"/>
  <c r="H40" i="22"/>
  <c r="H39" i="22" s="1"/>
  <c r="L47" i="22"/>
  <c r="I35" i="22"/>
  <c r="L46" i="22"/>
  <c r="H36" i="22"/>
  <c r="H35" i="22" s="1"/>
  <c r="H20" i="18"/>
  <c r="F11" i="19"/>
  <c r="E11" i="19" s="1"/>
  <c r="G11" i="19" s="1"/>
  <c r="A54" i="22"/>
  <c r="A56" i="22"/>
  <c r="C28" i="18"/>
  <c r="I54" i="22"/>
  <c r="I56" i="22"/>
  <c r="G39" i="22"/>
  <c r="G36" i="22" s="1"/>
  <c r="G33" i="22" s="1"/>
  <c r="H44" i="22"/>
  <c r="I37" i="22"/>
  <c r="E34" i="22"/>
  <c r="A17" i="52"/>
  <c r="B19" i="52"/>
  <c r="C21" i="52"/>
  <c r="C20" i="52"/>
  <c r="E20" i="52" s="1"/>
  <c r="H56" i="22"/>
  <c r="H54" i="22"/>
  <c r="A30" i="18"/>
  <c r="B29" i="18"/>
  <c r="D40" i="18"/>
  <c r="X9" i="73" l="1"/>
  <c r="X10" i="73" s="1"/>
  <c r="X11" i="73" s="1"/>
  <c r="AH11" i="18"/>
  <c r="AI11" i="18" s="1"/>
  <c r="AI12" i="18" s="1"/>
  <c r="AA13" i="66"/>
  <c r="Z13" i="66"/>
  <c r="Q11" i="73"/>
  <c r="P11" i="73"/>
  <c r="R11" i="73"/>
  <c r="L54" i="22"/>
  <c r="J54" i="22"/>
  <c r="AG13" i="18"/>
  <c r="I16" i="66"/>
  <c r="B17" i="66" s="1"/>
  <c r="F21" i="53"/>
  <c r="D21" i="53"/>
  <c r="A16" i="53"/>
  <c r="B17" i="53"/>
  <c r="E22" i="53"/>
  <c r="F22" i="53" s="1"/>
  <c r="A9" i="53" s="1"/>
  <c r="C19" i="53"/>
  <c r="K54" i="22"/>
  <c r="I36" i="22"/>
  <c r="I34" i="22"/>
  <c r="H42" i="22"/>
  <c r="F44" i="22" s="1"/>
  <c r="F33" i="22" s="1"/>
  <c r="F56" i="22" s="1"/>
  <c r="H34" i="22"/>
  <c r="H41" i="22"/>
  <c r="I40" i="22"/>
  <c r="I39" i="22" s="1"/>
  <c r="I38" i="22" s="1"/>
  <c r="H38" i="22"/>
  <c r="G21" i="18"/>
  <c r="G56" i="22"/>
  <c r="G54" i="22"/>
  <c r="C29" i="18"/>
  <c r="C30" i="18" s="1"/>
  <c r="D12" i="19"/>
  <c r="H12" i="19" s="1"/>
  <c r="F21" i="18"/>
  <c r="H21" i="18" s="1"/>
  <c r="D41" i="18"/>
  <c r="A31" i="18"/>
  <c r="B30" i="18"/>
  <c r="C19" i="52"/>
  <c r="E22" i="52"/>
  <c r="F22" i="52" s="1"/>
  <c r="A9" i="52" s="1"/>
  <c r="F21" i="52"/>
  <c r="D21" i="52"/>
  <c r="B17" i="52"/>
  <c r="A16" i="52"/>
  <c r="AZ9" i="73" l="1"/>
  <c r="AZ10" i="73" s="1"/>
  <c r="AZ11" i="73" s="1"/>
  <c r="AH12" i="18"/>
  <c r="AI13" i="18" s="1"/>
  <c r="B12" i="73"/>
  <c r="B14" i="73" s="1"/>
  <c r="BA4" i="73" s="1"/>
  <c r="E50" i="22"/>
  <c r="E49" i="22" s="1"/>
  <c r="E33" i="22" s="1"/>
  <c r="E53" i="22"/>
  <c r="E52" i="22" s="1"/>
  <c r="F54" i="22"/>
  <c r="M22" i="53"/>
  <c r="AJ11" i="18"/>
  <c r="AJ12" i="18" s="1"/>
  <c r="B16" i="53"/>
  <c r="A15" i="53"/>
  <c r="D39" i="22"/>
  <c r="D38" i="22" s="1"/>
  <c r="D34" i="22" s="1"/>
  <c r="B35" i="22" s="1"/>
  <c r="B33" i="22" s="1"/>
  <c r="F40" i="22"/>
  <c r="F39" i="22" s="1"/>
  <c r="E41" i="22"/>
  <c r="E40" i="22" s="1"/>
  <c r="H43" i="22"/>
  <c r="F43" i="22"/>
  <c r="F41" i="22" s="1"/>
  <c r="G35" i="22"/>
  <c r="G38" i="22"/>
  <c r="D43" i="22"/>
  <c r="D33" i="22" s="1"/>
  <c r="E48" i="22"/>
  <c r="D37" i="22"/>
  <c r="D36" i="22" s="1"/>
  <c r="D35" i="22" s="1"/>
  <c r="F36" i="22"/>
  <c r="F35" i="22" s="1"/>
  <c r="E36" i="22"/>
  <c r="E35" i="22" s="1"/>
  <c r="E44" i="22"/>
  <c r="E43" i="22" s="1"/>
  <c r="E39" i="22" s="1"/>
  <c r="F12" i="19"/>
  <c r="E12" i="19" s="1"/>
  <c r="F22" i="18" s="1"/>
  <c r="E47" i="22"/>
  <c r="E46" i="22" s="1"/>
  <c r="C34" i="22"/>
  <c r="C33" i="22" s="1"/>
  <c r="F42" i="22"/>
  <c r="F38" i="22"/>
  <c r="F37" i="22" s="1"/>
  <c r="G37" i="22"/>
  <c r="G34" i="22" s="1"/>
  <c r="E51" i="22"/>
  <c r="E21" i="18"/>
  <c r="B16" i="52"/>
  <c r="A15" i="52"/>
  <c r="A32" i="18"/>
  <c r="B31" i="18"/>
  <c r="C31" i="18" s="1"/>
  <c r="D42" i="18"/>
  <c r="AH13" i="18" l="1"/>
  <c r="R14" i="18" s="1"/>
  <c r="R16" i="18" s="1"/>
  <c r="AK6" i="18" s="1"/>
  <c r="B15" i="61" s="1"/>
  <c r="AJ13" i="18"/>
  <c r="H22" i="60"/>
  <c r="E18" i="72"/>
  <c r="E56" i="22"/>
  <c r="E54" i="22"/>
  <c r="G22" i="18"/>
  <c r="E22" i="18" s="1"/>
  <c r="C17" i="53"/>
  <c r="C16" i="53"/>
  <c r="E16" i="53" s="1"/>
  <c r="A14" i="53"/>
  <c r="B15" i="53"/>
  <c r="D56" i="22"/>
  <c r="D54" i="22"/>
  <c r="C54" i="22"/>
  <c r="C56" i="22"/>
  <c r="B54" i="22"/>
  <c r="B56" i="22"/>
  <c r="D13" i="19"/>
  <c r="H13" i="19" s="1"/>
  <c r="G12" i="19"/>
  <c r="D43" i="18"/>
  <c r="B15" i="52"/>
  <c r="A14" i="52"/>
  <c r="A33" i="18"/>
  <c r="B32" i="18"/>
  <c r="C16" i="52"/>
  <c r="E16" i="52" s="1"/>
  <c r="C17" i="52"/>
  <c r="H22" i="18"/>
  <c r="C32" i="18" l="1"/>
  <c r="B15" i="68"/>
  <c r="H184" i="60"/>
  <c r="R28" i="42"/>
  <c r="F13" i="60"/>
  <c r="C42" i="18"/>
  <c r="E18" i="53"/>
  <c r="F18" i="53" s="1"/>
  <c r="A8" i="53" s="1"/>
  <c r="C15" i="53"/>
  <c r="F17" i="53"/>
  <c r="D17" i="53"/>
  <c r="A57" i="22"/>
  <c r="A64" i="22"/>
  <c r="I55" i="22"/>
  <c r="F55" i="22"/>
  <c r="K55" i="22"/>
  <c r="E55" i="22"/>
  <c r="G55" i="22"/>
  <c r="J55" i="22"/>
  <c r="H55" i="22"/>
  <c r="L55" i="22"/>
  <c r="F13" i="19"/>
  <c r="E13" i="19" s="1"/>
  <c r="F23" i="18" s="1"/>
  <c r="H23" i="18" s="1"/>
  <c r="C15" i="52"/>
  <c r="B33" i="18"/>
  <c r="C33" i="18" s="1"/>
  <c r="A34" i="18"/>
  <c r="C43" i="18"/>
  <c r="D44" i="18"/>
  <c r="D17" i="52"/>
  <c r="F17" i="52"/>
  <c r="E18" i="52"/>
  <c r="F18" i="52" s="1"/>
  <c r="A8" i="52" s="1"/>
  <c r="B5" i="53" l="1"/>
  <c r="B6" i="53"/>
  <c r="G23" i="18"/>
  <c r="E23" i="18" s="1"/>
  <c r="D14" i="19"/>
  <c r="H14" i="19" s="1"/>
  <c r="G13" i="19"/>
  <c r="B5" i="52"/>
  <c r="B6" i="52"/>
  <c r="B34" i="18"/>
  <c r="C34" i="18" s="1"/>
  <c r="A35" i="18"/>
  <c r="D45" i="18"/>
  <c r="C44" i="18"/>
  <c r="F8" i="53" l="1"/>
  <c r="F9" i="53" s="1"/>
  <c r="F10" i="53" s="1"/>
  <c r="F14" i="19"/>
  <c r="G24" i="18" s="1"/>
  <c r="B35" i="18"/>
  <c r="C35" i="18" s="1"/>
  <c r="A36" i="18"/>
  <c r="D46" i="18"/>
  <c r="C45" i="18"/>
  <c r="F8" i="52"/>
  <c r="F9" i="52" s="1"/>
  <c r="F10" i="52" s="1"/>
  <c r="C36" i="18" l="1"/>
  <c r="C37" i="18" s="1"/>
  <c r="C38" i="18" s="1"/>
  <c r="C39" i="18" s="1"/>
  <c r="C40" i="18" s="1"/>
  <c r="C41" i="18" s="1"/>
  <c r="M24" i="53" s="1"/>
  <c r="M23" i="53"/>
  <c r="B3" i="53"/>
  <c r="B4" i="53"/>
  <c r="E14" i="19"/>
  <c r="G14" i="19" s="1"/>
  <c r="B3" i="52"/>
  <c r="D47" i="18"/>
  <c r="C46" i="18"/>
  <c r="B4" i="52"/>
  <c r="B36" i="18"/>
  <c r="A37" i="18"/>
  <c r="E9" i="21" l="1"/>
  <c r="D110" i="72"/>
  <c r="F24" i="18"/>
  <c r="D15" i="19"/>
  <c r="A38" i="18"/>
  <c r="B37" i="18"/>
  <c r="D48" i="18"/>
  <c r="C47" i="18"/>
  <c r="C18" i="58"/>
  <c r="C25" i="58" s="1"/>
  <c r="E8" i="72" l="1"/>
  <c r="E83" i="72"/>
  <c r="H24" i="18"/>
  <c r="E24" i="18"/>
  <c r="F15" i="19"/>
  <c r="G25" i="18" s="1"/>
  <c r="H15" i="19"/>
  <c r="A39" i="18"/>
  <c r="B38" i="18"/>
  <c r="D49" i="18"/>
  <c r="C48" i="18"/>
  <c r="E15" i="19" l="1"/>
  <c r="G15" i="19" s="1"/>
  <c r="D50" i="18"/>
  <c r="C49" i="18"/>
  <c r="A40" i="18"/>
  <c r="B39" i="18"/>
  <c r="F25" i="18" l="1"/>
  <c r="E25" i="18" s="1"/>
  <c r="D16" i="19"/>
  <c r="H16" i="19" s="1"/>
  <c r="B40" i="18"/>
  <c r="A41" i="18"/>
  <c r="C50" i="18"/>
  <c r="D51" i="18"/>
  <c r="H25" i="18" l="1"/>
  <c r="F16" i="19"/>
  <c r="G26" i="18" s="1"/>
  <c r="C51" i="18"/>
  <c r="D52" i="18"/>
  <c r="B41" i="18"/>
  <c r="A42" i="18"/>
  <c r="E16" i="19" l="1"/>
  <c r="F26" i="18" s="1"/>
  <c r="E26" i="18" s="1"/>
  <c r="A43" i="18"/>
  <c r="B42" i="18"/>
  <c r="C52" i="18"/>
  <c r="D53" i="18"/>
  <c r="G16" i="19" l="1"/>
  <c r="D17" i="19"/>
  <c r="H17" i="19" s="1"/>
  <c r="H26" i="18"/>
  <c r="B43" i="18"/>
  <c r="A44" i="18"/>
  <c r="D54" i="18"/>
  <c r="C53" i="18"/>
  <c r="F17" i="19" l="1"/>
  <c r="G27" i="18" s="1"/>
  <c r="C54" i="18"/>
  <c r="D55" i="18"/>
  <c r="A45" i="18"/>
  <c r="B44" i="18"/>
  <c r="E17" i="19" l="1"/>
  <c r="G17" i="19" s="1"/>
  <c r="C55" i="18"/>
  <c r="D56" i="18"/>
  <c r="A46" i="18"/>
  <c r="B45" i="18"/>
  <c r="D18" i="19" l="1"/>
  <c r="H18" i="19" s="1"/>
  <c r="F27" i="18"/>
  <c r="E27" i="18" s="1"/>
  <c r="C56" i="18"/>
  <c r="D57" i="18"/>
  <c r="B46" i="18"/>
  <c r="A47" i="18"/>
  <c r="F18" i="19" l="1"/>
  <c r="G28" i="18" s="1"/>
  <c r="H27" i="18"/>
  <c r="B47" i="18"/>
  <c r="A48" i="18"/>
  <c r="C57" i="18"/>
  <c r="D58" i="18"/>
  <c r="E18" i="19" l="1"/>
  <c r="D19" i="19" s="1"/>
  <c r="H19" i="19" s="1"/>
  <c r="A49" i="18"/>
  <c r="B48" i="18"/>
  <c r="C58" i="18"/>
  <c r="D59" i="18"/>
  <c r="G18" i="19" l="1"/>
  <c r="F28" i="18"/>
  <c r="H28" i="18" s="1"/>
  <c r="F19" i="19"/>
  <c r="G29" i="18" s="1"/>
  <c r="B49" i="18"/>
  <c r="A50" i="18"/>
  <c r="D60" i="18"/>
  <c r="C59" i="18"/>
  <c r="E28" i="18" l="1"/>
  <c r="E19" i="19"/>
  <c r="F29" i="18" s="1"/>
  <c r="H29" i="18" s="1"/>
  <c r="C60" i="18"/>
  <c r="D61" i="18"/>
  <c r="B50" i="18"/>
  <c r="A51" i="18"/>
  <c r="D20" i="19" l="1"/>
  <c r="F20" i="19" s="1"/>
  <c r="G30" i="18" s="1"/>
  <c r="G19" i="19"/>
  <c r="E29" i="18"/>
  <c r="B51" i="18"/>
  <c r="A52" i="18"/>
  <c r="D62" i="18"/>
  <c r="C61" i="18"/>
  <c r="H20" i="19" l="1"/>
  <c r="E20" i="19" s="1"/>
  <c r="D21" i="19" s="1"/>
  <c r="F21" i="19" s="1"/>
  <c r="G31" i="18" s="1"/>
  <c r="D63" i="18"/>
  <c r="C62" i="18"/>
  <c r="A53" i="18"/>
  <c r="B52" i="18"/>
  <c r="H21" i="19" l="1"/>
  <c r="E21" i="19" s="1"/>
  <c r="D22" i="19" s="1"/>
  <c r="F22" i="19" s="1"/>
  <c r="G32" i="18" s="1"/>
  <c r="F30" i="18"/>
  <c r="E30" i="18" s="1"/>
  <c r="G20" i="19"/>
  <c r="A54" i="18"/>
  <c r="B53" i="18"/>
  <c r="C63" i="18"/>
  <c r="D64" i="18"/>
  <c r="H30" i="18" l="1"/>
  <c r="F31" i="18"/>
  <c r="E31" i="18" s="1"/>
  <c r="G21" i="19"/>
  <c r="H22" i="19"/>
  <c r="E22" i="19" s="1"/>
  <c r="D23" i="19" s="1"/>
  <c r="F23" i="19" s="1"/>
  <c r="G33" i="18" s="1"/>
  <c r="D65" i="18"/>
  <c r="C64" i="18"/>
  <c r="B54" i="18"/>
  <c r="A55" i="18"/>
  <c r="H31" i="18" l="1"/>
  <c r="F32" i="18"/>
  <c r="E32" i="18" s="1"/>
  <c r="H23" i="19"/>
  <c r="E23" i="19" s="1"/>
  <c r="D24" i="19" s="1"/>
  <c r="H24" i="19" s="1"/>
  <c r="G22" i="19"/>
  <c r="A56" i="18"/>
  <c r="B55" i="18"/>
  <c r="D66" i="18"/>
  <c r="C65" i="18"/>
  <c r="H32" i="18" l="1"/>
  <c r="G23" i="19"/>
  <c r="F33" i="18"/>
  <c r="E33" i="18" s="1"/>
  <c r="F24" i="19"/>
  <c r="G34" i="18" s="1"/>
  <c r="A57" i="18"/>
  <c r="B56" i="18"/>
  <c r="C66" i="18"/>
  <c r="D67" i="18"/>
  <c r="E24" i="19" l="1"/>
  <c r="G24" i="19" s="1"/>
  <c r="H33" i="18"/>
  <c r="B57" i="18"/>
  <c r="A58" i="18"/>
  <c r="C67" i="18"/>
  <c r="D68" i="18"/>
  <c r="D25" i="19" l="1"/>
  <c r="F25" i="19" s="1"/>
  <c r="G35" i="18" s="1"/>
  <c r="F34" i="18"/>
  <c r="H34" i="18" s="1"/>
  <c r="C68" i="18"/>
  <c r="D69" i="18"/>
  <c r="A59" i="18"/>
  <c r="B58" i="18"/>
  <c r="H25" i="19" l="1"/>
  <c r="E25" i="19" s="1"/>
  <c r="D26" i="19" s="1"/>
  <c r="H26" i="19" s="1"/>
  <c r="E34" i="18"/>
  <c r="B59" i="18"/>
  <c r="A60" i="18"/>
  <c r="D70" i="18"/>
  <c r="C69" i="18"/>
  <c r="F26" i="19" l="1"/>
  <c r="G36" i="18" s="1"/>
  <c r="G25" i="19"/>
  <c r="F35" i="18"/>
  <c r="E35" i="18" s="1"/>
  <c r="E26" i="19"/>
  <c r="D27" i="19" s="1"/>
  <c r="D71" i="18"/>
  <c r="C70" i="18"/>
  <c r="A61" i="18"/>
  <c r="B60" i="18"/>
  <c r="H35" i="18" l="1"/>
  <c r="G26" i="19"/>
  <c r="F36" i="18"/>
  <c r="E36" i="18" s="1"/>
  <c r="H27" i="19"/>
  <c r="F27" i="19"/>
  <c r="G37" i="18" s="1"/>
  <c r="B61" i="18"/>
  <c r="A62" i="18"/>
  <c r="C71" i="18"/>
  <c r="D72" i="18"/>
  <c r="E27" i="19" l="1"/>
  <c r="D28" i="19" s="1"/>
  <c r="H36" i="18"/>
  <c r="D73" i="18"/>
  <c r="C72" i="18"/>
  <c r="A63" i="18"/>
  <c r="B62" i="18"/>
  <c r="F37" i="18" l="1"/>
  <c r="E37" i="18" s="1"/>
  <c r="G27" i="19"/>
  <c r="H28" i="19"/>
  <c r="F28" i="19"/>
  <c r="G38" i="18" s="1"/>
  <c r="B63" i="18"/>
  <c r="A64" i="18"/>
  <c r="D74" i="18"/>
  <c r="C73" i="18"/>
  <c r="H37" i="18" l="1"/>
  <c r="E28" i="19"/>
  <c r="D29" i="19" s="1"/>
  <c r="B64" i="18"/>
  <c r="A65" i="18"/>
  <c r="D75" i="18"/>
  <c r="C74" i="18"/>
  <c r="F38" i="18" l="1"/>
  <c r="E38" i="18" s="1"/>
  <c r="G28" i="19"/>
  <c r="F29" i="19"/>
  <c r="G39" i="18" s="1"/>
  <c r="H29" i="19"/>
  <c r="D76" i="18"/>
  <c r="C75" i="18"/>
  <c r="A66" i="18"/>
  <c r="B65" i="18"/>
  <c r="H38" i="18" l="1"/>
  <c r="E29" i="19"/>
  <c r="D30" i="19" s="1"/>
  <c r="B66" i="18"/>
  <c r="A67" i="18"/>
  <c r="C76" i="18"/>
  <c r="D77" i="18"/>
  <c r="F39" i="18" l="1"/>
  <c r="E39" i="18" s="1"/>
  <c r="G29" i="19"/>
  <c r="H30" i="19"/>
  <c r="F30" i="19"/>
  <c r="G40" i="18" s="1"/>
  <c r="C77" i="18"/>
  <c r="A68" i="18"/>
  <c r="B67" i="18"/>
  <c r="H39" i="18" l="1"/>
  <c r="E30" i="19"/>
  <c r="D31" i="19" s="1"/>
  <c r="A69" i="18"/>
  <c r="B68" i="18"/>
  <c r="G30" i="19" l="1"/>
  <c r="F40" i="18"/>
  <c r="E40" i="18" s="1"/>
  <c r="H31" i="19"/>
  <c r="F31" i="19"/>
  <c r="G41" i="18" s="1"/>
  <c r="A70" i="18"/>
  <c r="B69" i="18"/>
  <c r="H40" i="18" l="1"/>
  <c r="E31" i="19"/>
  <c r="G31" i="19" s="1"/>
  <c r="A71" i="18"/>
  <c r="B70" i="18"/>
  <c r="D32" i="19" l="1"/>
  <c r="F32" i="19" s="1"/>
  <c r="G42" i="18" s="1"/>
  <c r="F41" i="18"/>
  <c r="E41" i="18" s="1"/>
  <c r="A72" i="18"/>
  <c r="B71" i="18"/>
  <c r="H32" i="19" l="1"/>
  <c r="E32" i="19" s="1"/>
  <c r="D33" i="19" s="1"/>
  <c r="H41" i="18"/>
  <c r="A73" i="18"/>
  <c r="B72" i="18"/>
  <c r="G32" i="19" l="1"/>
  <c r="F42" i="18"/>
  <c r="E42" i="18" s="1"/>
  <c r="H33" i="19"/>
  <c r="F33" i="19"/>
  <c r="G43" i="18" s="1"/>
  <c r="B73" i="18"/>
  <c r="A74" i="18"/>
  <c r="E33" i="19" l="1"/>
  <c r="F43" i="18" s="1"/>
  <c r="E43" i="18" s="1"/>
  <c r="H42" i="18"/>
  <c r="A75" i="18"/>
  <c r="B74" i="18"/>
  <c r="G33" i="19" l="1"/>
  <c r="D34" i="19"/>
  <c r="F34" i="19" s="1"/>
  <c r="G44" i="18" s="1"/>
  <c r="H43" i="18"/>
  <c r="A76" i="18"/>
  <c r="B75" i="18"/>
  <c r="H34" i="19" l="1"/>
  <c r="E34" i="19"/>
  <c r="D35" i="19" s="1"/>
  <c r="B76" i="18"/>
  <c r="A77" i="18"/>
  <c r="B77" i="18" s="1"/>
  <c r="G34" i="19" l="1"/>
  <c r="F44" i="18"/>
  <c r="E44" i="18" s="1"/>
  <c r="F35" i="19"/>
  <c r="G45" i="18" s="1"/>
  <c r="H35" i="19"/>
  <c r="H44" i="18" l="1"/>
  <c r="E35" i="19"/>
  <c r="D36" i="19" s="1"/>
  <c r="H36" i="19" s="1"/>
  <c r="F45" i="18" l="1"/>
  <c r="H45" i="18" s="1"/>
  <c r="G35" i="19"/>
  <c r="F36" i="19"/>
  <c r="G46" i="18" s="1"/>
  <c r="E36" i="19"/>
  <c r="D37" i="19" s="1"/>
  <c r="F37" i="19" s="1"/>
  <c r="G47" i="18" s="1"/>
  <c r="E45" i="18" l="1"/>
  <c r="G36" i="19"/>
  <c r="H37" i="19"/>
  <c r="E37" i="19" s="1"/>
  <c r="D38" i="19" s="1"/>
  <c r="F46" i="18"/>
  <c r="E46" i="18" s="1"/>
  <c r="H46" i="18" l="1"/>
  <c r="F47" i="18"/>
  <c r="E47" i="18" s="1"/>
  <c r="G37" i="19"/>
  <c r="H38" i="19"/>
  <c r="E38" i="19" s="1"/>
  <c r="F38" i="19"/>
  <c r="G48" i="18" s="1"/>
  <c r="H47" i="18" l="1"/>
  <c r="D39" i="19"/>
  <c r="G38" i="19"/>
  <c r="F48" i="18"/>
  <c r="E48" i="18" s="1"/>
  <c r="H48" i="18" l="1"/>
  <c r="F39" i="19"/>
  <c r="G49" i="18" s="1"/>
  <c r="H39" i="19"/>
  <c r="E39" i="19"/>
  <c r="D40" i="19" l="1"/>
  <c r="G39" i="19"/>
  <c r="F49" i="18"/>
  <c r="E49" i="18" s="1"/>
  <c r="H49" i="18" l="1"/>
  <c r="H40" i="19"/>
  <c r="E40" i="19"/>
  <c r="F40" i="19"/>
  <c r="G50" i="18" s="1"/>
  <c r="D41" i="19" l="1"/>
  <c r="G40" i="19"/>
  <c r="F50" i="18"/>
  <c r="H41" i="19" l="1"/>
  <c r="E41" i="19"/>
  <c r="F41" i="19"/>
  <c r="G51" i="18" s="1"/>
  <c r="E50" i="18"/>
  <c r="H50" i="18"/>
  <c r="D42" i="19" l="1"/>
  <c r="F51" i="18"/>
  <c r="E51" i="18" s="1"/>
  <c r="G41" i="19"/>
  <c r="H51" i="18" l="1"/>
  <c r="E42" i="19"/>
  <c r="H42" i="19"/>
  <c r="F42" i="19"/>
  <c r="G52" i="18" s="1"/>
  <c r="D43" i="19" l="1"/>
  <c r="G42" i="19"/>
  <c r="F52" i="18"/>
  <c r="F43" i="19" l="1"/>
  <c r="G53" i="18" s="1"/>
  <c r="E43" i="19"/>
  <c r="H43" i="19"/>
  <c r="E52" i="18"/>
  <c r="H52" i="18"/>
  <c r="D44" i="19" l="1"/>
  <c r="G43" i="19"/>
  <c r="F53" i="18"/>
  <c r="E53" i="18" s="1"/>
  <c r="H53" i="18" l="1"/>
  <c r="H44" i="19"/>
  <c r="F44" i="19"/>
  <c r="G54" i="18" s="1"/>
  <c r="E44" i="19"/>
  <c r="D45" i="19" l="1"/>
  <c r="G44" i="19"/>
  <c r="F54" i="18"/>
  <c r="E54" i="18" s="1"/>
  <c r="F45" i="19" l="1"/>
  <c r="G55" i="18" s="1"/>
  <c r="H45" i="19"/>
  <c r="E45" i="19"/>
  <c r="D46" i="19" s="1"/>
  <c r="H54" i="18"/>
  <c r="F46" i="19" l="1"/>
  <c r="G56" i="18" s="1"/>
  <c r="H46" i="19"/>
  <c r="E46" i="19"/>
  <c r="G45" i="19"/>
  <c r="F55" i="18"/>
  <c r="E55" i="18" s="1"/>
  <c r="H55" i="18" l="1"/>
  <c r="D47" i="19"/>
  <c r="G46" i="19"/>
  <c r="F56" i="18"/>
  <c r="E56" i="18" s="1"/>
  <c r="H56" i="18" l="1"/>
  <c r="E47" i="19"/>
  <c r="D48" i="19" s="1"/>
  <c r="H47" i="19"/>
  <c r="F47" i="19"/>
  <c r="G57" i="18" s="1"/>
  <c r="H48" i="19" l="1"/>
  <c r="E48" i="19"/>
  <c r="D49" i="19" s="1"/>
  <c r="F48" i="19"/>
  <c r="G58" i="18" s="1"/>
  <c r="G47" i="19"/>
  <c r="F57" i="18"/>
  <c r="F49" i="19" l="1"/>
  <c r="G59" i="18" s="1"/>
  <c r="H49" i="19"/>
  <c r="E49" i="19"/>
  <c r="E57" i="18"/>
  <c r="H57" i="18"/>
  <c r="G48" i="19"/>
  <c r="F58" i="18"/>
  <c r="E58" i="18" s="1"/>
  <c r="H58" i="18" l="1"/>
  <c r="D50" i="19"/>
  <c r="F59" i="18"/>
  <c r="E59" i="18" s="1"/>
  <c r="G49" i="19"/>
  <c r="F50" i="19" l="1"/>
  <c r="G60" i="18" s="1"/>
  <c r="E50" i="19"/>
  <c r="H50" i="19"/>
  <c r="H59" i="18"/>
  <c r="D51" i="19" l="1"/>
  <c r="F60" i="18"/>
  <c r="E60" i="18" s="1"/>
  <c r="G50" i="19"/>
  <c r="E51" i="19" l="1"/>
  <c r="D52" i="19" s="1"/>
  <c r="F51" i="19"/>
  <c r="G61" i="18" s="1"/>
  <c r="H51" i="19"/>
  <c r="H60" i="18"/>
  <c r="E52" i="19" l="1"/>
  <c r="F52" i="19"/>
  <c r="G62" i="18" s="1"/>
  <c r="H52" i="19"/>
  <c r="G51" i="19"/>
  <c r="F61" i="18"/>
  <c r="E61" i="18" s="1"/>
  <c r="H61" i="18" l="1"/>
  <c r="D53" i="19"/>
  <c r="G52" i="19"/>
  <c r="F62" i="18"/>
  <c r="E62" i="18" s="1"/>
  <c r="F53" i="19" l="1"/>
  <c r="G63" i="18" s="1"/>
  <c r="E53" i="19"/>
  <c r="D54" i="19" s="1"/>
  <c r="H53" i="19"/>
  <c r="H62" i="18"/>
  <c r="E54" i="19" l="1"/>
  <c r="F54" i="19"/>
  <c r="G64" i="18" s="1"/>
  <c r="H54" i="19"/>
  <c r="F63" i="18"/>
  <c r="E63" i="18" s="1"/>
  <c r="G53" i="19"/>
  <c r="D55" i="19" l="1"/>
  <c r="F64" i="18"/>
  <c r="E64" i="18" s="1"/>
  <c r="G54" i="19"/>
  <c r="H63" i="18"/>
  <c r="H64" i="18" l="1"/>
  <c r="F55" i="19"/>
  <c r="G65" i="18" s="1"/>
  <c r="H55" i="19"/>
  <c r="E55" i="19"/>
  <c r="D56" i="19" s="1"/>
  <c r="F56" i="19" l="1"/>
  <c r="G66" i="18" s="1"/>
  <c r="H56" i="19"/>
  <c r="E56" i="19"/>
  <c r="G55" i="19"/>
  <c r="F65" i="18"/>
  <c r="E65" i="18" l="1"/>
  <c r="H65" i="18"/>
  <c r="D57" i="19"/>
  <c r="G56" i="19"/>
  <c r="F66" i="18"/>
  <c r="E66" i="18" s="1"/>
  <c r="E57" i="19" l="1"/>
  <c r="H57" i="19"/>
  <c r="F57" i="19"/>
  <c r="H66" i="18"/>
  <c r="D58" i="19" l="1"/>
  <c r="F67" i="18"/>
  <c r="H67" i="18" s="1"/>
  <c r="G57" i="19"/>
  <c r="G67" i="18"/>
  <c r="H58" i="19" l="1"/>
  <c r="F58" i="19"/>
  <c r="E58" i="19"/>
  <c r="D59" i="19" s="1"/>
  <c r="E67" i="18"/>
  <c r="H59" i="19" l="1"/>
  <c r="E59" i="19"/>
  <c r="F59" i="19"/>
  <c r="G69" i="18" s="1"/>
  <c r="G58" i="19"/>
  <c r="F68" i="18"/>
  <c r="G68" i="18"/>
  <c r="E68" i="18" l="1"/>
  <c r="H68" i="18"/>
  <c r="D60" i="19"/>
  <c r="F69" i="18"/>
  <c r="E69" i="18" s="1"/>
  <c r="G59" i="19"/>
  <c r="H69" i="18" l="1"/>
  <c r="F60" i="19"/>
  <c r="H60" i="19"/>
  <c r="E60" i="19"/>
  <c r="G60" i="19" l="1"/>
  <c r="F70" i="18"/>
  <c r="G70" i="18"/>
  <c r="D61" i="19"/>
  <c r="F61" i="19" l="1"/>
  <c r="H61" i="19"/>
  <c r="E61" i="19"/>
  <c r="D62" i="19" s="1"/>
  <c r="E70" i="18"/>
  <c r="H70" i="18"/>
  <c r="F62" i="19" l="1"/>
  <c r="G72" i="18" s="1"/>
  <c r="H62" i="19"/>
  <c r="E62" i="19"/>
  <c r="D63" i="19" s="1"/>
  <c r="G61" i="19"/>
  <c r="F71" i="18"/>
  <c r="H71" i="18" s="1"/>
  <c r="G71" i="18"/>
  <c r="E63" i="19" l="1"/>
  <c r="F63" i="19"/>
  <c r="G73" i="18" s="1"/>
  <c r="H63" i="19"/>
  <c r="G62" i="19"/>
  <c r="F72" i="18"/>
  <c r="E72" i="18" s="1"/>
  <c r="E71" i="18"/>
  <c r="H72" i="18" l="1"/>
  <c r="D64" i="19"/>
  <c r="F73" i="18"/>
  <c r="E73" i="18" s="1"/>
  <c r="G63" i="19"/>
  <c r="E64" i="19" l="1"/>
  <c r="F64" i="19"/>
  <c r="G74" i="18" s="1"/>
  <c r="H64" i="19"/>
  <c r="H73" i="18"/>
  <c r="D65" i="19" l="1"/>
  <c r="G64" i="19"/>
  <c r="F74" i="18"/>
  <c r="E74" i="18" s="1"/>
  <c r="H65" i="19" l="1"/>
  <c r="F65" i="19"/>
  <c r="G75" i="18" s="1"/>
  <c r="E65" i="19"/>
  <c r="D66" i="19" s="1"/>
  <c r="H74" i="18"/>
  <c r="H66" i="19" l="1"/>
  <c r="F66" i="19"/>
  <c r="G76" i="18" s="1"/>
  <c r="E66" i="19"/>
  <c r="F75" i="18"/>
  <c r="E75" i="18" s="1"/>
  <c r="G65" i="19"/>
  <c r="H75" i="18" l="1"/>
  <c r="D67" i="19"/>
  <c r="F76" i="18"/>
  <c r="E76" i="18" s="1"/>
  <c r="G66" i="19"/>
  <c r="F67" i="19" l="1"/>
  <c r="H67" i="19"/>
  <c r="H68" i="19" s="1"/>
  <c r="E67" i="19"/>
  <c r="H76" i="18"/>
  <c r="F77" i="18" l="1"/>
  <c r="G67" i="19"/>
  <c r="G68" i="19" s="1"/>
  <c r="E68" i="19"/>
  <c r="G77" i="18"/>
  <c r="G78" i="18" s="1"/>
  <c r="P12" i="18" s="1"/>
  <c r="F68" i="19"/>
  <c r="F4" i="19" s="1"/>
  <c r="F5" i="19" s="1"/>
  <c r="P13" i="18" l="1"/>
  <c r="P14" i="18" s="1"/>
  <c r="P17" i="18" s="1"/>
  <c r="E35" i="72"/>
  <c r="E77" i="18"/>
  <c r="E78" i="18" s="1"/>
  <c r="F78" i="18"/>
  <c r="P19" i="18" s="1"/>
  <c r="H77" i="18"/>
  <c r="Q132" i="60" l="1"/>
  <c r="Q134" i="60"/>
  <c r="F29" i="72"/>
  <c r="Q393" i="74"/>
  <c r="R393" i="74" s="1"/>
  <c r="U393" i="74" s="1"/>
  <c r="Q314" i="74"/>
  <c r="R314" i="74" s="1"/>
  <c r="U314" i="74" s="1"/>
  <c r="Q350" i="74"/>
  <c r="R350" i="74" s="1"/>
  <c r="U350" i="74" s="1"/>
  <c r="Q382" i="74"/>
  <c r="R382" i="74" s="1"/>
  <c r="U382" i="74" s="1"/>
  <c r="T382" i="74" s="1"/>
  <c r="Q335" i="74"/>
  <c r="R335" i="74" s="1"/>
  <c r="U335" i="74" s="1"/>
  <c r="Q300" i="74"/>
  <c r="R300" i="74" s="1"/>
  <c r="U300" i="74" s="1"/>
  <c r="Q336" i="74"/>
  <c r="R336" i="74" s="1"/>
  <c r="U336" i="74" s="1"/>
  <c r="T336" i="74" s="1"/>
  <c r="Q368" i="74"/>
  <c r="R368" i="74" s="1"/>
  <c r="U368" i="74" s="1"/>
  <c r="T368" i="74" s="1"/>
  <c r="Q37" i="74"/>
  <c r="R37" i="74" s="1"/>
  <c r="U37" i="74" s="1"/>
  <c r="Q303" i="74"/>
  <c r="R303" i="74" s="1"/>
  <c r="U303" i="74" s="1"/>
  <c r="Q34" i="74"/>
  <c r="R34" i="74" s="1"/>
  <c r="U34" i="74" s="1"/>
  <c r="T34" i="74" s="1"/>
  <c r="Q301" i="74"/>
  <c r="R301" i="74" s="1"/>
  <c r="U301" i="74" s="1"/>
  <c r="Q317" i="74"/>
  <c r="R317" i="74" s="1"/>
  <c r="U317" i="74" s="1"/>
  <c r="T317" i="74" s="1"/>
  <c r="V317" i="74" s="1"/>
  <c r="Q325" i="74"/>
  <c r="R325" i="74" s="1"/>
  <c r="U325" i="74" s="1"/>
  <c r="Q344" i="74"/>
  <c r="R344" i="74" s="1"/>
  <c r="U344" i="74" s="1"/>
  <c r="Q379" i="74"/>
  <c r="R379" i="74" s="1"/>
  <c r="U379" i="74" s="1"/>
  <c r="Q338" i="74"/>
  <c r="R338" i="74" s="1"/>
  <c r="U338" i="74" s="1"/>
  <c r="Q370" i="74"/>
  <c r="R370" i="74" s="1"/>
  <c r="U370" i="74" s="1"/>
  <c r="T370" i="74" s="1"/>
  <c r="Q397" i="74"/>
  <c r="R397" i="74" s="1"/>
  <c r="U397" i="74" s="1"/>
  <c r="Q318" i="74"/>
  <c r="R318" i="74" s="1"/>
  <c r="U318" i="74" s="1"/>
  <c r="Q343" i="74"/>
  <c r="R343" i="74" s="1"/>
  <c r="U343" i="74" s="1"/>
  <c r="Q304" i="74"/>
  <c r="R304" i="74" s="1"/>
  <c r="U304" i="74" s="1"/>
  <c r="Q340" i="74"/>
  <c r="R340" i="74" s="1"/>
  <c r="U340" i="74" s="1"/>
  <c r="T340" i="74" s="1"/>
  <c r="V340" i="74" s="1"/>
  <c r="Q372" i="74"/>
  <c r="R372" i="74" s="1"/>
  <c r="U372" i="74" s="1"/>
  <c r="T372" i="74" s="1"/>
  <c r="V372" i="74" s="1"/>
  <c r="Q36" i="74"/>
  <c r="R36" i="74" s="1"/>
  <c r="U36" i="74" s="1"/>
  <c r="T36" i="74" s="1"/>
  <c r="V36" i="74" s="1"/>
  <c r="Q312" i="74"/>
  <c r="R312" i="74" s="1"/>
  <c r="U312" i="74" s="1"/>
  <c r="T312" i="74" s="1"/>
  <c r="V312" i="74" s="1"/>
  <c r="Q329" i="74"/>
  <c r="R329" i="74" s="1"/>
  <c r="U329" i="74" s="1"/>
  <c r="Q337" i="74"/>
  <c r="R337" i="74" s="1"/>
  <c r="U337" i="74" s="1"/>
  <c r="Q353" i="74"/>
  <c r="R353" i="74" s="1"/>
  <c r="U353" i="74" s="1"/>
  <c r="T353" i="74" s="1"/>
  <c r="Q369" i="74"/>
  <c r="R369" i="74" s="1"/>
  <c r="U369" i="74" s="1"/>
  <c r="Q386" i="74"/>
  <c r="R386" i="74" s="1"/>
  <c r="U386" i="74" s="1"/>
  <c r="Q358" i="74"/>
  <c r="R358" i="74" s="1"/>
  <c r="U358" i="74" s="1"/>
  <c r="Q30" i="74"/>
  <c r="R30" i="74" s="1"/>
  <c r="U30" i="74" s="1"/>
  <c r="T30" i="74" s="1"/>
  <c r="Q322" i="74"/>
  <c r="R322" i="74" s="1"/>
  <c r="U322" i="74" s="1"/>
  <c r="T322" i="74" s="1"/>
  <c r="Q323" i="74"/>
  <c r="R323" i="74" s="1"/>
  <c r="U323" i="74" s="1"/>
  <c r="Q32" i="74"/>
  <c r="R32" i="74" s="1"/>
  <c r="U32" i="74" s="1"/>
  <c r="Q376" i="74"/>
  <c r="R376" i="74" s="1"/>
  <c r="U376" i="74" s="1"/>
  <c r="T376" i="74" s="1"/>
  <c r="Q385" i="74"/>
  <c r="R385" i="74" s="1"/>
  <c r="U385" i="74" s="1"/>
  <c r="T385" i="74" s="1"/>
  <c r="V385" i="74" s="1"/>
  <c r="Q399" i="74"/>
  <c r="R399" i="74" s="1"/>
  <c r="U399" i="74" s="1"/>
  <c r="T399" i="74" s="1"/>
  <c r="Q388" i="74"/>
  <c r="R388" i="74" s="1"/>
  <c r="U388" i="74" s="1"/>
  <c r="T388" i="74" s="1"/>
  <c r="Q33" i="74"/>
  <c r="R33" i="74" s="1"/>
  <c r="U33" i="74" s="1"/>
  <c r="Q313" i="74"/>
  <c r="R313" i="74" s="1"/>
  <c r="U313" i="74" s="1"/>
  <c r="T313" i="74" s="1"/>
  <c r="Q348" i="74"/>
  <c r="R348" i="74" s="1"/>
  <c r="U348" i="74" s="1"/>
  <c r="Q387" i="74"/>
  <c r="R387" i="74" s="1"/>
  <c r="U387" i="74" s="1"/>
  <c r="Q330" i="74"/>
  <c r="R330" i="74" s="1"/>
  <c r="U330" i="74" s="1"/>
  <c r="Q362" i="74"/>
  <c r="R362" i="74" s="1"/>
  <c r="U362" i="74" s="1"/>
  <c r="Q310" i="74"/>
  <c r="R310" i="74" s="1"/>
  <c r="U310" i="74" s="1"/>
  <c r="Q389" i="74"/>
  <c r="R389" i="74" s="1"/>
  <c r="U389" i="74" s="1"/>
  <c r="Q324" i="74"/>
  <c r="R324" i="74" s="1"/>
  <c r="U324" i="74" s="1"/>
  <c r="Q341" i="74"/>
  <c r="R341" i="74" s="1"/>
  <c r="U341" i="74" s="1"/>
  <c r="T341" i="74" s="1"/>
  <c r="V341" i="74" s="1"/>
  <c r="Q357" i="74"/>
  <c r="R357" i="74" s="1"/>
  <c r="U357" i="74" s="1"/>
  <c r="Q373" i="74"/>
  <c r="R373" i="74" s="1"/>
  <c r="U373" i="74" s="1"/>
  <c r="Q375" i="74"/>
  <c r="R375" i="74" s="1"/>
  <c r="U375" i="74" s="1"/>
  <c r="Q38" i="74"/>
  <c r="R38" i="74" s="1"/>
  <c r="U38" i="74" s="1"/>
  <c r="Q367" i="74"/>
  <c r="R367" i="74" s="1"/>
  <c r="U367" i="74" s="1"/>
  <c r="T367" i="74" s="1"/>
  <c r="V367" i="74" s="1"/>
  <c r="Q384" i="74"/>
  <c r="R384" i="74" s="1"/>
  <c r="U384" i="74" s="1"/>
  <c r="Q359" i="74"/>
  <c r="R359" i="74" s="1"/>
  <c r="U359" i="74" s="1"/>
  <c r="Q390" i="74"/>
  <c r="R390" i="74" s="1"/>
  <c r="U390" i="74" s="1"/>
  <c r="Q371" i="74"/>
  <c r="R371" i="74" s="1"/>
  <c r="U371" i="74" s="1"/>
  <c r="Q307" i="74"/>
  <c r="R307" i="74" s="1"/>
  <c r="U307" i="74" s="1"/>
  <c r="Q380" i="74"/>
  <c r="R380" i="74" s="1"/>
  <c r="U380" i="74" s="1"/>
  <c r="Q306" i="74"/>
  <c r="R306" i="74" s="1"/>
  <c r="U306" i="74" s="1"/>
  <c r="Q352" i="74"/>
  <c r="R352" i="74" s="1"/>
  <c r="U352" i="74" s="1"/>
  <c r="Q316" i="74"/>
  <c r="R316" i="74" s="1"/>
  <c r="U316" i="74" s="1"/>
  <c r="Q366" i="74"/>
  <c r="R366" i="74" s="1"/>
  <c r="U366" i="74" s="1"/>
  <c r="Q361" i="74"/>
  <c r="R361" i="74" s="1"/>
  <c r="U361" i="74" s="1"/>
  <c r="Q302" i="74"/>
  <c r="R302" i="74" s="1"/>
  <c r="U302" i="74" s="1"/>
  <c r="Q394" i="74"/>
  <c r="R394" i="74" s="1"/>
  <c r="U394" i="74" s="1"/>
  <c r="Q319" i="74"/>
  <c r="R319" i="74" s="1"/>
  <c r="U319" i="74" s="1"/>
  <c r="Q354" i="74"/>
  <c r="R354" i="74" s="1"/>
  <c r="U354" i="74" s="1"/>
  <c r="Q334" i="74"/>
  <c r="R334" i="74" s="1"/>
  <c r="U334" i="74" s="1"/>
  <c r="T334" i="74" s="1"/>
  <c r="Q339" i="74"/>
  <c r="R339" i="74" s="1"/>
  <c r="U339" i="74" s="1"/>
  <c r="Q31" i="74"/>
  <c r="R31" i="74" s="1"/>
  <c r="U31" i="74" s="1"/>
  <c r="Q360" i="74"/>
  <c r="R360" i="74" s="1"/>
  <c r="U360" i="74" s="1"/>
  <c r="Q320" i="74"/>
  <c r="R320" i="74" s="1"/>
  <c r="U320" i="74" s="1"/>
  <c r="T320" i="74" s="1"/>
  <c r="Q331" i="74"/>
  <c r="R331" i="74" s="1"/>
  <c r="U331" i="74" s="1"/>
  <c r="Q328" i="74"/>
  <c r="R328" i="74" s="1"/>
  <c r="U328" i="74" s="1"/>
  <c r="T328" i="74" s="1"/>
  <c r="Q342" i="74"/>
  <c r="R342" i="74" s="1"/>
  <c r="U342" i="74" s="1"/>
  <c r="T342" i="74" s="1"/>
  <c r="Q398" i="74"/>
  <c r="R398" i="74" s="1"/>
  <c r="U398" i="74" s="1"/>
  <c r="Q308" i="74"/>
  <c r="R308" i="74" s="1"/>
  <c r="U308" i="74" s="1"/>
  <c r="Q378" i="74"/>
  <c r="R378" i="74" s="1"/>
  <c r="U378" i="74" s="1"/>
  <c r="Q349" i="74"/>
  <c r="R349" i="74" s="1"/>
  <c r="U349" i="74" s="1"/>
  <c r="T349" i="74" s="1"/>
  <c r="Q381" i="74"/>
  <c r="R381" i="74" s="1"/>
  <c r="U381" i="74" s="1"/>
  <c r="Q391" i="74"/>
  <c r="R391" i="74" s="1"/>
  <c r="U391" i="74" s="1"/>
  <c r="Q392" i="74"/>
  <c r="R392" i="74" s="1"/>
  <c r="U392" i="74" s="1"/>
  <c r="Q395" i="74"/>
  <c r="R395" i="74" s="1"/>
  <c r="U395" i="74" s="1"/>
  <c r="T395" i="74" s="1"/>
  <c r="Q309" i="74"/>
  <c r="R309" i="74" s="1"/>
  <c r="U309" i="74" s="1"/>
  <c r="Q356" i="74"/>
  <c r="R356" i="74" s="1"/>
  <c r="U356" i="74" s="1"/>
  <c r="Q345" i="74"/>
  <c r="R345" i="74" s="1"/>
  <c r="U345" i="74" s="1"/>
  <c r="T345" i="74" s="1"/>
  <c r="V345" i="74" s="1"/>
  <c r="Q374" i="74"/>
  <c r="R374" i="74" s="1"/>
  <c r="U374" i="74" s="1"/>
  <c r="Q347" i="74"/>
  <c r="R347" i="74" s="1"/>
  <c r="U347" i="74" s="1"/>
  <c r="Q305" i="74"/>
  <c r="R305" i="74" s="1"/>
  <c r="U305" i="74" s="1"/>
  <c r="Q332" i="74"/>
  <c r="R332" i="74" s="1"/>
  <c r="U332" i="74" s="1"/>
  <c r="Q383" i="74"/>
  <c r="R383" i="74" s="1"/>
  <c r="U383" i="74" s="1"/>
  <c r="Q311" i="74"/>
  <c r="R311" i="74" s="1"/>
  <c r="U311" i="74" s="1"/>
  <c r="T311" i="74" s="1"/>
  <c r="V311" i="74" s="1"/>
  <c r="Q315" i="74"/>
  <c r="R315" i="74" s="1"/>
  <c r="U315" i="74" s="1"/>
  <c r="Q326" i="74"/>
  <c r="R326" i="74" s="1"/>
  <c r="U326" i="74" s="1"/>
  <c r="T326" i="74" s="1"/>
  <c r="Q377" i="74"/>
  <c r="R377" i="74" s="1"/>
  <c r="U377" i="74" s="1"/>
  <c r="Q35" i="74"/>
  <c r="R35" i="74" s="1"/>
  <c r="U35" i="74" s="1"/>
  <c r="T35" i="74" s="1"/>
  <c r="V35" i="74" s="1"/>
  <c r="Q351" i="74"/>
  <c r="R351" i="74" s="1"/>
  <c r="U351" i="74" s="1"/>
  <c r="Q396" i="74"/>
  <c r="R396" i="74" s="1"/>
  <c r="U396" i="74" s="1"/>
  <c r="Q355" i="74"/>
  <c r="R355" i="74" s="1"/>
  <c r="U355" i="74" s="1"/>
  <c r="Q39" i="74"/>
  <c r="R39" i="74" s="1"/>
  <c r="U39" i="74" s="1"/>
  <c r="Q321" i="74"/>
  <c r="R321" i="74" s="1"/>
  <c r="U321" i="74" s="1"/>
  <c r="T321" i="74" s="1"/>
  <c r="Q364" i="74"/>
  <c r="R364" i="74" s="1"/>
  <c r="U364" i="74" s="1"/>
  <c r="Q346" i="74"/>
  <c r="R346" i="74" s="1"/>
  <c r="U346" i="74" s="1"/>
  <c r="Q327" i="74"/>
  <c r="R327" i="74" s="1"/>
  <c r="U327" i="74" s="1"/>
  <c r="Q363" i="74"/>
  <c r="R363" i="74" s="1"/>
  <c r="U363" i="74" s="1"/>
  <c r="Q333" i="74"/>
  <c r="R333" i="74" s="1"/>
  <c r="U333" i="74" s="1"/>
  <c r="Q365" i="74"/>
  <c r="R365" i="74" s="1"/>
  <c r="U365" i="74" s="1"/>
  <c r="Q3" i="74"/>
  <c r="V388" i="74" l="1"/>
  <c r="R3" i="74"/>
  <c r="U3" i="74" s="1"/>
  <c r="T3" i="74" s="1"/>
  <c r="V3" i="74" s="1"/>
  <c r="T37" i="74"/>
  <c r="V37" i="74" s="1"/>
  <c r="V320" i="74"/>
  <c r="V370" i="74"/>
  <c r="V382" i="74"/>
  <c r="T323" i="74"/>
  <c r="V323" i="74" s="1"/>
  <c r="V30" i="74"/>
  <c r="V368" i="74"/>
  <c r="V342" i="74"/>
  <c r="T333" i="74"/>
  <c r="V333" i="74" s="1"/>
  <c r="T365" i="74"/>
  <c r="V365" i="74" s="1"/>
  <c r="T364" i="74"/>
  <c r="V364" i="74" s="1"/>
  <c r="T355" i="74"/>
  <c r="V355" i="74" s="1"/>
  <c r="T327" i="74"/>
  <c r="V327" i="74" s="1"/>
  <c r="T315" i="74"/>
  <c r="V315" i="74" s="1"/>
  <c r="T309" i="74"/>
  <c r="V309" i="74" s="1"/>
  <c r="T396" i="74"/>
  <c r="V396" i="74" s="1"/>
  <c r="T377" i="74"/>
  <c r="V377" i="74" s="1"/>
  <c r="T39" i="74"/>
  <c r="V39" i="74" s="1"/>
  <c r="T383" i="74"/>
  <c r="V383" i="74" s="1"/>
  <c r="T347" i="74"/>
  <c r="V347" i="74" s="1"/>
  <c r="T389" i="74"/>
  <c r="V389" i="74" s="1"/>
  <c r="T332" i="74"/>
  <c r="V332" i="74" s="1"/>
  <c r="V313" i="74"/>
  <c r="V334" i="74"/>
  <c r="V395" i="74"/>
  <c r="T381" i="74"/>
  <c r="V381" i="74" s="1"/>
  <c r="T308" i="74"/>
  <c r="V308" i="74" s="1"/>
  <c r="T331" i="74"/>
  <c r="V331" i="74" s="1"/>
  <c r="T339" i="74"/>
  <c r="V339" i="74" s="1"/>
  <c r="T394" i="74"/>
  <c r="V394" i="74" s="1"/>
  <c r="T316" i="74"/>
  <c r="V316" i="74" s="1"/>
  <c r="T380" i="74"/>
  <c r="V380" i="74" s="1"/>
  <c r="T359" i="74"/>
  <c r="V359" i="74" s="1"/>
  <c r="T375" i="74"/>
  <c r="V375" i="74" s="1"/>
  <c r="T362" i="74"/>
  <c r="V362" i="74" s="1"/>
  <c r="T386" i="74"/>
  <c r="V386" i="74" s="1"/>
  <c r="T329" i="74"/>
  <c r="V329" i="74" s="1"/>
  <c r="T397" i="74"/>
  <c r="V397" i="74" s="1"/>
  <c r="T344" i="74"/>
  <c r="V344" i="74" s="1"/>
  <c r="T350" i="74"/>
  <c r="V350" i="74" s="1"/>
  <c r="V322" i="74"/>
  <c r="V336" i="74"/>
  <c r="V328" i="74"/>
  <c r="V34" i="74"/>
  <c r="V321" i="74"/>
  <c r="T398" i="74"/>
  <c r="V398" i="74" s="1"/>
  <c r="T302" i="74"/>
  <c r="V302" i="74" s="1"/>
  <c r="T352" i="74"/>
  <c r="V352" i="74" s="1"/>
  <c r="T307" i="74"/>
  <c r="V307" i="74" s="1"/>
  <c r="T384" i="74"/>
  <c r="V384" i="74" s="1"/>
  <c r="T324" i="74"/>
  <c r="V324" i="74" s="1"/>
  <c r="T330" i="74"/>
  <c r="V330" i="74" s="1"/>
  <c r="T33" i="74"/>
  <c r="V33" i="74" s="1"/>
  <c r="T369" i="74"/>
  <c r="V369" i="74" s="1"/>
  <c r="T304" i="74"/>
  <c r="V304" i="74" s="1"/>
  <c r="T325" i="74"/>
  <c r="V325" i="74" s="1"/>
  <c r="T303" i="74"/>
  <c r="V303" i="74" s="1"/>
  <c r="T300" i="74"/>
  <c r="V300" i="74" s="1"/>
  <c r="T314" i="74"/>
  <c r="V314" i="74" s="1"/>
  <c r="T363" i="74"/>
  <c r="V363" i="74" s="1"/>
  <c r="T346" i="74"/>
  <c r="V346" i="74" s="1"/>
  <c r="T351" i="74"/>
  <c r="V351" i="74" s="1"/>
  <c r="T356" i="74"/>
  <c r="V356" i="74" s="1"/>
  <c r="T392" i="74"/>
  <c r="V392" i="74" s="1"/>
  <c r="T360" i="74"/>
  <c r="V360" i="74" s="1"/>
  <c r="T354" i="74"/>
  <c r="V354" i="74" s="1"/>
  <c r="T361" i="74"/>
  <c r="V361" i="74" s="1"/>
  <c r="T371" i="74"/>
  <c r="V371" i="74" s="1"/>
  <c r="T373" i="74"/>
  <c r="V373" i="74" s="1"/>
  <c r="T387" i="74"/>
  <c r="V387" i="74" s="1"/>
  <c r="V376" i="74"/>
  <c r="V353" i="74"/>
  <c r="T343" i="74"/>
  <c r="V343" i="74" s="1"/>
  <c r="T338" i="74"/>
  <c r="V338" i="74" s="1"/>
  <c r="T335" i="74"/>
  <c r="V335" i="74" s="1"/>
  <c r="T393" i="74"/>
  <c r="V393" i="74" s="1"/>
  <c r="T305" i="74"/>
  <c r="V305" i="74" s="1"/>
  <c r="T374" i="74"/>
  <c r="V374" i="74" s="1"/>
  <c r="V326" i="74"/>
  <c r="T391" i="74"/>
  <c r="V391" i="74" s="1"/>
  <c r="T378" i="74"/>
  <c r="V378" i="74" s="1"/>
  <c r="T31" i="74"/>
  <c r="V31" i="74" s="1"/>
  <c r="T319" i="74"/>
  <c r="V319" i="74" s="1"/>
  <c r="T366" i="74"/>
  <c r="V366" i="74" s="1"/>
  <c r="T306" i="74"/>
  <c r="V306" i="74" s="1"/>
  <c r="T390" i="74"/>
  <c r="V390" i="74" s="1"/>
  <c r="T38" i="74"/>
  <c r="V38" i="74" s="1"/>
  <c r="T357" i="74"/>
  <c r="V357" i="74" s="1"/>
  <c r="T310" i="74"/>
  <c r="V310" i="74" s="1"/>
  <c r="T348" i="74"/>
  <c r="V348" i="74" s="1"/>
  <c r="T32" i="74"/>
  <c r="V32" i="74" s="1"/>
  <c r="T358" i="74"/>
  <c r="V358" i="74" s="1"/>
  <c r="T337" i="74"/>
  <c r="V337" i="74" s="1"/>
  <c r="T318" i="74"/>
  <c r="V318" i="74" s="1"/>
  <c r="T379" i="74"/>
  <c r="V379" i="74" s="1"/>
  <c r="T301" i="74"/>
  <c r="V301" i="74" s="1"/>
  <c r="V349" i="74"/>
  <c r="V399" i="7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Ok</author>
  </authors>
  <commentList>
    <comment ref="E2" authorId="0" shapeId="0" xr:uid="{00000000-0006-0000-1900-000001000000}">
      <text>
        <r>
          <rPr>
            <b/>
            <sz val="8"/>
            <color indexed="81"/>
            <rFont val="Tahoma"/>
            <family val="2"/>
            <charset val="204"/>
          </rPr>
          <t>Ok:</t>
        </r>
        <r>
          <rPr>
            <sz val="8"/>
            <color indexed="81"/>
            <rFont val="Tahoma"/>
            <family val="2"/>
            <charset val="204"/>
          </rPr>
          <t xml:space="preserve">
Здесь надо вставить ссылку на первый лист, откуда берётся число для прописи. В данном примере это 'счёт-факт' ячейка I31 - "Итого"</t>
        </r>
      </text>
    </comment>
    <comment ref="G2" authorId="0" shapeId="0" xr:uid="{00000000-0006-0000-1900-000002000000}">
      <text>
        <r>
          <rPr>
            <b/>
            <sz val="8"/>
            <color indexed="81"/>
            <rFont val="Tahoma"/>
            <family val="2"/>
            <charset val="204"/>
          </rPr>
          <t>Ok:</t>
        </r>
        <r>
          <rPr>
            <sz val="8"/>
            <color indexed="81"/>
            <rFont val="Tahoma"/>
            <family val="2"/>
            <charset val="204"/>
          </rPr>
          <t xml:space="preserve">
Здесь должна быть ссылка на ячейку с НДС листа "счет-фактура"</t>
        </r>
      </text>
    </comment>
    <comment ref="B8" authorId="0" shapeId="0" xr:uid="{00000000-0006-0000-1900-000003000000}">
      <text>
        <r>
          <rPr>
            <b/>
            <sz val="8"/>
            <color indexed="81"/>
            <rFont val="Tahoma"/>
            <family val="2"/>
            <charset val="204"/>
          </rPr>
          <t>Ok:</t>
        </r>
        <r>
          <rPr>
            <sz val="8"/>
            <color indexed="81"/>
            <rFont val="Tahoma"/>
            <family val="2"/>
            <charset val="204"/>
          </rPr>
          <t xml:space="preserve">
Эта строка будет вставляться для НДС</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Ok</author>
  </authors>
  <commentList>
    <comment ref="E2" authorId="0" shapeId="0" xr:uid="{00000000-0006-0000-1A00-000001000000}">
      <text>
        <r>
          <rPr>
            <b/>
            <sz val="8"/>
            <color indexed="81"/>
            <rFont val="Tahoma"/>
            <family val="2"/>
            <charset val="204"/>
          </rPr>
          <t>Ok:</t>
        </r>
        <r>
          <rPr>
            <sz val="8"/>
            <color indexed="81"/>
            <rFont val="Tahoma"/>
            <family val="2"/>
            <charset val="204"/>
          </rPr>
          <t xml:space="preserve">
Здесь надо вставить ссылку на первый лист, откуда берётся число для прописи. В данном примере это 'счёт-факт' ячейка I31 - "Итого"</t>
        </r>
      </text>
    </comment>
    <comment ref="G2" authorId="0" shapeId="0" xr:uid="{00000000-0006-0000-1A00-000002000000}">
      <text>
        <r>
          <rPr>
            <b/>
            <sz val="8"/>
            <color indexed="81"/>
            <rFont val="Tahoma"/>
            <family val="2"/>
            <charset val="204"/>
          </rPr>
          <t>Ok:</t>
        </r>
        <r>
          <rPr>
            <sz val="8"/>
            <color indexed="81"/>
            <rFont val="Tahoma"/>
            <family val="2"/>
            <charset val="204"/>
          </rPr>
          <t xml:space="preserve">
Здесь должна быть ссылка на ячейку с НДС листа "счет-фактура"</t>
        </r>
      </text>
    </comment>
    <comment ref="B8" authorId="0" shapeId="0" xr:uid="{00000000-0006-0000-1A00-000003000000}">
      <text>
        <r>
          <rPr>
            <b/>
            <sz val="8"/>
            <color indexed="81"/>
            <rFont val="Tahoma"/>
            <family val="2"/>
            <charset val="204"/>
          </rPr>
          <t>Ok:</t>
        </r>
        <r>
          <rPr>
            <sz val="8"/>
            <color indexed="81"/>
            <rFont val="Tahoma"/>
            <family val="2"/>
            <charset val="204"/>
          </rPr>
          <t xml:space="preserve">
Эта строка будет вставляться для НДС</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Rauf Agayev</author>
  </authors>
  <commentList>
    <comment ref="F5" authorId="0" shapeId="0" xr:uid="{00000000-0006-0000-1C00-000001000000}">
      <text>
        <r>
          <rPr>
            <sz val="8"/>
            <color indexed="81"/>
            <rFont val="Tahoma"/>
            <family val="2"/>
            <charset val="204"/>
          </rPr>
          <t xml:space="preserve">Разница округления процентов. Положительная разница приплюсовывается к последней выплате процентов, отрицательная - вычитается.
</t>
        </r>
      </text>
    </comment>
  </commentList>
</comments>
</file>

<file path=xl/sharedStrings.xml><?xml version="1.0" encoding="utf-8"?>
<sst xmlns="http://schemas.openxmlformats.org/spreadsheetml/2006/main" count="2826" uniqueCount="975">
  <si>
    <t>Tarix:</t>
  </si>
  <si>
    <t xml:space="preserve">məbləğində kredit vemişdir. </t>
  </si>
  <si>
    <t>Zamin</t>
  </si>
  <si>
    <t>% təşkil edir.</t>
  </si>
  <si>
    <t>Ünvan</t>
  </si>
  <si>
    <t>Verilmə tarixi</t>
  </si>
  <si>
    <t>VÖEN:</t>
  </si>
  <si>
    <t>tarixli</t>
  </si>
  <si>
    <t>ZAMİNLİK MÜQAVİLƏSİ №</t>
  </si>
  <si>
    <t>-</t>
  </si>
  <si>
    <t xml:space="preserve"> Bir</t>
  </si>
  <si>
    <t xml:space="preserve"> bir</t>
  </si>
  <si>
    <t xml:space="preserve"> On bir</t>
  </si>
  <si>
    <t xml:space="preserve"> on bir</t>
  </si>
  <si>
    <t xml:space="preserve"> On</t>
  </si>
  <si>
    <t xml:space="preserve"> on</t>
  </si>
  <si>
    <t xml:space="preserve"> Yüz</t>
  </si>
  <si>
    <t>yüz</t>
  </si>
  <si>
    <t xml:space="preserve"> İki</t>
  </si>
  <si>
    <t xml:space="preserve"> iki</t>
  </si>
  <si>
    <t xml:space="preserve"> On iki</t>
  </si>
  <si>
    <t xml:space="preserve"> on iki</t>
  </si>
  <si>
    <t xml:space="preserve"> İyirmi</t>
  </si>
  <si>
    <t xml:space="preserve"> iyirmi</t>
  </si>
  <si>
    <t xml:space="preserve"> İki yüz</t>
  </si>
  <si>
    <t xml:space="preserve"> iki yüz</t>
  </si>
  <si>
    <t xml:space="preserve"> Üç</t>
  </si>
  <si>
    <t xml:space="preserve"> üç</t>
  </si>
  <si>
    <t xml:space="preserve"> On üç</t>
  </si>
  <si>
    <t xml:space="preserve"> on üç</t>
  </si>
  <si>
    <t xml:space="preserve"> Otuz</t>
  </si>
  <si>
    <t xml:space="preserve"> otuz</t>
  </si>
  <si>
    <t xml:space="preserve"> Üç yüz</t>
  </si>
  <si>
    <t xml:space="preserve"> üç yüz</t>
  </si>
  <si>
    <t xml:space="preserve"> Dörd</t>
  </si>
  <si>
    <t xml:space="preserve"> dörd</t>
  </si>
  <si>
    <t xml:space="preserve"> On dörd</t>
  </si>
  <si>
    <t xml:space="preserve"> on dörd</t>
  </si>
  <si>
    <t xml:space="preserve"> Qırx</t>
  </si>
  <si>
    <t xml:space="preserve"> qırx</t>
  </si>
  <si>
    <t xml:space="preserve"> Dörd yüz</t>
  </si>
  <si>
    <t xml:space="preserve"> dörd yüz</t>
  </si>
  <si>
    <t xml:space="preserve"> Beş</t>
  </si>
  <si>
    <t xml:space="preserve"> beş</t>
  </si>
  <si>
    <t xml:space="preserve"> On beş</t>
  </si>
  <si>
    <t xml:space="preserve"> on beş</t>
  </si>
  <si>
    <t xml:space="preserve"> Əlli</t>
  </si>
  <si>
    <t xml:space="preserve"> əlli</t>
  </si>
  <si>
    <t xml:space="preserve"> Beş yüz</t>
  </si>
  <si>
    <t xml:space="preserve"> beş yüz</t>
  </si>
  <si>
    <t xml:space="preserve"> Altı</t>
  </si>
  <si>
    <t xml:space="preserve"> altı</t>
  </si>
  <si>
    <t xml:space="preserve"> On altı</t>
  </si>
  <si>
    <t xml:space="preserve"> on altı</t>
  </si>
  <si>
    <t xml:space="preserve"> Altmış</t>
  </si>
  <si>
    <t xml:space="preserve"> altmış</t>
  </si>
  <si>
    <t xml:space="preserve"> Altı yüz</t>
  </si>
  <si>
    <t xml:space="preserve"> altı yüz</t>
  </si>
  <si>
    <t xml:space="preserve"> Yeddi</t>
  </si>
  <si>
    <t xml:space="preserve"> yeddi</t>
  </si>
  <si>
    <t xml:space="preserve"> On yeddi</t>
  </si>
  <si>
    <t xml:space="preserve"> on yeddi</t>
  </si>
  <si>
    <t xml:space="preserve"> Yetmiş</t>
  </si>
  <si>
    <t xml:space="preserve"> yetmiş</t>
  </si>
  <si>
    <t xml:space="preserve"> Yeddi yüz</t>
  </si>
  <si>
    <t xml:space="preserve"> yeddi yüz</t>
  </si>
  <si>
    <t xml:space="preserve"> Səkkiz</t>
  </si>
  <si>
    <t xml:space="preserve"> səkkiz</t>
  </si>
  <si>
    <t xml:space="preserve"> On səkkiz</t>
  </si>
  <si>
    <t xml:space="preserve"> on səkkiz</t>
  </si>
  <si>
    <t xml:space="preserve"> Səksən</t>
  </si>
  <si>
    <t xml:space="preserve"> səksən</t>
  </si>
  <si>
    <t xml:space="preserve"> Səkkiz yüz</t>
  </si>
  <si>
    <t xml:space="preserve"> səkkiz yüz</t>
  </si>
  <si>
    <t xml:space="preserve"> Doqquz</t>
  </si>
  <si>
    <t xml:space="preserve"> doqquz</t>
  </si>
  <si>
    <t xml:space="preserve"> On doqquz</t>
  </si>
  <si>
    <t xml:space="preserve"> on doqquz</t>
  </si>
  <si>
    <t xml:space="preserve"> Doxsan</t>
  </si>
  <si>
    <t xml:space="preserve"> doxsan</t>
  </si>
  <si>
    <t xml:space="preserve"> Doqquz yüz</t>
  </si>
  <si>
    <t xml:space="preserve"> doqquz yüz</t>
  </si>
  <si>
    <t xml:space="preserve">Man.  </t>
  </si>
  <si>
    <t>в том числе НДС</t>
  </si>
  <si>
    <t>ман.</t>
  </si>
  <si>
    <t>qəp.</t>
  </si>
  <si>
    <t>)</t>
  </si>
  <si>
    <t>%</t>
  </si>
  <si>
    <t>İyirmi</t>
  </si>
  <si>
    <t>On</t>
  </si>
  <si>
    <t>Otuz</t>
  </si>
  <si>
    <t>Qırx</t>
  </si>
  <si>
    <t>Əlli</t>
  </si>
  <si>
    <t>Məbləğ:</t>
  </si>
  <si>
    <t>İllik faiz:</t>
  </si>
  <si>
    <t>Müddət:</t>
  </si>
  <si>
    <t>ay</t>
  </si>
  <si>
    <t>Tarix</t>
  </si>
  <si>
    <t>Ödəniş</t>
  </si>
  <si>
    <t>BORCALAN</t>
  </si>
  <si>
    <t>Сумма:</t>
  </si>
  <si>
    <t>манат</t>
  </si>
  <si>
    <t>Срок:</t>
  </si>
  <si>
    <t>месяц</t>
  </si>
  <si>
    <t>(месяц,квартал или полугодие)</t>
  </si>
  <si>
    <t>Льготный:</t>
  </si>
  <si>
    <t>Год. Ставка</t>
  </si>
  <si>
    <t>Дата выдачи</t>
  </si>
  <si>
    <t>Сальдо</t>
  </si>
  <si>
    <t>Выплаты</t>
  </si>
  <si>
    <t>( Д )</t>
  </si>
  <si>
    <t>кредита</t>
  </si>
  <si>
    <t>Основная сумма</t>
  </si>
  <si>
    <t>Проценты</t>
  </si>
  <si>
    <t>Всего к выплате</t>
  </si>
  <si>
    <t>Д +</t>
  </si>
  <si>
    <t>ИТОГО</t>
  </si>
  <si>
    <r>
      <t>Int.rate/</t>
    </r>
    <r>
      <rPr>
        <b/>
        <i/>
        <sz val="8"/>
        <rFont val="Arial"/>
        <family val="2"/>
      </rPr>
      <t>period</t>
    </r>
    <r>
      <rPr>
        <i/>
        <sz val="8"/>
        <rFont val="Arial"/>
        <family val="2"/>
      </rPr>
      <t>:</t>
    </r>
  </si>
  <si>
    <t xml:space="preserve"> USD</t>
  </si>
  <si>
    <t xml:space="preserve"> EUR</t>
  </si>
  <si>
    <t>LA-2.1.</t>
  </si>
  <si>
    <t>LA-2.2.</t>
  </si>
  <si>
    <t>LA-2.7.</t>
  </si>
  <si>
    <t>LA-2.6.</t>
  </si>
  <si>
    <t>LA-3.2.6.</t>
  </si>
  <si>
    <t>LA-3.3.3.</t>
  </si>
  <si>
    <t>LA-7.2.</t>
  </si>
  <si>
    <t>GA-2.2.</t>
  </si>
  <si>
    <t xml:space="preserve"> AZN</t>
  </si>
  <si>
    <t>Borcalan</t>
  </si>
  <si>
    <t xml:space="preserve">                     ƏRİZƏ</t>
  </si>
  <si>
    <t>Kreditin verilmə tarixi</t>
  </si>
  <si>
    <t>Kreditin son tarixi</t>
  </si>
  <si>
    <t>№ Müqavilə</t>
  </si>
  <si>
    <t>Borcalan Haqında</t>
  </si>
  <si>
    <t>Borcalan haqında</t>
  </si>
  <si>
    <t>Kreditin məbləği</t>
  </si>
  <si>
    <t>Kreditin müddəti</t>
  </si>
  <si>
    <t>Güzəşt müddəti</t>
  </si>
  <si>
    <t>Aylıq ödəniş</t>
  </si>
  <si>
    <t>verilmə tarixi</t>
  </si>
  <si>
    <t>MƏLUMAT  PƏNCƏRƏSİ</t>
  </si>
  <si>
    <t xml:space="preserve">Məbləğ yazı ilə:  </t>
  </si>
  <si>
    <t>Şəxsiyyət vəsiqəsi</t>
  </si>
  <si>
    <t>Kim tərəfindən verilib</t>
  </si>
  <si>
    <t>Qeydiyyat ünvanı</t>
  </si>
  <si>
    <t xml:space="preserve">faktiki yaşayış ünvanı </t>
  </si>
  <si>
    <t>Telfonlar</t>
  </si>
  <si>
    <t>Borcalanın rekvizitləri</t>
  </si>
  <si>
    <t>kod</t>
  </si>
  <si>
    <t>M.Y</t>
  </si>
  <si>
    <t>Kredit Müqaviləsi</t>
  </si>
  <si>
    <t>1.</t>
  </si>
  <si>
    <t>2.</t>
  </si>
  <si>
    <t xml:space="preserve">% </t>
  </si>
  <si>
    <t xml:space="preserve"> Aylar</t>
  </si>
  <si>
    <t xml:space="preserve">Faiz Dərəcəsi                     </t>
  </si>
  <si>
    <t xml:space="preserve"> İllik % </t>
  </si>
  <si>
    <t>cu il</t>
  </si>
  <si>
    <t xml:space="preserve"> </t>
  </si>
  <si>
    <t>Kreditin növü</t>
  </si>
  <si>
    <t>Müəssisənin mülkiyyət forması</t>
  </si>
  <si>
    <t>Fiziki şəxs</t>
  </si>
  <si>
    <t>Fəaliyyət növü (borcalan fiziki şəxsdirsə məşquliyyət növü)</t>
  </si>
  <si>
    <t>Maliyə Təhlili</t>
  </si>
  <si>
    <t>Qənaətbəxş</t>
  </si>
  <si>
    <t>Digər şərtlər</t>
  </si>
  <si>
    <t>yoxdur</t>
  </si>
  <si>
    <t>Qeyriqənəatbəxş</t>
  </si>
  <si>
    <t>Vətəndaşlığı</t>
  </si>
  <si>
    <t>Azərbaycanlı</t>
  </si>
  <si>
    <t>Ailə vəziyəti</t>
  </si>
  <si>
    <t>Uşaqların sayı və təvəllüdü</t>
  </si>
  <si>
    <t>Təhsili</t>
  </si>
  <si>
    <t>İşlədiyi yerin hüquqi adı</t>
  </si>
  <si>
    <t>İşlədiyi yerin ünvanı</t>
  </si>
  <si>
    <t>Tutdulduğu vəzifə və staj</t>
  </si>
  <si>
    <t>Aylıq əmək haqqı</t>
  </si>
  <si>
    <t>Ödənilmə mənbələri</t>
  </si>
  <si>
    <t>Gəlirlərin təxmini cəmi</t>
  </si>
  <si>
    <t>Xərclərin cəmi</t>
  </si>
  <si>
    <t>Xalis gəlir (ixrac)</t>
  </si>
  <si>
    <t>ci il.</t>
  </si>
  <si>
    <t>man</t>
  </si>
  <si>
    <t>В ячейке Е2 должна быть ссылка на исходное число</t>
  </si>
  <si>
    <t>Заглавная без НДС</t>
  </si>
  <si>
    <t xml:space="preserve">Сегодня с утра судя по всему было </t>
  </si>
  <si>
    <t>Заглавная с НДС</t>
  </si>
  <si>
    <t>маленькая без НДС</t>
  </si>
  <si>
    <t>маленькая с НДС</t>
  </si>
  <si>
    <t>Для справки - смотрите примечания к ячейкам E4 B8 B9 этого листа и H2 и C34 предыдущего.</t>
  </si>
  <si>
    <t xml:space="preserve"> (в т.ч. НДС - </t>
  </si>
  <si>
    <t>рублей</t>
  </si>
  <si>
    <t>doqquz yüz</t>
  </si>
  <si>
    <t>doqquz</t>
  </si>
  <si>
    <t xml:space="preserve"> min</t>
  </si>
  <si>
    <t>коп.</t>
  </si>
  <si>
    <t xml:space="preserve"> yüz</t>
  </si>
  <si>
    <t xml:space="preserve">Автор : Ap0st0l  |  Рихтовал: 0legator     ©2005 </t>
  </si>
  <si>
    <t>http://www.allok.ru/</t>
  </si>
  <si>
    <t>Замечания и пожелания - сюда:</t>
  </si>
  <si>
    <t>olegator@allok.ru</t>
  </si>
  <si>
    <t xml:space="preserve"> (Bir</t>
  </si>
  <si>
    <t xml:space="preserve"> (Iki</t>
  </si>
  <si>
    <t xml:space="preserve"> (Üç</t>
  </si>
  <si>
    <t xml:space="preserve"> (Dörd</t>
  </si>
  <si>
    <t xml:space="preserve"> (Beş</t>
  </si>
  <si>
    <t xml:space="preserve"> (Altı</t>
  </si>
  <si>
    <t xml:space="preserve"> (Yeddi</t>
  </si>
  <si>
    <t xml:space="preserve"> (Səkkiz</t>
  </si>
  <si>
    <t xml:space="preserve"> (Doqquz</t>
  </si>
  <si>
    <t xml:space="preserve"> (on</t>
  </si>
  <si>
    <t xml:space="preserve"> Iki</t>
  </si>
  <si>
    <t xml:space="preserve">AZƏRBAYCAN RESPUBLIKASI </t>
  </si>
  <si>
    <t>arasında</t>
  </si>
  <si>
    <t>№ li</t>
  </si>
  <si>
    <t>Ödəmə Qrafiki</t>
  </si>
  <si>
    <t>Forma 4</t>
  </si>
  <si>
    <t>Əmək haqqı</t>
  </si>
  <si>
    <t>Zaminlərin rekvizitləri</t>
  </si>
  <si>
    <t>ZAMİN 1</t>
  </si>
  <si>
    <t>Ad,Soy ad, Atasının adı</t>
  </si>
  <si>
    <t>ZAMİN 2</t>
  </si>
  <si>
    <t>Bakı şəhəri</t>
  </si>
  <si>
    <t>AZN</t>
  </si>
  <si>
    <t xml:space="preserve"> Manat</t>
  </si>
  <si>
    <t>il</t>
  </si>
  <si>
    <t>Telefonlar</t>
  </si>
  <si>
    <t xml:space="preserve"> (İki</t>
  </si>
  <si>
    <t>16 Mart 2011</t>
  </si>
  <si>
    <t>Baş mühasib</t>
  </si>
  <si>
    <t>FormaN-1</t>
  </si>
  <si>
    <t xml:space="preserve">                                            </t>
  </si>
  <si>
    <t>XƏZİNƏ MƏXARİC ORDERİ</t>
  </si>
  <si>
    <t>№____________</t>
  </si>
  <si>
    <t xml:space="preserve">   Gün</t>
  </si>
  <si>
    <t xml:space="preserve">      Ay</t>
  </si>
  <si>
    <t>Korrespondent hesab,</t>
  </si>
  <si>
    <t xml:space="preserve">  Analitik uçotun şifri</t>
  </si>
  <si>
    <r>
      <t xml:space="preserve">    </t>
    </r>
    <r>
      <rPr>
        <sz val="8"/>
        <rFont val="Arial"/>
        <family val="2"/>
        <charset val="204"/>
      </rPr>
      <t>Məbləğ</t>
    </r>
  </si>
  <si>
    <t>Məqsədli</t>
  </si>
  <si>
    <t xml:space="preserve">            subhesab</t>
  </si>
  <si>
    <t>təyinatın şifri</t>
  </si>
  <si>
    <t xml:space="preserve">    Verilsin</t>
  </si>
  <si>
    <t>(Soyadı,adı,atasının adı)</t>
  </si>
  <si>
    <t xml:space="preserve">       Əsas</t>
  </si>
  <si>
    <t>Kreditin verilməsi</t>
  </si>
  <si>
    <t>(yazı ilə məbləğ)</t>
  </si>
  <si>
    <t xml:space="preserve">          Bankın müdiri </t>
  </si>
  <si>
    <t xml:space="preserve">         Aldı</t>
  </si>
  <si>
    <t>İmza______________</t>
  </si>
  <si>
    <t xml:space="preserve">                             AZE N 06401529 ;Suraxanı RPİ 10,07,2009</t>
  </si>
  <si>
    <t>Verib xəzinədar_________________</t>
  </si>
  <si>
    <t>qəp</t>
  </si>
  <si>
    <t xml:space="preserve">AZE N                         </t>
  </si>
  <si>
    <t xml:space="preserve">Nağd ödəniş üçün </t>
  </si>
  <si>
    <t>ELAN №</t>
  </si>
  <si>
    <t>Bu hesaba</t>
  </si>
  <si>
    <t>köçürmək üçün №</t>
  </si>
  <si>
    <t>rəqəmlə məbləğ</t>
  </si>
  <si>
    <t xml:space="preserve">       </t>
  </si>
  <si>
    <t>Ödəyənin imzası</t>
  </si>
  <si>
    <t>Mühasib</t>
  </si>
  <si>
    <t>Pulu qəbul edən xəzinədar</t>
  </si>
  <si>
    <t xml:space="preserve">        </t>
  </si>
  <si>
    <t>QƏBZ №</t>
  </si>
  <si>
    <t>ОRDER №</t>
  </si>
  <si>
    <t>Debet</t>
  </si>
  <si>
    <t>Məbləğ</t>
  </si>
  <si>
    <t>hes. № 1001</t>
  </si>
  <si>
    <t>Kredit</t>
  </si>
  <si>
    <t>Ümumi</t>
  </si>
  <si>
    <t>fərdi</t>
  </si>
  <si>
    <t xml:space="preserve">                    </t>
  </si>
  <si>
    <t>əməl. növü</t>
  </si>
  <si>
    <t>ödən.təyin</t>
  </si>
  <si>
    <t>bank qr. №-si</t>
  </si>
  <si>
    <t>Xəzinədar</t>
  </si>
  <si>
    <t>Кimə:                     Süleymanova Aysel Namiq qızı</t>
  </si>
  <si>
    <t>Kimdən:                     Fərzəlizadə Fuad Teymur oğlu</t>
  </si>
  <si>
    <t>Faiz</t>
  </si>
  <si>
    <t xml:space="preserve"> ) Manat</t>
  </si>
  <si>
    <t xml:space="preserve"> (bir</t>
  </si>
  <si>
    <t>20 avqust 2014-cü il</t>
  </si>
  <si>
    <t>BOKT</t>
  </si>
  <si>
    <t>1300480591</t>
  </si>
  <si>
    <r>
      <t>“</t>
    </r>
    <r>
      <rPr>
        <b/>
        <sz val="12"/>
        <color indexed="10"/>
        <rFont val="Times New Roman"/>
        <family val="1"/>
        <charset val="204"/>
      </rPr>
      <t>Zaminbank”</t>
    </r>
    <r>
      <rPr>
        <b/>
        <sz val="12"/>
        <color indexed="10"/>
        <rFont val="AzL Arial"/>
        <family val="2"/>
        <charset val="204"/>
      </rPr>
      <t xml:space="preserve">АSC-nin </t>
    </r>
    <r>
      <rPr>
        <b/>
        <sz val="12"/>
        <color indexed="10"/>
        <rFont val="Times New Roman"/>
        <family val="1"/>
        <charset val="204"/>
      </rPr>
      <t>“Bakı”</t>
    </r>
    <r>
      <rPr>
        <b/>
        <sz val="12"/>
        <color indexed="10"/>
        <rFont val="AzL Arial"/>
        <family val="2"/>
        <charset val="204"/>
      </rPr>
      <t xml:space="preserve"> filialı</t>
    </r>
  </si>
  <si>
    <r>
      <t xml:space="preserve">VÖEN </t>
    </r>
    <r>
      <rPr>
        <sz val="12"/>
        <color indexed="10"/>
        <rFont val="Times New Roman"/>
        <family val="1"/>
        <charset val="204"/>
      </rPr>
      <t>1400009111</t>
    </r>
    <r>
      <rPr>
        <sz val="12"/>
        <color indexed="10"/>
        <rFont val="AzL Arial"/>
        <family val="2"/>
        <charset val="204"/>
      </rPr>
      <t xml:space="preserve">                                                                                        </t>
    </r>
    <r>
      <rPr>
        <u/>
        <sz val="12"/>
        <rFont val="AzL Arial"/>
        <family val="2"/>
        <charset val="204"/>
      </rPr>
      <t/>
    </r>
  </si>
  <si>
    <t>Kredit məbləği</t>
  </si>
  <si>
    <t>Bank Olmayan Kredit Təşkilatı</t>
  </si>
  <si>
    <t>Məbləğ rəqəmlə:</t>
  </si>
  <si>
    <t>Məbləğ yazı ilə:</t>
  </si>
  <si>
    <t xml:space="preserve">Əlavə informasiya: </t>
  </si>
  <si>
    <t>cü il</t>
  </si>
  <si>
    <t>Alanın bankı:  "Zaminbank" ASC-nin 6 saylı şöbəsi</t>
  </si>
  <si>
    <t>Аlanın bankı: "Zaminbank" ASC-nin 6 saylı şöbəsi</t>
  </si>
  <si>
    <t>Ödənişin təyinatı: Kreditin xidmət haqqısı</t>
  </si>
  <si>
    <t>kredit müqaviləsi №</t>
  </si>
  <si>
    <t>BOKT aidiyyatı olan şəxs</t>
  </si>
  <si>
    <t>Yoxdur</t>
  </si>
  <si>
    <t>AZ36ZAMI00041537081AZMC00001</t>
  </si>
  <si>
    <t>Alanın bankı:  "Zaminbank" ASC-yə</t>
  </si>
  <si>
    <t>"Paşa-Həyat" sığortaya</t>
  </si>
  <si>
    <t>Otuz manat</t>
  </si>
  <si>
    <t>Ödənişin təyinatı: Kreditin sığorta haqqısı</t>
  </si>
  <si>
    <t>"İDEAL KREDİT" MMC</t>
  </si>
  <si>
    <t>İDEAL KREDİT BOKT</t>
  </si>
  <si>
    <t>Müraciət</t>
  </si>
  <si>
    <t>Məhsul</t>
  </si>
  <si>
    <t>Müştəri (S/A/A)</t>
  </si>
  <si>
    <t>İş yeri və vəzifəsi</t>
  </si>
  <si>
    <t xml:space="preserve">Əlavə gəliri </t>
  </si>
  <si>
    <t>Ailə gəlirləri</t>
  </si>
  <si>
    <t>Maksimum kredit məbləği</t>
  </si>
  <si>
    <t>Cari qalıq borc</t>
  </si>
  <si>
    <t xml:space="preserve">Aktiv kreditlərin sayı </t>
  </si>
  <si>
    <t>4 ədəd</t>
  </si>
  <si>
    <t>Toplam aylıq ödənişi</t>
  </si>
  <si>
    <t>Ortalama gecikmə günləri</t>
  </si>
  <si>
    <t>Cari limiti (cari borc çıxıldıqdan sonra)</t>
  </si>
  <si>
    <t>Lizinq predmetinin dəyəri</t>
  </si>
  <si>
    <t>74 azn</t>
  </si>
  <si>
    <t>İlkin ödəniş</t>
  </si>
  <si>
    <t>0 azn</t>
  </si>
  <si>
    <t>Kreditin təyinatı</t>
  </si>
  <si>
    <t>Kredit Komitesine və ya İLS-ə çıxma səbəbi</t>
  </si>
  <si>
    <t>müştəri limiti və filialın limitini keçir</t>
  </si>
  <si>
    <t>KREDİT MÜTƏXƏSSİSİNİN RƏYİ</t>
  </si>
  <si>
    <t>Müştərinin şəxsi keyfiyyətlərini, kredit tarixcəsini və aylıq gəlirlərini nəzərə alaraq kreditin verilməsini uyğun hesab edirəm.</t>
  </si>
  <si>
    <t>Müraciət edilən kreditin müddəti (aylar)</t>
  </si>
  <si>
    <t>Kredit mütəxəssisi (A.A.S):</t>
  </si>
  <si>
    <t>altı yüz on manat</t>
  </si>
  <si>
    <t>Yox</t>
  </si>
  <si>
    <t>AZ05AZPO91015461400420200413</t>
  </si>
  <si>
    <t>Ödəniş  tapşırığı   № 680</t>
  </si>
  <si>
    <t>A1.Emitent ( ödəyən ) bank</t>
  </si>
  <si>
    <t>B1.Benefisiar: ( alan ) bank</t>
  </si>
  <si>
    <t>Adı:</t>
  </si>
  <si>
    <t>Azərpoçt MMC PF1</t>
  </si>
  <si>
    <t xml:space="preserve">Kodu: </t>
  </si>
  <si>
    <t xml:space="preserve">VÖEN: </t>
  </si>
  <si>
    <t>Müxbir hesabı:</t>
  </si>
  <si>
    <t>AZ76NABZ01350100000000094944</t>
  </si>
  <si>
    <t xml:space="preserve">S.W.I.F.T. Bik: </t>
  </si>
  <si>
    <t>AZPOAZ22</t>
  </si>
  <si>
    <t>A2. Ödəyən müştəri</t>
  </si>
  <si>
    <t>B2. Alan  müştəri</t>
  </si>
  <si>
    <t>"Ideal Kredit" BOKT MMC</t>
  </si>
  <si>
    <t xml:space="preserve">Hesab №-si: </t>
  </si>
  <si>
    <t>C1. Valyuta növü:                  AZN</t>
  </si>
  <si>
    <t>C2. Köçürülən</t>
  </si>
  <si>
    <t xml:space="preserve">D1. Ödənişin təyinatı və əsas: </t>
  </si>
  <si>
    <t>D2.: Ödənişlə əlaqədar</t>
  </si>
  <si>
    <t xml:space="preserve">Müştərinin imzaları     </t>
  </si>
  <si>
    <t>M.Y.</t>
  </si>
  <si>
    <t xml:space="preserve">Bankın imzaları:                   </t>
  </si>
  <si>
    <t>İcra qeydi:</t>
  </si>
  <si>
    <t>Vəsaitin qeyd olunan rekvizitlər üzrə köçürülməsini öz imza və möhürümüzlə təsdiq edirik.</t>
  </si>
  <si>
    <t>Ссуданын юдянилмяси цчцн</t>
  </si>
  <si>
    <t>Фаизин юдянилмяси цчцн</t>
  </si>
  <si>
    <t>Ссуда вя фаизин юдянилмяси цчцн</t>
  </si>
  <si>
    <t>Пластик карт кредити цзря юдяниш</t>
  </si>
  <si>
    <t xml:space="preserve"> Z13&amp;AA13&amp; " qəpik"</t>
  </si>
  <si>
    <t xml:space="preserve">icra etməsi üçün məsuliyyəti öz üzərinə götürürür. </t>
  </si>
  <si>
    <t xml:space="preserve">Müdir: </t>
  </si>
  <si>
    <t>KREDİT  SİFARİŞİ</t>
  </si>
  <si>
    <t>Həbibov Elvin Namiq oğlu</t>
  </si>
  <si>
    <r>
      <t>Hüquqi ünvan:</t>
    </r>
    <r>
      <rPr>
        <sz val="10"/>
        <rFont val="Arial"/>
        <family val="2"/>
      </rPr>
      <t xml:space="preserve"> Bakı şəhəri, F.Xoyski küç. 111"A", m.26</t>
    </r>
  </si>
  <si>
    <r>
      <t xml:space="preserve">saylı kredit müqaviləsinin müddəti bitdiyi tarixdən əlavə </t>
    </r>
    <r>
      <rPr>
        <b/>
        <sz val="10"/>
        <rFont val="Arial"/>
        <family val="2"/>
        <charset val="204"/>
      </rPr>
      <t>3 il</t>
    </r>
    <r>
      <rPr>
        <sz val="10"/>
        <rFont val="Arial"/>
        <family val="2"/>
        <charset val="204"/>
      </rPr>
      <t xml:space="preserve"> müddətinə qüvvədədir.</t>
    </r>
  </si>
  <si>
    <t>Yaşadığı ünvanı</t>
  </si>
  <si>
    <t>% olmaqla</t>
  </si>
  <si>
    <t>"İDEAL KREDİT" BOKT MMC</t>
  </si>
  <si>
    <t>Ş/V №</t>
  </si>
  <si>
    <t>"Borcalan" ilə əlaqəli digər ünvanlara bildiriş (xəbərdarlıq və ya hər hansı məlumatlandırıcı məktub) göndərmək;</t>
  </si>
  <si>
    <r>
      <t xml:space="preserve">("borcalan" əl ilə </t>
    </r>
    <r>
      <rPr>
        <b/>
        <sz val="9"/>
        <rFont val="Arial"/>
        <family val="2"/>
        <charset val="204"/>
      </rPr>
      <t>"tanış oldum razıyam"</t>
    </r>
    <r>
      <rPr>
        <sz val="9"/>
        <rFont val="Arial"/>
        <family val="2"/>
        <charset val="204"/>
      </rPr>
      <t xml:space="preserve"> yazır və</t>
    </r>
    <r>
      <rPr>
        <b/>
        <sz val="9"/>
        <rFont val="Arial"/>
        <family val="2"/>
        <charset val="204"/>
      </rPr>
      <t xml:space="preserve"> "tarixi qeyd edir"</t>
    </r>
    <r>
      <rPr>
        <sz val="9"/>
        <rFont val="Arial"/>
        <family val="2"/>
        <charset val="204"/>
      </rPr>
      <t>)</t>
    </r>
  </si>
  <si>
    <t>6.TƏRƏFLƏRİN REKVİZİTLƏRİ:</t>
  </si>
  <si>
    <t>Zaminin razılığı olmadan üçüncü şəxslərə verə (transfer edə) bilər. Zamin isə yalnız BOKT-nin yazılı razılığı ilə bu hüquqa malikdir.</t>
  </si>
  <si>
    <r>
      <t xml:space="preserve">("Borcalan" əl ilə </t>
    </r>
    <r>
      <rPr>
        <b/>
        <sz val="9"/>
        <rFont val="Arial"/>
        <family val="2"/>
        <charset val="204"/>
      </rPr>
      <t>"tanış oldum razıyam"</t>
    </r>
    <r>
      <rPr>
        <sz val="9"/>
        <rFont val="Arial"/>
        <family val="2"/>
        <charset val="204"/>
      </rPr>
      <t xml:space="preserve"> yazır və</t>
    </r>
    <r>
      <rPr>
        <b/>
        <sz val="9"/>
        <rFont val="Arial"/>
        <family val="2"/>
        <charset val="204"/>
      </rPr>
      <t xml:space="preserve"> "tarixi qeyd edir"</t>
    </r>
    <r>
      <rPr>
        <sz val="9"/>
        <rFont val="Arial"/>
        <family val="2"/>
        <charset val="204"/>
      </rPr>
      <t>)</t>
    </r>
  </si>
  <si>
    <r>
      <t xml:space="preserve">("Zamin" əl ilə </t>
    </r>
    <r>
      <rPr>
        <b/>
        <sz val="9"/>
        <rFont val="Arial"/>
        <family val="2"/>
        <charset val="204"/>
      </rPr>
      <t>"tanış oldum razıyam"</t>
    </r>
    <r>
      <rPr>
        <sz val="9"/>
        <rFont val="Arial"/>
        <family val="2"/>
        <charset val="204"/>
      </rPr>
      <t xml:space="preserve"> yazır və</t>
    </r>
    <r>
      <rPr>
        <b/>
        <sz val="9"/>
        <rFont val="Arial"/>
        <family val="2"/>
        <charset val="204"/>
      </rPr>
      <t xml:space="preserve"> "tarixi qeyd edir"</t>
    </r>
    <r>
      <rPr>
        <sz val="9"/>
        <rFont val="Arial"/>
        <family val="2"/>
        <charset val="204"/>
      </rPr>
      <t>)</t>
    </r>
  </si>
  <si>
    <t>5.TƏRƏFLƏRİN REKVİZİTLƏRİ:</t>
  </si>
  <si>
    <t xml:space="preserve">yeri və ya iş yeri, yaxud işə götürənin dəyişilməsi, həmçinin pasport məlumatları, telefonları, elektron poçt məlumatları, eləcə də digər rekvizitlərinin </t>
  </si>
  <si>
    <t>dəyişilməsi haqqında həmin dəyişiklikdən edibarən 5 (beş) gün ərzində "BOKT"ni xəbərdar etmək;</t>
  </si>
  <si>
    <t xml:space="preserve">digər tərəfdən və gələcəkdə Zamin adlanacaq fiziki şəxs </t>
  </si>
  <si>
    <t>Ş/V  №</t>
  </si>
  <si>
    <t>məbləğində</t>
  </si>
  <si>
    <t>kredit verəsiniz.</t>
  </si>
  <si>
    <t>saylı kredit müqaviləsinə 1 Saylı əlavə</t>
  </si>
  <si>
    <t>Güzəşt müd:</t>
  </si>
  <si>
    <t>Aylıq ödəniş:</t>
  </si>
  <si>
    <t>Ayların sayı</t>
  </si>
  <si>
    <t>Əsas borc</t>
  </si>
  <si>
    <t>Qalıq</t>
  </si>
  <si>
    <t>Cərimə:</t>
  </si>
  <si>
    <t>Gecikdirilmiş əsas məbləğə hər gün 1% cərimə hesablanır.</t>
  </si>
  <si>
    <t>Ödəniş etmək üçün məlumatlar</t>
  </si>
  <si>
    <t>Doğum tarixi:</t>
  </si>
  <si>
    <t>Ödəniş sistemləri ilə ödəmək üçün</t>
  </si>
  <si>
    <t>Bank Hesablarımıza ödəmək üçün</t>
  </si>
  <si>
    <t xml:space="preserve">Azərpoçt MMC PF 1 </t>
  </si>
  <si>
    <t>H/h: AZ05AZPO91015461400420200413</t>
  </si>
  <si>
    <t>* Bu hesab üzrə istənilən filialdan ödəmək olar.</t>
  </si>
  <si>
    <t>Beynəlxalq Bank ASC Nərimanov filialı</t>
  </si>
  <si>
    <t>H/h: AZ42IBAZ40090019442129326206</t>
  </si>
  <si>
    <t>İDEAL KREDİT -in ünvanı:</t>
  </si>
  <si>
    <r>
      <t>Qeyd: *</t>
    </r>
    <r>
      <rPr>
        <b/>
        <sz val="10"/>
        <rFont val="Times New Roman"/>
        <family val="1"/>
        <charset val="204"/>
      </rPr>
      <t xml:space="preserve"> Ödənişlər yalnız göstərilmiş banklar və digər ödəmə vasitələri (kassa, ödəniş terminalı, onlayn ödəniş) ilə edilməlidir.</t>
    </r>
  </si>
  <si>
    <t>ÖDƏNİŞ QRAFİKİ</t>
  </si>
  <si>
    <t xml:space="preserve">Mebel alan şəxs: </t>
  </si>
  <si>
    <t>(Adı və soyadı)</t>
  </si>
  <si>
    <t xml:space="preserve">Tələb olunan kredit məbləği: </t>
  </si>
  <si>
    <t>Telefon nömrələri:</t>
  </si>
  <si>
    <t>Mebel predmeti haqqında məlumat:</t>
  </si>
  <si>
    <t>Mebelin adı</t>
  </si>
  <si>
    <t>Sayı</t>
  </si>
  <si>
    <t>Bir vahidinin qiyməti</t>
  </si>
  <si>
    <t>Ümumi məbləğ</t>
  </si>
  <si>
    <t>CƏMİ</t>
  </si>
  <si>
    <t>(İmza)</t>
  </si>
  <si>
    <t>Saylı kredit müqaviləsi üzrə Girov AKT-ı</t>
  </si>
  <si>
    <r>
      <t xml:space="preserve">qurtarana kimi </t>
    </r>
    <r>
      <rPr>
        <b/>
        <sz val="11"/>
        <rFont val="Times New Roman"/>
        <family val="1"/>
        <charset val="204"/>
      </rPr>
      <t>"İDEAL KREDİT" BOKT</t>
    </r>
    <r>
      <rPr>
        <sz val="11"/>
        <rFont val="Times New Roman"/>
        <family val="1"/>
        <charset val="204"/>
      </rPr>
      <t xml:space="preserve">-da girovdadır və onun mülkiyyətidir. Əgər kredit borcumu vaxtı-vaxtında ödəyə </t>
    </r>
  </si>
  <si>
    <t xml:space="preserve">etmələrinə heç bir etirazım yoxdur və bildirirəm ki, müsadirə anına BOKT-a olan borcum qarşılığında bu aktda qeyd edilmiş </t>
  </si>
  <si>
    <t>bütün mebel predmetlərini qeyri şərtsiz BOKT-nin əməkdaşlarına təhvil verəcəm və bunu aşağıda öz imzamla təsdiq edirəm.</t>
  </si>
  <si>
    <t xml:space="preserve">arasında </t>
  </si>
  <si>
    <t xml:space="preserve">ci il tarixdə Bakı şəhərində bağlanmış </t>
  </si>
  <si>
    <t xml:space="preserve">ödənilməsinə görə BOKT və Zamin qarşısında məsuliyyət daşıyır. </t>
  </si>
  <si>
    <t>vurduğu zərəri tam həcmdə ödəməlidir.</t>
  </si>
  <si>
    <t>məhkəmə qaydasında həll ediləcəkdir.</t>
  </si>
  <si>
    <t xml:space="preserve">özünə məxsus bütün daşınar və daşınmaz əmlakları ilə BOKT-la </t>
  </si>
  <si>
    <t xml:space="preserve">Borcalan arasında bağlanmış </t>
  </si>
  <si>
    <t xml:space="preserve">il tarixli, </t>
  </si>
  <si>
    <t>saylı kredit müqaviləsi üzrə Borcalanın BOKT qarşısında öhdəliklərini</t>
  </si>
  <si>
    <t xml:space="preserve">(reqres tələblə əlaqədar)  və həmin tələbi təmin edən hüquqların ona verilməsini  tələb edə bilər. </t>
  </si>
  <si>
    <t>Mebelin getdiyi faktiki ünvan:</t>
  </si>
  <si>
    <t>23. Ötən il ərzində gəlirlər və xərclər barədə məlumatlar:</t>
  </si>
  <si>
    <t>24. Kreditin alınması üçün zəruri olan digər məlumatlar:</t>
  </si>
  <si>
    <t>Digər gəlirlərin cəmi</t>
  </si>
  <si>
    <t>ünvanda qeydiyyatda olan fiziki şəxs</t>
  </si>
  <si>
    <t xml:space="preserve">müvafiq olaraq özü haqqında məlumatların "Azərbaycan Kredit Bürosu" MMC-yə və Mərkəzi Bankın Mərkəzləşdirilmiş Kredit Reyestrinə təqdim edilməsinə </t>
  </si>
  <si>
    <t>və həmçinin "büro"da haqqında olan bütün məlumatların “İDEAL KREDİT” BOKT MMC tərəfindən sorğu edilməsinə razılıq verir.</t>
  </si>
  <si>
    <t xml:space="preserve">(şəxsiyyət vəsiqəsi № </t>
  </si>
  <si>
    <t xml:space="preserve"> Sifarişçi haqqında məlumat </t>
  </si>
  <si>
    <t>1. Adı, S.A., A.A.</t>
  </si>
  <si>
    <t>2. Şəxsiyyət vəsiqəsinin seriyası</t>
  </si>
  <si>
    <t>3. Şəxsiyyət vəsiqəsinin verilmə tarixi</t>
  </si>
  <si>
    <t>4. Kim tərəfindən verilib</t>
  </si>
  <si>
    <t>5. Doğum yeri</t>
  </si>
  <si>
    <t>Respublikası</t>
  </si>
  <si>
    <t>6. Daimi qeydiyyat ünvanı</t>
  </si>
  <si>
    <t>7. Faktiki yaşadığı ünvan</t>
  </si>
  <si>
    <t>8. Əlaqə telefonları</t>
  </si>
  <si>
    <t xml:space="preserve"> 9. Ailə vəziyyəti</t>
  </si>
  <si>
    <t>10. Uşaqlarının sayı və təvəllüdü</t>
  </si>
  <si>
    <t>11. Təhsili</t>
  </si>
  <si>
    <t>12. İşlədiyi yerin adı</t>
  </si>
  <si>
    <t>13. İşlədiyi yerin ünvanı</t>
  </si>
  <si>
    <t>14. Vəzifəsi və iş stajı</t>
  </si>
  <si>
    <t>15. Aylıq əmək haqqı məbləği (manatla)</t>
  </si>
  <si>
    <t>16. Digər gəlirlər</t>
  </si>
  <si>
    <t>17. Ailə gəlirləri</t>
  </si>
  <si>
    <t>18. Borcun alınmasına təminatçı olan digər şəxs (əgər varsa) onun haqqında qısa məlumat</t>
  </si>
  <si>
    <t>Adı, S.A., A.A.</t>
  </si>
  <si>
    <t>Şəxsiyyət vəsiqəsinin seriyası</t>
  </si>
  <si>
    <t>Şəxsiyyət vəsiqəsinin verilmə tarixi</t>
  </si>
  <si>
    <t>Doğum yeri</t>
  </si>
  <si>
    <t>Daimi qeydiyyat ünvanı</t>
  </si>
  <si>
    <t>Faktiki yaşadığı ünvan</t>
  </si>
  <si>
    <t>Əlaqə telefonları</t>
  </si>
  <si>
    <t>İşlədiyi yerin adı və vəzifəsi</t>
  </si>
  <si>
    <t>19. Borcun alınmasına təminatçı olan digər şəxs (əgər varsa) onun haqqında qısa məlumat</t>
  </si>
  <si>
    <t xml:space="preserve">      Mən, aşağıda imza edən Sizdən mənə yuxarıda qeyd olunan məbləğdə kredit vəsaiti ayırmağınızı xahiş edirəm. Bu sifarişdə göstərilən bütün məlumatların düzgünlüyünə və həqiqiliyinə zəmanət verir və istənilən mənbələrdən bu  barədə istənilən məlumatı yoxlamağa icazə verirəm. Həmçinin onu da başa düşürəm ki, bu sifarişi qəbul etməklə BOKT göstərilən məbləğdə və şərtlərlə kredit verilməsinə dair üzərinə heç bir öhdəlik götürmür.</t>
  </si>
  <si>
    <t xml:space="preserve"> (Sifariş verən şəxsin adı, soyadı və ata adı)               </t>
  </si>
  <si>
    <t>(imzası)</t>
  </si>
  <si>
    <t>seriya nömrəsi</t>
  </si>
  <si>
    <t>Seriya nömrəsi</t>
  </si>
  <si>
    <t>Gold matras</t>
  </si>
  <si>
    <t>Y/D Country D300-Ç160,Aytaşı</t>
  </si>
  <si>
    <t>fin kod</t>
  </si>
  <si>
    <t>FİN kod:</t>
  </si>
  <si>
    <t>Doğum yeri və tarixi</t>
  </si>
  <si>
    <t>Tel:  012 526 26 25</t>
  </si>
  <si>
    <r>
      <t xml:space="preserve">Ödəniş qaydası: </t>
    </r>
    <r>
      <rPr>
        <b/>
        <sz val="11"/>
        <rFont val="Times New Roman"/>
        <family val="1"/>
        <charset val="204"/>
      </rPr>
      <t>Bank xidmətləri - İDEAL KREDİT</t>
    </r>
  </si>
  <si>
    <t>Kreditin məqsədi</t>
  </si>
  <si>
    <t xml:space="preserve">ay </t>
  </si>
  <si>
    <t>müddətinə</t>
  </si>
  <si>
    <t xml:space="preserve">Yazıb sizdən xahiş edirəm ki, </t>
  </si>
  <si>
    <t>PLASTİK KARTIN</t>
  </si>
  <si>
    <t>Təhvil-Təslim Aktı</t>
  </si>
  <si>
    <r>
      <t xml:space="preserve">     Biz, aşağıda imza edənlər: </t>
    </r>
    <r>
      <rPr>
        <b/>
        <sz val="14"/>
        <color indexed="8"/>
        <rFont val="Times New Roman"/>
        <family val="1"/>
        <charset val="204"/>
      </rPr>
      <t>BOKT "İdeal Kredit" MMC-</t>
    </r>
    <r>
      <rPr>
        <sz val="14"/>
        <color indexed="8"/>
        <rFont val="Times New Roman"/>
        <family val="1"/>
        <charset val="204"/>
      </rPr>
      <t>nin adından Direktor Qubadov Qubad Baxas oğlu</t>
    </r>
  </si>
  <si>
    <t>bir tərəfdən və fiziki şəxs ("borcalan")</t>
  </si>
  <si>
    <t xml:space="preserve">digər tərəfdən bu AKT-ı </t>
  </si>
  <si>
    <t>tərtib etdik ondan ötəri ki,</t>
  </si>
  <si>
    <t>il tarixdə bağlanmış</t>
  </si>
  <si>
    <t>saylı kredit müqaviləsi</t>
  </si>
  <si>
    <t>üzrə kredit məbləği köçürülmüş</t>
  </si>
  <si>
    <t>Təhvil verdi:</t>
  </si>
  <si>
    <t>Təhvil aldı:</t>
  </si>
  <si>
    <t>İştirak etdi:</t>
  </si>
  <si>
    <t>BOKT "İdeal Kredit" MMC       Əməliyyat şöbəsi</t>
  </si>
  <si>
    <t>BOKT "İdeal Kredit" MMC      Kredit şöbəsi</t>
  </si>
  <si>
    <t>Bakı şəh, Həsən Əliyev küç. 34</t>
  </si>
  <si>
    <t>VÖEN 1300480591</t>
  </si>
  <si>
    <t>Ş/V</t>
  </si>
  <si>
    <t>imza/tarix</t>
  </si>
  <si>
    <t>nömrəli plastik kart(lar)</t>
  </si>
  <si>
    <r>
      <rPr>
        <b/>
        <sz val="14"/>
        <rFont val="Times New Roman"/>
        <family val="1"/>
        <charset val="204"/>
      </rPr>
      <t>Bakı şəhəri, Həsən Əliyev küçəsi 34,</t>
    </r>
    <r>
      <rPr>
        <sz val="14"/>
        <rFont val="Times New Roman"/>
        <family val="1"/>
        <charset val="204"/>
      </rPr>
      <t xml:space="preserve"> ünvanında borcalana təhvil verilmişdir. Borcalan bu AKT-ı imzalamaqla</t>
    </r>
  </si>
  <si>
    <t>qeyd edilən plastik kart(lar)ı təhvil aldığını təsdiq edir.</t>
  </si>
  <si>
    <t xml:space="preserve">üçüncü tərəfdən,(birlikdə Tərəflər </t>
  </si>
  <si>
    <t>adlanacaq) aşağıdakılar barədə razılığa gələrək bu  müqaviləni bağladılar.</t>
  </si>
  <si>
    <t>adlanacaq) aşağıdakılar barədə razılığa gələrək bu müqaviləni bağladılar.</t>
  </si>
  <si>
    <t>(həmçinin "Borcalan"ın əmlak və ya maliyyə vəziyyətinin pisləşməsi səbəbindən ödəmədikdə) kreditin vaxtından əvvəl tam ödənilməsini "Borcalan"dan tələb etmək;</t>
  </si>
  <si>
    <r>
      <t xml:space="preserve">saylı kredit müqaviləsinin müddəti bitdiyi tarixdən əlavə </t>
    </r>
    <r>
      <rPr>
        <b/>
        <sz val="10"/>
        <rFont val="Arial"/>
        <family val="2"/>
        <charset val="204"/>
      </rPr>
      <t>3 il</t>
    </r>
    <r>
      <rPr>
        <sz val="10"/>
        <rFont val="Arial"/>
        <family val="2"/>
        <charset val="204"/>
      </rPr>
      <t xml:space="preserve"> müddətinə qüvvədədir. </t>
    </r>
  </si>
  <si>
    <t>Abşeron ray,Biləcəri qəs,M.Mikayılov küç,döngə 3,ev.15A. Məhəllə 35 (Oba marketin yanı)</t>
  </si>
  <si>
    <t xml:space="preserve">                Bu akt ilə qəbul etdiyim mebel predmetləri BOKT "İDEAL KREDİT" MMC-yə olan kredit borcumu tam ödəyib</t>
  </si>
  <si>
    <r>
      <t>Qeyd:</t>
    </r>
    <r>
      <rPr>
        <sz val="11"/>
        <rFont val="Times New Roman"/>
        <family val="1"/>
        <charset val="204"/>
      </rPr>
      <t xml:space="preserve">   Borcalan kreditlə aldığı (BOKT-də girovda olan) mebeli təyinatı üzrə istifadə etməzsə (Kreditora xəbər etmədən</t>
    </r>
  </si>
  <si>
    <t>mebeli təhvil verilmiş ünvandan fərqli ünvana daşıyarsa və ya həmin mebelin kredit borcunu tam ödəmədən digər 3-cü şəxsə</t>
  </si>
  <si>
    <t>satarsa / bağışlayarsa) və bununla bağlı qəsdən aldatma və etibardan sui istifadə hallarına yol verərsə Kreditor Borcalandan</t>
  </si>
  <si>
    <t xml:space="preserve">kreditin  vaxtından əvvəl  tam bağlanmasını tələb  edə bilər və həmçinin  cinayət məcəlləsinin 195-ci maddəsini əsas tutaraq </t>
  </si>
  <si>
    <t>hüquq mühafizə orqanlarına müraciət edə bilər.</t>
  </si>
  <si>
    <t xml:space="preserve">bilməsəm "İDEAL KREDİT" BOKT-nin əməkdaşlarının bu AKT-da qeyd olunmuş mebel predmetlərini qeyd-şərtsiz müsadirə </t>
  </si>
  <si>
    <t>"BOKT"</t>
  </si>
  <si>
    <t>"Borcalan"</t>
  </si>
  <si>
    <t xml:space="preserve">% (annuitet qaydasında) hesablanmaqla </t>
  </si>
  <si>
    <t xml:space="preserve">ay müddətinə verilir. </t>
  </si>
  <si>
    <r>
      <rPr>
        <b/>
        <i/>
        <sz val="10"/>
        <rFont val="Arial"/>
        <family val="2"/>
        <charset val="204"/>
      </rPr>
      <t>(Əlavə №1)</t>
    </r>
    <r>
      <rPr>
        <sz val="10"/>
        <rFont val="Arial"/>
        <family val="2"/>
      </rPr>
      <t xml:space="preserve"> nəzərdə tutulmuş tarixlərdə ödəmədikdə hər gecikdirilmiş gün üçün aylıq ödəniləcək borc məbləğinin 1%-i həcmində dəbbə (cərimə) pulu ödəyir.</t>
    </r>
  </si>
  <si>
    <t xml:space="preserve">yəni tam öhdəlik üzrə məsuliyyət daşıyır. </t>
  </si>
  <si>
    <t>üzrə borcun, dəbbə (cərimə) pulu, məhkəmə xərcləri və s.) əvəzinin ödənilməsi də daxil olmaqla, "İDEAL KREDİT" BOKT qarşısında Borcalan ilə eyni həcmdə,</t>
  </si>
  <si>
    <t>üzrə borcun, dəbbə pulu, məhkəmə xərcləri və s.) əvəzinin ödənilməsi də daxil olmaqla, "İDEAL KREDİT" BOKT qarşısında Borcalan ilə eyni həcmdə,</t>
  </si>
  <si>
    <t>Kart nömrəsi</t>
  </si>
  <si>
    <t>1.MÜQAVİLƏNİN PREDMETİ</t>
  </si>
  <si>
    <t>2.TƏRƏFLƏRİN HÜQUQ VƏ VƏZİFƏLƏRİ</t>
  </si>
  <si>
    <r>
      <t xml:space="preserve">2.1.1. </t>
    </r>
    <r>
      <rPr>
        <sz val="10"/>
        <rFont val="Arial"/>
        <family val="2"/>
        <charset val="204"/>
      </rPr>
      <t xml:space="preserve">"Borcalan" bu Müqaviləyə və onun əlavə(lər)sinə uyğun olaraq ödəniş qrafikində nəzərdə tutulmuş ödəniş məbləğlərini ödəmədikdə/vaxında ödəmədikdə </t>
    </r>
  </si>
  <si>
    <t>2.2. "BOKT"nin vəzifələri:</t>
  </si>
  <si>
    <t>2.3. "Borcalan"ın hüquqları:</t>
  </si>
  <si>
    <r>
      <t xml:space="preserve">2.3.2. </t>
    </r>
    <r>
      <rPr>
        <sz val="10"/>
        <rFont val="Arial"/>
        <family val="2"/>
      </rPr>
      <t>Obyektiv səbəblərdən borcun ödənilməsində çətinlik yarandıqda, ödəniş vaxtının dəyişdirilməsi və ya restrukturizasiyası barədə "BOKT"a müraciət etmək;</t>
    </r>
  </si>
  <si>
    <t xml:space="preserve">2.4. "Borcalan"ın vəzifələri:       </t>
  </si>
  <si>
    <r>
      <t>2.4.1.</t>
    </r>
    <r>
      <rPr>
        <sz val="10"/>
        <rFont val="Arial"/>
        <family val="2"/>
      </rPr>
      <t xml:space="preserve"> Bu Müqavilə üzrə kreditin verilməsi üçün lazımi sənədləri "BOKT"nin tələbi əsasında hazırlayaraq "BOKT"yə təqdim etmək;</t>
    </r>
  </si>
  <si>
    <r>
      <t xml:space="preserve">2.4.3. </t>
    </r>
    <r>
      <rPr>
        <sz val="10"/>
        <rFont val="Arial"/>
        <family val="2"/>
      </rPr>
      <t>Ona məlum olan "BOKT"in sirri sayılan məlumatların konfedensiallığını qorumaq, əks halda bu məlumatların yayılmasına görə dəymiş ziyanı "BOKT"a ödəmək;</t>
    </r>
  </si>
  <si>
    <r>
      <t xml:space="preserve">3.1. </t>
    </r>
    <r>
      <rPr>
        <sz val="10"/>
        <rFont val="Arial"/>
        <family val="2"/>
      </rPr>
      <t>Tərəflər bu Müqavilə şərtlərinin pozulması və ya yerinə yetirilməməsi nəticəsində bir-birinə vurduqları zərərə görə tam həcmdə mülki-hüquqi məsuliyyət daşıyırlar.</t>
    </r>
  </si>
  <si>
    <r>
      <t xml:space="preserve">3.2. </t>
    </r>
    <r>
      <rPr>
        <sz val="10"/>
        <rFont val="Arial"/>
        <family val="2"/>
        <charset val="204"/>
      </rPr>
      <t>"BOKT"</t>
    </r>
    <r>
      <rPr>
        <b/>
        <sz val="10"/>
        <rFont val="Arial"/>
        <family val="2"/>
      </rPr>
      <t xml:space="preserve"> </t>
    </r>
    <r>
      <rPr>
        <sz val="10"/>
        <rFont val="Arial"/>
        <family val="2"/>
      </rPr>
      <t xml:space="preserve">"Borcalan" qarşısında "BOKT"dan asılı olmayan səbəblərə görə ("Borcalan"ın özü seçib aldığı istehlak mal(lar)ındakı qüsura, uyğunsuzluğa, mal(lar)ın </t>
    </r>
  </si>
  <si>
    <t>"Borcalan"a vaxtında verilməməsinə, "Borcalan"ın göstərdiyi ünvanda quraşdırılmamasına və hər hansı digər hallara görə) heç bir məsuliyyət daşımır.</t>
  </si>
  <si>
    <r>
      <rPr>
        <b/>
        <sz val="10"/>
        <rFont val="Arial"/>
        <family val="2"/>
        <charset val="204"/>
      </rPr>
      <t>3.3.</t>
    </r>
    <r>
      <rPr>
        <sz val="10"/>
        <rFont val="Arial"/>
        <family val="2"/>
        <charset val="204"/>
      </rPr>
      <t xml:space="preserve"> Fors-major halında (daşqın, uçqun, sel, zəlzələ və s.) müqavilənin icrası mümkün olmadıqda onun icrası həmin halın mövcud olduğu müddət ərzində dayandırılır,</t>
    </r>
  </si>
  <si>
    <t>Tərəflərdən hər biri istinad etdiyi fors-major halın mövcudluğunu və öhdəliyin icrasına təsirini sübut etməyə, fors-major hal barədə dərhal məlumat verməyə borcludur.</t>
  </si>
  <si>
    <t>Fors-major halın olması müvafiq dövlət orqanı tərəfindən təsdiq olunmalıdır. Fors-major hal bitdikdə 10 gün ərzində tərəflər öhdəliyini tam həcmdə yerinə yetirməlidir.</t>
  </si>
  <si>
    <t>3.TƏRƏFLƏRİN MƏSULİYYƏTİ</t>
  </si>
  <si>
    <r>
      <t>1.1.</t>
    </r>
    <r>
      <rPr>
        <sz val="10"/>
        <rFont val="Arial"/>
        <family val="2"/>
        <charset val="204"/>
      </rPr>
      <t xml:space="preserve"> BOKT ilə Borcalan </t>
    </r>
  </si>
  <si>
    <r>
      <t xml:space="preserve">1.2. </t>
    </r>
    <r>
      <rPr>
        <sz val="10"/>
        <rFont val="Arial"/>
        <family val="2"/>
        <charset val="204"/>
      </rPr>
      <t>Bu müqavilə üzrə "Zamin"</t>
    </r>
  </si>
  <si>
    <r>
      <t xml:space="preserve">1.3. </t>
    </r>
    <r>
      <rPr>
        <sz val="10"/>
        <rFont val="Arial"/>
        <family val="2"/>
        <charset val="204"/>
      </rPr>
      <t>Borcalan zaminliklə təmin edilmiş öhdəliyi icra etmədikdə və ya lazımınca icra etmədikdə Zamin və Borcalan BOKT qarşısında birgə məsuliyyət daşıyır.</t>
    </r>
  </si>
  <si>
    <r>
      <t xml:space="preserve">1.4. </t>
    </r>
    <r>
      <rPr>
        <sz val="10"/>
        <rFont val="Arial"/>
        <family val="2"/>
        <charset val="204"/>
      </rPr>
      <t>Borcalanın BOKT qarşısındakı öhdəlikləri icra etməməsi və ya lazımınca icra etməməsi nəticəsində BOKT-a dəyən bütün zərərlərin (kredit müqaviləsi</t>
    </r>
  </si>
  <si>
    <r>
      <t xml:space="preserve">1.5. </t>
    </r>
    <r>
      <rPr>
        <sz val="10"/>
        <rFont val="Arial"/>
        <family val="2"/>
        <charset val="204"/>
      </rPr>
      <t>Bu müqavilə üzrə zaminlik</t>
    </r>
  </si>
  <si>
    <t>2.TƏRƏFLƏRİN  HÜQUQ  VƏ  VƏZİFƏLƏRİ</t>
  </si>
  <si>
    <t>2.1. BOKT-nın hüquq və vəzifələri:</t>
  </si>
  <si>
    <r>
      <t xml:space="preserve">2.1.1. </t>
    </r>
    <r>
      <rPr>
        <sz val="10"/>
        <rFont val="Arial"/>
        <family val="2"/>
        <charset val="204"/>
      </rPr>
      <t>Borcalan BOKT qarşısında öz öhdəliklərinin icrasını lazımı səviyyədə təmin etmədikdə, BOKT Zamindən verilmiş kreditin və ona hesablanmış faiz</t>
    </r>
  </si>
  <si>
    <t>borcunun vaxtından əvvəl qaytarılmasını tələb edə bilər.</t>
  </si>
  <si>
    <r>
      <t xml:space="preserve">2.1.2. </t>
    </r>
    <r>
      <rPr>
        <sz val="10"/>
        <rFont val="Arial"/>
        <family val="2"/>
        <charset val="204"/>
      </rPr>
      <t>Zamin Borcalanın BOKT qarşısında öhdəliklərinin icrasını təmin etdikdən sonra onun yazılı müraciəti əsasında, BOKT Borcalana qarşı tələbini təsdiq</t>
    </r>
  </si>
  <si>
    <t xml:space="preserve">edən sənədləri Zaminə təqdim etməyə və həmin tələbi təmin edən hüquqları verməyə borcludur. </t>
  </si>
  <si>
    <t>2.2. Zaminin hüquq və vəzifələri:</t>
  </si>
  <si>
    <r>
      <t xml:space="preserve">2.2.1. </t>
    </r>
    <r>
      <rPr>
        <sz val="10"/>
        <rFont val="Arial"/>
        <family val="2"/>
        <charset val="204"/>
      </rPr>
      <t>Zamin Borcalanın əvəzindən onun BOKT qarşısında olan öhdəliklərini icra etdikdən sonra, BOKT-dan Borcalana qarşı tələbini təsdiq edən sənədlərin</t>
    </r>
  </si>
  <si>
    <r>
      <t xml:space="preserve">2.2.2. </t>
    </r>
    <r>
      <rPr>
        <sz val="10"/>
        <rFont val="Arial"/>
        <family val="2"/>
        <charset val="204"/>
      </rPr>
      <t>Borcalanın əvəzindən onun BOKT-a olan öhdəliyini tam şəkildə icra etdikdən sonra BOKT-nın Borcalana qarşı həmin öhdəlik üzrə hüquqlarından tam</t>
    </r>
  </si>
  <si>
    <t>istifadə edə bilər və s.</t>
  </si>
  <si>
    <r>
      <t>2.2.3.</t>
    </r>
    <r>
      <rPr>
        <sz val="10"/>
        <rFont val="Arial"/>
        <family val="2"/>
        <charset val="204"/>
      </rPr>
      <t xml:space="preserve"> Zamin BOKT-nın tələbini ödədikdə bu barədə Borcalanı xəbərdar etməyə borcludur. </t>
    </r>
  </si>
  <si>
    <t>2.3. Borcalanın hüquq və vəzifələri:</t>
  </si>
  <si>
    <r>
      <t xml:space="preserve">2.3.1. </t>
    </r>
    <r>
      <rPr>
        <sz val="10"/>
        <rFont val="Arial"/>
        <family val="2"/>
        <charset val="204"/>
      </rPr>
      <t>Zaminliklə təmin olunmuş öhdəliyi icra etmiş Borcalan bu barədə dərhal Zaminə məlumat verməlidir.</t>
    </r>
  </si>
  <si>
    <r>
      <t xml:space="preserve">2.3.2. </t>
    </r>
    <r>
      <rPr>
        <sz val="10"/>
        <rFont val="Arial"/>
        <family val="2"/>
        <charset val="204"/>
      </rPr>
      <t>Borcalan BOKT qarşısındakı öhdəlikləri icra etməməsi və ya lazımınca icra etməməsi nəticəsində BOKT-a və Zaminə dəyən bütün zərərin əvəzinin</t>
    </r>
  </si>
  <si>
    <t>3. DİGƏR MÜDDƏALAR</t>
  </si>
  <si>
    <r>
      <t xml:space="preserve">3.1. </t>
    </r>
    <r>
      <rPr>
        <sz val="10"/>
        <rFont val="Arial"/>
        <family val="2"/>
        <charset val="204"/>
      </rPr>
      <t>Tərəflər razılaşırlar ki,  Borcalan üzərinə götürdüyü öhdəliyi icra etməzsə və ya lazımınca icra etməzsə bu halda BOKT Borcalanın cərimə faizi və dəbbə</t>
    </r>
  </si>
  <si>
    <t>pulu daxil olmaqla kredit və faiz borcunu Zamin-dən tələb edə bilər.</t>
  </si>
  <si>
    <r>
      <t xml:space="preserve">3.2. </t>
    </r>
    <r>
      <rPr>
        <sz val="10"/>
        <rFont val="Arial"/>
        <family val="2"/>
        <charset val="204"/>
      </rPr>
      <t>Bu müqavilə Borcalanın BOKT qarşısındakı öhdəlikləri tam yerinə yetirildikdən sonra qüvvədən düşür.</t>
    </r>
  </si>
  <si>
    <r>
      <t xml:space="preserve">3.3. </t>
    </r>
    <r>
      <rPr>
        <sz val="10"/>
        <rFont val="Arial"/>
        <family val="2"/>
        <charset val="204"/>
      </rPr>
      <t>Bu müqavilə üzrə öz vəzifəsini icra etməyən və ya lazımınca icra etməyən tərəf digər tərəfə vurduğu zərərə görə məsuliyyət daşıyır və qarşı tərəfə</t>
    </r>
  </si>
  <si>
    <r>
      <t xml:space="preserve">3.4.  </t>
    </r>
    <r>
      <rPr>
        <sz val="10"/>
        <rFont val="Arial"/>
        <family val="2"/>
        <charset val="204"/>
      </rPr>
      <t>Zamin Borcalan tərəfindən öhdəliyin icra olunmaması və lazımınca icra olunmaması ilə əlaqədar borcun məcburi qaydada alınmasını nəzərdə tutan</t>
    </r>
  </si>
  <si>
    <t xml:space="preserve">məhkəmə qətnaməsinin tam icra olunub başa çatmasınadək hesablanan faiz borcunun BOKT-a ödənilməsini təmin etməlidir. </t>
  </si>
  <si>
    <r>
      <t xml:space="preserve">3.5. </t>
    </r>
    <r>
      <rPr>
        <sz val="10"/>
        <rFont val="Arial"/>
        <family val="2"/>
        <charset val="204"/>
      </rPr>
      <t xml:space="preserve">Zamin bu müqaviləni imzalamaqla, Bank olmayan kredit təşkilatları haqqında" Azərbaycan Respublikası Qanununa və digər qanunvericilik aktlarına </t>
    </r>
  </si>
  <si>
    <r>
      <t xml:space="preserve">3.6. </t>
    </r>
    <r>
      <rPr>
        <sz val="10"/>
        <rFont val="Arial"/>
        <family val="2"/>
        <charset val="204"/>
      </rPr>
      <t>Zamin öhdəliklərini bu Müqavilə və onun əlavə(lər)sinə uyğun şəkildə yerinə yetirmədiyi halda "BOKT" "Zamin"in yaşayış yerlərinə, iş yerlərinə və "Zamin"</t>
    </r>
  </si>
  <si>
    <t>ilə əlaqəli digər ünvanlara bildiriş (xəbərdarlıq və ya hər hansı məlumatlandırıcı məktub) göndərə bilər.</t>
  </si>
  <si>
    <r>
      <t xml:space="preserve">3.7. </t>
    </r>
    <r>
      <rPr>
        <sz val="10"/>
        <rFont val="Arial"/>
        <family val="2"/>
        <charset val="204"/>
      </rPr>
      <t>BOKT</t>
    </r>
    <r>
      <rPr>
        <b/>
        <sz val="10"/>
        <rFont val="Arial"/>
        <family val="2"/>
      </rPr>
      <t xml:space="preserve"> </t>
    </r>
    <r>
      <rPr>
        <sz val="10"/>
        <rFont val="Arial"/>
        <family val="2"/>
      </rPr>
      <t>bu Müqavilədən irəli gələn hüquq və vəzifələrini, o cümlədən, kreditin qaytarılması üçün tədbirlərin görülməsini, Zamin haqqında məlumatları</t>
    </r>
  </si>
  <si>
    <r>
      <t xml:space="preserve">3.8. </t>
    </r>
    <r>
      <rPr>
        <sz val="10"/>
        <rFont val="Arial"/>
        <family val="2"/>
        <charset val="204"/>
      </rPr>
      <t>Bu müqavilənin icrası ilə bağlı meydana çıxan bütün mübahisələr tərəflər arasında danışıqlar yolu ilə həll edilmədikdə, mövcud qanunvericiliyə uyğun</t>
    </r>
  </si>
  <si>
    <r>
      <t xml:space="preserve">3.9. </t>
    </r>
    <r>
      <rPr>
        <sz val="10"/>
        <rFont val="Arial"/>
        <family val="2"/>
        <charset val="204"/>
      </rPr>
      <t>Bu müqavilə eyni hüquqi qüvvəyə malik  2 (iki) nüsxədə tərtib edilmişdir və tərəflərin imza və möhürü ilə təsdiq edildikdən sonra qüvvəyə minir.</t>
    </r>
  </si>
  <si>
    <r>
      <t xml:space="preserve">3.10. </t>
    </r>
    <r>
      <rPr>
        <sz val="10"/>
        <rFont val="Arial"/>
        <family val="2"/>
        <charset val="204"/>
      </rPr>
      <t>Bu müqavilənin icrası ilə bağlı meydana çıxan mübahisələr tərəflər arasında danışıqlar yolu ilə həll edilmədikdə mövcud qanunvericiliyə uyğun həll edilir.</t>
    </r>
  </si>
  <si>
    <r>
      <t xml:space="preserve">3.11. </t>
    </r>
    <r>
      <rPr>
        <sz val="10"/>
        <rFont val="Arial"/>
        <family val="2"/>
      </rPr>
      <t xml:space="preserve">Öz qeydiyyat/yaşayış yerinin dəyişilməsi barədə (həmçinin borcalan və girovqoyan barəsində də) "BOKT"a məlumat vermək, olduğu yer, ticarətinin </t>
    </r>
  </si>
  <si>
    <t>4.TƏRƏFLƏRİN REKVİZİTLƏRİ:</t>
  </si>
  <si>
    <r>
      <t xml:space="preserve">1.2. </t>
    </r>
    <r>
      <rPr>
        <sz val="10"/>
        <rFont val="Arial"/>
        <family val="2"/>
        <charset val="204"/>
      </rPr>
      <t xml:space="preserve">Bu müqavilə üzrə "Zamin" </t>
    </r>
  </si>
  <si>
    <t>Rəsmi</t>
  </si>
  <si>
    <t>Rəsmi/Qeyri rəsmi gəlir:</t>
  </si>
  <si>
    <t>DİQQƏT!</t>
  </si>
  <si>
    <t>HÖRMƏTLİ MÜŞTƏRİ!</t>
  </si>
  <si>
    <t xml:space="preserve">KREDİT ÖDƏNİŞİNİZİ ÖDƏNİŞ QRAFİKİNDƏ </t>
  </si>
  <si>
    <t xml:space="preserve">NƏZƏRDƏ TUTULAN TARİXLƏRDƏ SAAT </t>
  </si>
  <si>
    <t xml:space="preserve">16:30 -DƏK ÖDƏMƏLİSİNİZ. ƏKS HALDA </t>
  </si>
  <si>
    <t>KREDİTİNİZ GECİKMƏDƏ QALACAQ.</t>
  </si>
  <si>
    <t>Qanunvericilik üzrə misli</t>
  </si>
  <si>
    <t>Ölkə üzrə minimum əmək haqqı</t>
  </si>
  <si>
    <t>İSTEHLAK KREDİTİ MÜQAVİLƏSİ ÜZRƏ STANDART MƏLUMATLANDIRMA FORMASI</t>
  </si>
  <si>
    <t>Borcverənin adı</t>
  </si>
  <si>
    <r>
      <rPr>
        <sz val="11"/>
        <rFont val="Times New Roman"/>
        <family val="1"/>
        <charset val="204"/>
      </rPr>
      <t>Bank Olmayan Kredit Təşkilatı</t>
    </r>
    <r>
      <rPr>
        <b/>
        <sz val="11"/>
        <rFont val="Times New Roman"/>
        <family val="1"/>
        <charset val="204"/>
      </rPr>
      <t xml:space="preserve"> "İDEAL KREDİT" </t>
    </r>
    <r>
      <rPr>
        <sz val="11"/>
        <rFont val="Times New Roman"/>
        <family val="1"/>
        <charset val="204"/>
      </rPr>
      <t>Məhdud Məsuliyyətli Cəmiyyəti</t>
    </r>
  </si>
  <si>
    <t>Borcverənin ünvanı</t>
  </si>
  <si>
    <t>İstehlak krediti</t>
  </si>
  <si>
    <t>Kreditin məbləği (kredit xəttinin limiti) və valyutası</t>
  </si>
  <si>
    <t>Kreditin qaytarılma müddəti</t>
  </si>
  <si>
    <r>
      <t>Siz krediti</t>
    </r>
    <r>
      <rPr>
        <b/>
        <sz val="11"/>
        <rFont val="Times New Roman"/>
        <family val="1"/>
        <charset val="204"/>
      </rPr>
      <t/>
    </r>
  </si>
  <si>
    <t>il tarixindən gec olmayaraq qaytarmalısınız.</t>
  </si>
  <si>
    <t>Kreditin ödəniş şərtləri</t>
  </si>
  <si>
    <t>Kredit ödənişlərini aşağıdakı üsullarla həyata keçirə bilərsiniz:</t>
  </si>
  <si>
    <r>
      <t>● </t>
    </r>
    <r>
      <rPr>
        <b/>
        <sz val="11"/>
        <rFont val="Times New Roman"/>
        <family val="1"/>
        <charset val="204"/>
      </rPr>
      <t>"İDEAL KREDİT"-in</t>
    </r>
    <r>
      <rPr>
        <sz val="11"/>
        <rFont val="Times New Roman"/>
        <family val="1"/>
        <charset val="204"/>
      </rPr>
      <t xml:space="preserve"> Azərpoçt MMC PF1, Kapital Bank ASC Kob mərkəzi filialı və ya “Beynəlxalq Bank” ASC Nərimanov filialında olan bank hesablarından ödəməklə;</t>
    </r>
  </si>
  <si>
    <r>
      <t>● </t>
    </r>
    <r>
      <rPr>
        <b/>
        <sz val="11"/>
        <rFont val="Times New Roman"/>
        <family val="1"/>
        <charset val="204"/>
      </rPr>
      <t>E-Manat, MilliÖn</t>
    </r>
    <r>
      <rPr>
        <sz val="11"/>
        <rFont val="Times New Roman"/>
        <family val="1"/>
        <charset val="204"/>
      </rPr>
      <t xml:space="preserve"> ödəniş terminalları ilə ödəməklə;</t>
    </r>
  </si>
  <si>
    <r>
      <t>● </t>
    </r>
    <r>
      <rPr>
        <b/>
        <sz val="11"/>
        <rFont val="Times New Roman"/>
        <family val="1"/>
        <charset val="204"/>
      </rPr>
      <t>Nağd qaydada BOKT-nin kassasına ödəməklə;</t>
    </r>
  </si>
  <si>
    <r>
      <t>● </t>
    </r>
    <r>
      <rPr>
        <b/>
        <sz val="11"/>
        <rFont val="Times New Roman"/>
        <family val="1"/>
        <charset val="204"/>
      </rPr>
      <t xml:space="preserve">https://hesab.az/ </t>
    </r>
    <r>
      <rPr>
        <sz val="11"/>
        <rFont val="Times New Roman"/>
        <family val="1"/>
        <charset val="204"/>
      </rPr>
      <t>onlayn ödəniş sistemi vasitəsilə ödəməklə.</t>
    </r>
  </si>
  <si>
    <t>Qeyd edilən üsullardan hər hansı birinin istifadəsinin mümkün olmaması Sizi digər mümkün üsullardan istifadə etməklə ödənişləri vaxtında həyata keçirmək öhdəliyindən azad etmir.</t>
  </si>
  <si>
    <t>Kreditlə alınacaq mal(lar)ın və ya xidmət(lər)in Adı</t>
  </si>
  <si>
    <t>Nağd qiyməti (malın və ya xidmətin alınması zamanı birdəfəlik ödəniş edildikdə)</t>
  </si>
  <si>
    <t>Kredit üzrə tətbiq edilən faizlərin illik dərəcəsi və (və ya) digər ödənişlərin məbləği və onların tətbiq edilmə şərtləri</t>
  </si>
  <si>
    <t>Faktiki illik faiz dərəcəsi (FİFD)</t>
  </si>
  <si>
    <r>
      <t>Faktiki illik faiz d</t>
    </r>
    <r>
      <rPr>
        <sz val="11"/>
        <rFont val="Times New Roman"/>
        <family val="1"/>
        <charset val="204"/>
      </rPr>
      <t>ə</t>
    </r>
    <r>
      <rPr>
        <b/>
        <sz val="11"/>
        <rFont val="Times New Roman"/>
        <family val="1"/>
        <charset val="204"/>
      </rPr>
      <t>r</t>
    </r>
    <r>
      <rPr>
        <sz val="11"/>
        <rFont val="Times New Roman"/>
        <family val="1"/>
        <charset val="204"/>
      </rPr>
      <t>ə</t>
    </r>
    <r>
      <rPr>
        <b/>
        <sz val="11"/>
        <rFont val="Times New Roman"/>
        <family val="1"/>
        <charset val="204"/>
      </rPr>
      <t>c</t>
    </r>
    <r>
      <rPr>
        <sz val="11"/>
        <rFont val="Times New Roman"/>
        <family val="1"/>
        <charset val="204"/>
      </rPr>
      <t>ə</t>
    </r>
    <r>
      <rPr>
        <b/>
        <sz val="11"/>
        <rFont val="Times New Roman"/>
        <family val="1"/>
        <charset val="204"/>
      </rPr>
      <t>si:</t>
    </r>
  </si>
  <si>
    <t>FİFD kreditin əldə edilməsinə çəkilən xərci göstərir. Bu göstərici vasitəsilə Siz digər kredit təşkilatlarının təkliflərini müqayisə edərək qiymətləndirə bilərsiniz. FİFD Mərkəzi Bankın normativ xarakterli aktında müəyyən edilmiş düstur əsasında hesablanmışdır.</t>
  </si>
  <si>
    <t>Tətbiq edildikdə, kredit üzrə faizlərin tutulmadığı müddət barədə aydın və dəqiq məlumat</t>
  </si>
  <si>
    <t>İstehlakçı tərəfindən edilməli olan ödənişlərin məbləği, sayı və dövriliyi</t>
  </si>
  <si>
    <t>Tərəfinizdən ödəniləcək ümumi məbləğ:</t>
  </si>
  <si>
    <r>
      <t xml:space="preserve">●  Əsas borc </t>
    </r>
    <r>
      <rPr>
        <b/>
        <u/>
        <sz val="11"/>
        <rFont val="Times New Roman"/>
        <family val="1"/>
        <charset val="204"/>
      </rPr>
      <t xml:space="preserve">  </t>
    </r>
  </si>
  <si>
    <r>
      <t xml:space="preserve">●  </t>
    </r>
    <r>
      <rPr>
        <b/>
        <sz val="11"/>
        <rFont val="Times New Roman"/>
        <family val="1"/>
        <charset val="204"/>
      </rPr>
      <t>Faiz borcu</t>
    </r>
    <r>
      <rPr>
        <u/>
        <sz val="11"/>
        <rFont val="Times New Roman"/>
        <family val="1"/>
        <charset val="204"/>
      </rPr>
      <t xml:space="preserve">  </t>
    </r>
  </si>
  <si>
    <r>
      <t xml:space="preserve">●  Kreditlə əlaqəli digər ödənişlər </t>
    </r>
    <r>
      <rPr>
        <b/>
        <u/>
        <sz val="11"/>
        <rFont val="Times New Roman"/>
        <family val="1"/>
        <charset val="204"/>
      </rPr>
      <t xml:space="preserve">  </t>
    </r>
  </si>
  <si>
    <t>Ödənişlər aşağıdakı cədvəl üzrə həyata keçirilir:</t>
  </si>
  <si>
    <t>Yetərli miqdarda olmayan və ya artıq miqdarda edilən ödənişlərin öhdəliyin icrasından silinmə ardıcıllığı</t>
  </si>
  <si>
    <r>
      <rPr>
        <sz val="11"/>
        <rFont val="Times New Roman"/>
        <family val="1"/>
        <charset val="204"/>
      </rPr>
      <t>Yetərli miqdarda olmayan ödənişlərin öhdəliyin icrasından silinmə ardıcıllığı:</t>
    </r>
    <r>
      <rPr>
        <b/>
        <sz val="11"/>
        <rFont val="Times New Roman"/>
        <family val="1"/>
        <charset val="204"/>
      </rPr>
      <t xml:space="preserve">         1-Cərimə borcundan; 2-Faiz borcundan; 3-Əsas borcdan</t>
    </r>
  </si>
  <si>
    <r>
      <rPr>
        <sz val="11"/>
        <rFont val="Times New Roman"/>
        <family val="1"/>
        <charset val="204"/>
      </rPr>
      <t xml:space="preserve">Artıq miqdarda edilən ödənişlərin öhdəliyin icrasından silinmə ardıcıllığı:                </t>
    </r>
    <r>
      <rPr>
        <b/>
        <sz val="11"/>
        <rFont val="Times New Roman"/>
        <family val="1"/>
        <charset val="204"/>
      </rPr>
      <t>- Əsas borcdan</t>
    </r>
  </si>
  <si>
    <t>Tətbiq edildikdə, ödəniş və nağdlaşdırma əməliyyatlarının qeydiyyatını aparan bir və ya bir neçə hesabın saxlanma xərcləri, o cümlədən ödəniş və nağdlaşdırma əməliyyatları üçün ödəniş vasitələrindən istifadə xərcləri, kredit müqaviləsindən irəli gələn digər xərclər və bu xərclərin dəyişdirilmə şərtləri</t>
  </si>
  <si>
    <r>
      <rPr>
        <sz val="11"/>
        <rFont val="Times New Roman"/>
        <family val="1"/>
        <charset val="204"/>
      </rPr>
      <t>●  hesabın saxlanma xərcləri</t>
    </r>
    <r>
      <rPr>
        <b/>
        <sz val="11"/>
        <rFont val="Times New Roman"/>
        <family val="1"/>
        <charset val="204"/>
      </rPr>
      <t xml:space="preserve"> - Yoxdur</t>
    </r>
  </si>
  <si>
    <r>
      <rPr>
        <sz val="11"/>
        <rFont val="Times New Roman"/>
        <family val="1"/>
        <charset val="204"/>
      </rPr>
      <t>●  konvertasiya haqqı</t>
    </r>
    <r>
      <rPr>
        <b/>
        <sz val="11"/>
        <rFont val="Times New Roman"/>
        <family val="1"/>
        <charset val="204"/>
      </rPr>
      <t xml:space="preserve"> - Yoxdur</t>
    </r>
  </si>
  <si>
    <r>
      <t>●  ölkədaxili köçürmələr üzrə komissiyalar</t>
    </r>
    <r>
      <rPr>
        <b/>
        <sz val="11"/>
        <rFont val="Times New Roman"/>
        <family val="1"/>
        <charset val="204"/>
      </rPr>
      <t xml:space="preserve"> - Yoxdur</t>
    </r>
  </si>
  <si>
    <r>
      <t>●  ölkəxarici köçürmələr üzrə komissiyalar</t>
    </r>
    <r>
      <rPr>
        <b/>
        <sz val="11"/>
        <rFont val="Times New Roman"/>
        <family val="1"/>
        <charset val="204"/>
      </rPr>
      <t xml:space="preserve"> - Yoxdur</t>
    </r>
  </si>
  <si>
    <r>
      <t xml:space="preserve">●  kredit kartı üzrə xərclər - </t>
    </r>
    <r>
      <rPr>
        <b/>
        <sz val="11"/>
        <rFont val="Times New Roman"/>
        <family val="1"/>
        <charset val="204"/>
      </rPr>
      <t>Yoxdur</t>
    </r>
  </si>
  <si>
    <r>
      <t xml:space="preserve">●  kredit üzrə digər xərclərin adı və məbləği - </t>
    </r>
    <r>
      <rPr>
        <b/>
        <sz val="11"/>
        <rFont val="Times New Roman"/>
        <family val="1"/>
        <charset val="204"/>
      </rPr>
      <t>Yoxdur</t>
    </r>
  </si>
  <si>
    <t>●  xərclərin dəyişdirilmə şərtləri (yalnız azaldılma istiqamətində)</t>
  </si>
  <si>
    <t>Tətbiq edildikdə, kredit müqaviləsinin bağlanılması ilə bağlı istehlakçı tərəfindən ödənilməli olan notarial xərclərin mövcudluğu</t>
  </si>
  <si>
    <t>Kreditin alınması üçün əlavə xidmət müqaviləsinin, o cümlədən sığorta müqaviləsinin bağlanılması məcburi olduğu hallarda belə müqavilənin növü və istehlakçının  istehlak krediti müqaviləsi ilə bağlı belə müqaviləni bağlamaq vəzifəsi</t>
  </si>
  <si>
    <t>İstehlakçının ödənişlərini vaxtında etməməsinin hüquqi nəticələri</t>
  </si>
  <si>
    <t>Ödənişlər gecikdirildiyi halda bu Formada nəzərdə tutulan gecikdirmə faizləri və ya dəbbə pulu tətbiq edilə, təminata tutma yönəldilə, kreditin vaxtından əvvəl qaytarılması tələb edilə, habelə qanunda və müqavilədə müəyyən edilmiş digər tədbirlər görülə bilər.</t>
  </si>
  <si>
    <t>Tətbiq edildikdə, gecikdirilmiş ödənişlərlə bağlı gecikdirilmə faizləri</t>
  </si>
  <si>
    <t>Gecikən kreditə görə Cərimə (dəbbə) məbləği tutulduğu üçün gecikdirilmə faizi tətbiq edilmir.</t>
  </si>
  <si>
    <t>● Gecikdirilmə faizləri illik faiz dərəcəsinə 5 faiz bəndi əlavə edilməklə hesablanan məbləğdən çox deyildir.</t>
  </si>
  <si>
    <t>● Əlavə olaraq dəbbə pulu (cərimə, penya), komissiya və ya digər formada hər hansı ödəniş tələb edilməyəcək.</t>
  </si>
  <si>
    <t>● Gecikdirilmə faizlərinin hesablanması 180 gündən çox davam etməyəcək.</t>
  </si>
  <si>
    <t>Tətbiq edildikdə, gecikdirilmiş ödənişlərlə bağlı ödənilməli dəbbə pulu (gecikdirilmə faizlərinin tətbiq edildiyi hallar istisna olmaqla)</t>
  </si>
  <si>
    <t>Tətbiq edildikdə, kreditin verilməsi üçün tələb olunan təminatlar və onlar barədə məlumatlar</t>
  </si>
  <si>
    <t>● Təminatın növü</t>
  </si>
  <si>
    <t>● Kreditin verilmə müddəti, prosesin əlaqədar təşkilat və ya şəxslərdən asılı olmadığı halda 3 iş günü ərzində həyata keçirilir.</t>
  </si>
  <si>
    <r>
      <t xml:space="preserve">●  </t>
    </r>
    <r>
      <rPr>
        <b/>
        <sz val="11"/>
        <rFont val="Times New Roman"/>
        <family val="1"/>
        <charset val="204"/>
      </rPr>
      <t>sair</t>
    </r>
  </si>
  <si>
    <t>İstehlakçının istehlak krediti müqaviləsindən imtina hüququnun həyata keçirildiyi müddət və şərtlər</t>
  </si>
  <si>
    <t>Sizə kredit verildiyi gündən 30 (otuz) gün ərzində heç bir səbəb göstərmədən istehlak krediti müqaviləsindən imtina edə bilərsiniz.</t>
  </si>
  <si>
    <t>Bu halda, Siz müqavilə üzrə verilmiş pul vəsaitini və vəsaitin verildiyi gündən qaytarıldığı günədək hesablanan faizləri ödəməlisiniz.</t>
  </si>
  <si>
    <t>Bu halda borcverən tərəfindən ödənilən dövlət rüsumu və xidmət haqlarından başqa Sizdən kompensasiya və hər hansı digər ödənişlər tələb edilə bilməz.</t>
  </si>
  <si>
    <t>Əgər istehlak krediti müqaviləsi əlaqəli kredit müqaviləsidirsə, Siz Azərbaycan Respublikası Mülki Məcəlləsinin 746-6-cı maddəsində nəzərdə tutulan hüquqlardan istifadə edə bilərsiniz.</t>
  </si>
  <si>
    <t>İstehlakçının istehlak kreditini vaxtından əvvəl ödəmək hüququ</t>
  </si>
  <si>
    <t>Siz istənilən vaxt xəbərdarlıq etmədən istehlak kreditini vaxtından əvvəl tam və ya qismən geri qaytara bilərsiniz. Bu halda, kreditin qalıq müddətinə görə hesablanmış faizlər və (və ya) digər haqlar vaxtından əvvəl ödənilmiş məbləğə uyğun olaraq azaldılır.</t>
  </si>
  <si>
    <t>Kreditin qismən vaxtından əvvəl ödənilməsi halında, borcverənlə razılaşma əsasında və ödəniş cədvəlində müvafiq dəyişiklik edilməklə:</t>
  </si>
  <si>
    <t>dövri ödənişlərin məbləği azaldıla;</t>
  </si>
  <si>
    <t>dövri ödəniş məbləğləri saxlanılmaqla, kredit müddəti azaldıla bilər.</t>
  </si>
  <si>
    <t>Tətbiq edildikdə, istehlak krediti müqaviləsinin vaxtından əvvəl icrası zamanı borcverənin kompensasiya hüququ, kompensasiyanın məbləği və müəyyən edilməsi qaydası</t>
  </si>
  <si>
    <t>Bu halda borcverən Sizdən müqavilə ilə müəyyənləşdirilmiş kompensasiya məbləğini tələb edə bilər.</t>
  </si>
  <si>
    <t>Bu zaman kompensasiyanın məbləği müqavilə müddətinin bitməsinə:</t>
  </si>
  <si>
    <r>
      <t xml:space="preserve">●  </t>
    </r>
    <r>
      <rPr>
        <b/>
        <sz val="11"/>
        <rFont val="Times New Roman"/>
        <family val="1"/>
        <charset val="204"/>
      </rPr>
      <t>1 ild</t>
    </r>
    <r>
      <rPr>
        <sz val="11"/>
        <rFont val="Times New Roman"/>
        <family val="1"/>
        <charset val="204"/>
      </rPr>
      <t>ə</t>
    </r>
    <r>
      <rPr>
        <b/>
        <sz val="11"/>
        <rFont val="Times New Roman"/>
        <family val="1"/>
        <charset val="204"/>
      </rPr>
      <t>n çox müdd</t>
    </r>
    <r>
      <rPr>
        <sz val="11"/>
        <rFont val="Times New Roman"/>
        <family val="1"/>
        <charset val="204"/>
      </rPr>
      <t>ə</t>
    </r>
    <r>
      <rPr>
        <b/>
        <sz val="11"/>
        <rFont val="Times New Roman"/>
        <family val="1"/>
        <charset val="204"/>
      </rPr>
      <t xml:space="preserve">t qaldıqda - vaxtından </t>
    </r>
    <r>
      <rPr>
        <sz val="11"/>
        <rFont val="Times New Roman"/>
        <family val="1"/>
        <charset val="204"/>
      </rPr>
      <t>ə</t>
    </r>
    <r>
      <rPr>
        <b/>
        <sz val="11"/>
        <rFont val="Times New Roman"/>
        <family val="1"/>
        <charset val="204"/>
      </rPr>
      <t>vv</t>
    </r>
    <r>
      <rPr>
        <sz val="11"/>
        <rFont val="Times New Roman"/>
        <family val="1"/>
        <charset val="204"/>
      </rPr>
      <t>ə</t>
    </r>
    <r>
      <rPr>
        <b/>
        <sz val="11"/>
        <rFont val="Times New Roman"/>
        <family val="1"/>
        <charset val="204"/>
      </rPr>
      <t>l öd</t>
    </r>
    <r>
      <rPr>
        <sz val="11"/>
        <rFont val="Times New Roman"/>
        <family val="1"/>
        <charset val="204"/>
      </rPr>
      <t>ə</t>
    </r>
    <r>
      <rPr>
        <b/>
        <sz val="11"/>
        <rFont val="Times New Roman"/>
        <family val="1"/>
        <charset val="204"/>
      </rPr>
      <t>nilmi</t>
    </r>
    <r>
      <rPr>
        <sz val="11"/>
        <rFont val="Times New Roman"/>
        <family val="1"/>
        <charset val="204"/>
      </rPr>
      <t xml:space="preserve">ş </t>
    </r>
    <r>
      <rPr>
        <b/>
        <sz val="11"/>
        <rFont val="Times New Roman"/>
        <family val="1"/>
        <charset val="204"/>
      </rPr>
      <t>m</t>
    </r>
    <r>
      <rPr>
        <sz val="11"/>
        <rFont val="Times New Roman"/>
        <family val="1"/>
        <charset val="204"/>
      </rPr>
      <t>ə</t>
    </r>
    <r>
      <rPr>
        <b/>
        <sz val="11"/>
        <rFont val="Times New Roman"/>
        <family val="1"/>
        <charset val="204"/>
      </rPr>
      <t>bl</t>
    </r>
    <r>
      <rPr>
        <sz val="11"/>
        <rFont val="Times New Roman"/>
        <family val="1"/>
        <charset val="204"/>
      </rPr>
      <t>əğ</t>
    </r>
    <r>
      <rPr>
        <b/>
        <sz val="11"/>
        <rFont val="Times New Roman"/>
        <family val="1"/>
        <charset val="204"/>
      </rPr>
      <t>in 1 faizd</t>
    </r>
    <r>
      <rPr>
        <sz val="11"/>
        <rFont val="Times New Roman"/>
        <family val="1"/>
        <charset val="204"/>
      </rPr>
      <t>ə</t>
    </r>
    <r>
      <rPr>
        <b/>
        <sz val="11"/>
        <rFont val="Times New Roman"/>
        <family val="1"/>
        <charset val="204"/>
      </rPr>
      <t>n;</t>
    </r>
  </si>
  <si>
    <r>
      <t xml:space="preserve">●  </t>
    </r>
    <r>
      <rPr>
        <b/>
        <sz val="11"/>
        <rFont val="Times New Roman"/>
        <family val="1"/>
        <charset val="204"/>
      </rPr>
      <t>1 il v</t>
    </r>
    <r>
      <rPr>
        <sz val="11"/>
        <rFont val="Times New Roman"/>
        <family val="1"/>
        <charset val="204"/>
      </rPr>
      <t xml:space="preserve">ə </t>
    </r>
    <r>
      <rPr>
        <b/>
        <sz val="11"/>
        <rFont val="Times New Roman"/>
        <family val="1"/>
        <charset val="204"/>
      </rPr>
      <t>daha az müdd</t>
    </r>
    <r>
      <rPr>
        <sz val="11"/>
        <rFont val="Times New Roman"/>
        <family val="1"/>
        <charset val="204"/>
      </rPr>
      <t>ə</t>
    </r>
    <r>
      <rPr>
        <b/>
        <sz val="11"/>
        <rFont val="Times New Roman"/>
        <family val="1"/>
        <charset val="204"/>
      </rPr>
      <t>t qaldıqda is</t>
    </r>
    <r>
      <rPr>
        <sz val="11"/>
        <rFont val="Times New Roman"/>
        <family val="1"/>
        <charset val="204"/>
      </rPr>
      <t xml:space="preserve">ə </t>
    </r>
    <r>
      <rPr>
        <b/>
        <sz val="11"/>
        <rFont val="Times New Roman"/>
        <family val="1"/>
        <charset val="204"/>
      </rPr>
      <t xml:space="preserve">- vaxtından </t>
    </r>
    <r>
      <rPr>
        <sz val="11"/>
        <rFont val="Times New Roman"/>
        <family val="1"/>
        <charset val="204"/>
      </rPr>
      <t>ə</t>
    </r>
    <r>
      <rPr>
        <b/>
        <sz val="11"/>
        <rFont val="Times New Roman"/>
        <family val="1"/>
        <charset val="204"/>
      </rPr>
      <t>vv</t>
    </r>
    <r>
      <rPr>
        <sz val="11"/>
        <rFont val="Times New Roman"/>
        <family val="1"/>
        <charset val="204"/>
      </rPr>
      <t>ə</t>
    </r>
    <r>
      <rPr>
        <b/>
        <sz val="11"/>
        <rFont val="Times New Roman"/>
        <family val="1"/>
        <charset val="204"/>
      </rPr>
      <t>l öd</t>
    </r>
    <r>
      <rPr>
        <sz val="11"/>
        <rFont val="Times New Roman"/>
        <family val="1"/>
        <charset val="204"/>
      </rPr>
      <t>ə</t>
    </r>
    <r>
      <rPr>
        <b/>
        <sz val="11"/>
        <rFont val="Times New Roman"/>
        <family val="1"/>
        <charset val="204"/>
      </rPr>
      <t>nilmi</t>
    </r>
    <r>
      <rPr>
        <sz val="11"/>
        <rFont val="Times New Roman"/>
        <family val="1"/>
        <charset val="204"/>
      </rPr>
      <t xml:space="preserve">ş </t>
    </r>
    <r>
      <rPr>
        <b/>
        <sz val="11"/>
        <rFont val="Times New Roman"/>
        <family val="1"/>
        <charset val="204"/>
      </rPr>
      <t>m</t>
    </r>
    <r>
      <rPr>
        <sz val="11"/>
        <rFont val="Times New Roman"/>
        <family val="1"/>
        <charset val="204"/>
      </rPr>
      <t>ə</t>
    </r>
    <r>
      <rPr>
        <b/>
        <sz val="11"/>
        <rFont val="Times New Roman"/>
        <family val="1"/>
        <charset val="204"/>
      </rPr>
      <t>bl</t>
    </r>
    <r>
      <rPr>
        <sz val="11"/>
        <rFont val="Times New Roman"/>
        <family val="1"/>
        <charset val="204"/>
      </rPr>
      <t>əğ</t>
    </r>
    <r>
      <rPr>
        <b/>
        <sz val="11"/>
        <rFont val="Times New Roman"/>
        <family val="1"/>
        <charset val="204"/>
      </rPr>
      <t>in 0,5 faizind</t>
    </r>
    <r>
      <rPr>
        <sz val="11"/>
        <rFont val="Times New Roman"/>
        <family val="1"/>
        <charset val="204"/>
      </rPr>
      <t>ə</t>
    </r>
    <r>
      <rPr>
        <b/>
        <sz val="11"/>
        <rFont val="Times New Roman"/>
        <family val="1"/>
        <charset val="204"/>
      </rPr>
      <t>n çox olmayacaqdır.</t>
    </r>
  </si>
  <si>
    <t>Əgər tərəfinizdən son 12 ay ərzində kredit üzrə vaxtından əvvəl ödənilmiş məbləğ ölkə üzrə müəyyən edilmiş minimum əməkhaqqı məbləğinin 40 mislindən (cari il üçün göstərici qeyd olunur – məs: 345 x 40=13800) çox olarsa, borcverən ona dəymiş zərəri məhkəmə qaydasında və ya zərər baş verdikdən sonra Sizinlə ayrıca razılıq əldə etməklə sübut etmək şərtilə daha yüksək (dəymiş zərərə mütənasib) kompensasiya tələb edə bilər.</t>
  </si>
  <si>
    <r>
      <t>Kompensasiya m</t>
    </r>
    <r>
      <rPr>
        <sz val="11"/>
        <rFont val="Times New Roman"/>
        <family val="1"/>
        <charset val="204"/>
      </rPr>
      <t>ə</t>
    </r>
    <r>
      <rPr>
        <b/>
        <sz val="11"/>
        <rFont val="Times New Roman"/>
        <family val="1"/>
        <charset val="204"/>
      </rPr>
      <t>bl</t>
    </r>
    <r>
      <rPr>
        <sz val="11"/>
        <rFont val="Times New Roman"/>
        <family val="1"/>
        <charset val="204"/>
      </rPr>
      <t>əğ</t>
    </r>
    <r>
      <rPr>
        <b/>
        <sz val="11"/>
        <rFont val="Times New Roman"/>
        <family val="1"/>
        <charset val="204"/>
      </rPr>
      <t>i h</t>
    </r>
    <r>
      <rPr>
        <sz val="11"/>
        <rFont val="Times New Roman"/>
        <family val="1"/>
        <charset val="204"/>
      </rPr>
      <t>ə</t>
    </r>
    <r>
      <rPr>
        <b/>
        <sz val="11"/>
        <rFont val="Times New Roman"/>
        <family val="1"/>
        <charset val="204"/>
      </rPr>
      <t xml:space="preserve">r bir halda vaxtından </t>
    </r>
    <r>
      <rPr>
        <sz val="11"/>
        <rFont val="Times New Roman"/>
        <family val="1"/>
        <charset val="204"/>
      </rPr>
      <t>ə</t>
    </r>
    <r>
      <rPr>
        <b/>
        <sz val="11"/>
        <rFont val="Times New Roman"/>
        <family val="1"/>
        <charset val="204"/>
      </rPr>
      <t>vv</t>
    </r>
    <r>
      <rPr>
        <sz val="11"/>
        <rFont val="Times New Roman"/>
        <family val="1"/>
        <charset val="204"/>
      </rPr>
      <t>ə</t>
    </r>
    <r>
      <rPr>
        <b/>
        <sz val="11"/>
        <rFont val="Times New Roman"/>
        <family val="1"/>
        <charset val="204"/>
      </rPr>
      <t>l öd</t>
    </r>
    <r>
      <rPr>
        <sz val="11"/>
        <rFont val="Times New Roman"/>
        <family val="1"/>
        <charset val="204"/>
      </rPr>
      <t>ə</t>
    </r>
    <r>
      <rPr>
        <b/>
        <sz val="11"/>
        <rFont val="Times New Roman"/>
        <family val="1"/>
        <charset val="204"/>
      </rPr>
      <t>nilm</t>
    </r>
    <r>
      <rPr>
        <sz val="11"/>
        <rFont val="Times New Roman"/>
        <family val="1"/>
        <charset val="204"/>
      </rPr>
      <t xml:space="preserve">ə </t>
    </r>
    <r>
      <rPr>
        <b/>
        <sz val="11"/>
        <rFont val="Times New Roman"/>
        <family val="1"/>
        <charset val="204"/>
      </rPr>
      <t>anı il</t>
    </r>
    <r>
      <rPr>
        <sz val="11"/>
        <rFont val="Times New Roman"/>
        <family val="1"/>
        <charset val="204"/>
      </rPr>
      <t xml:space="preserve">ə </t>
    </r>
    <r>
      <rPr>
        <b/>
        <sz val="11"/>
        <rFont val="Times New Roman"/>
        <family val="1"/>
        <charset val="204"/>
      </rPr>
      <t>müqavil</t>
    </r>
    <r>
      <rPr>
        <sz val="11"/>
        <rFont val="Times New Roman"/>
        <family val="1"/>
        <charset val="204"/>
      </rPr>
      <t>ə</t>
    </r>
    <r>
      <rPr>
        <b/>
        <sz val="11"/>
        <rFont val="Times New Roman"/>
        <family val="1"/>
        <charset val="204"/>
      </rPr>
      <t>nin müdd</t>
    </r>
    <r>
      <rPr>
        <sz val="11"/>
        <rFont val="Times New Roman"/>
        <family val="1"/>
        <charset val="204"/>
      </rPr>
      <t>ə</t>
    </r>
    <r>
      <rPr>
        <b/>
        <sz val="11"/>
        <rFont val="Times New Roman"/>
        <family val="1"/>
        <charset val="204"/>
      </rPr>
      <t>tinin ba</t>
    </r>
    <r>
      <rPr>
        <sz val="11"/>
        <rFont val="Times New Roman"/>
        <family val="1"/>
        <charset val="204"/>
      </rPr>
      <t>ş</t>
    </r>
    <r>
      <rPr>
        <b/>
        <sz val="11"/>
        <rFont val="Times New Roman"/>
        <family val="1"/>
        <charset val="204"/>
      </rPr>
      <t>a çatması anı arasındakı müdd</t>
    </r>
    <r>
      <rPr>
        <sz val="11"/>
        <rFont val="Times New Roman"/>
        <family val="1"/>
        <charset val="204"/>
      </rPr>
      <t>ə</t>
    </r>
    <r>
      <rPr>
        <b/>
        <sz val="11"/>
        <rFont val="Times New Roman"/>
        <family val="1"/>
        <charset val="204"/>
      </rPr>
      <t>td</t>
    </r>
    <r>
      <rPr>
        <sz val="11"/>
        <rFont val="Times New Roman"/>
        <family val="1"/>
        <charset val="204"/>
      </rPr>
      <t xml:space="preserve">ə </t>
    </r>
    <r>
      <rPr>
        <b/>
        <sz val="11"/>
        <rFont val="Times New Roman"/>
        <family val="1"/>
        <charset val="204"/>
      </rPr>
      <t>öd</t>
    </r>
    <r>
      <rPr>
        <sz val="11"/>
        <rFont val="Times New Roman"/>
        <family val="1"/>
        <charset val="204"/>
      </rPr>
      <t>ə</t>
    </r>
    <r>
      <rPr>
        <b/>
        <sz val="11"/>
        <rFont val="Times New Roman"/>
        <family val="1"/>
        <charset val="204"/>
      </rPr>
      <t>nilm</t>
    </r>
    <r>
      <rPr>
        <sz val="11"/>
        <rFont val="Times New Roman"/>
        <family val="1"/>
        <charset val="204"/>
      </rPr>
      <t>ə</t>
    </r>
    <r>
      <rPr>
        <b/>
        <sz val="11"/>
        <rFont val="Times New Roman"/>
        <family val="1"/>
        <charset val="204"/>
      </rPr>
      <t>li olan illik faiz d</t>
    </r>
    <r>
      <rPr>
        <sz val="11"/>
        <rFont val="Times New Roman"/>
        <family val="1"/>
        <charset val="204"/>
      </rPr>
      <t>ə</t>
    </r>
    <r>
      <rPr>
        <b/>
        <sz val="11"/>
        <rFont val="Times New Roman"/>
        <family val="1"/>
        <charset val="204"/>
      </rPr>
      <t>r</t>
    </r>
    <r>
      <rPr>
        <sz val="11"/>
        <rFont val="Times New Roman"/>
        <family val="1"/>
        <charset val="204"/>
      </rPr>
      <t>ə</t>
    </r>
    <r>
      <rPr>
        <b/>
        <sz val="11"/>
        <rFont val="Times New Roman"/>
        <family val="1"/>
        <charset val="204"/>
      </rPr>
      <t>c</t>
    </r>
    <r>
      <rPr>
        <sz val="11"/>
        <rFont val="Times New Roman"/>
        <family val="1"/>
        <charset val="204"/>
      </rPr>
      <t>ə</t>
    </r>
    <r>
      <rPr>
        <b/>
        <sz val="11"/>
        <rFont val="Times New Roman"/>
        <family val="1"/>
        <charset val="204"/>
      </rPr>
      <t>si üzr</t>
    </r>
    <r>
      <rPr>
        <sz val="11"/>
        <rFont val="Times New Roman"/>
        <family val="1"/>
        <charset val="204"/>
      </rPr>
      <t xml:space="preserve">ə </t>
    </r>
    <r>
      <rPr>
        <b/>
        <sz val="11"/>
        <rFont val="Times New Roman"/>
        <family val="1"/>
        <charset val="204"/>
      </rPr>
      <t>hesablanmı</t>
    </r>
    <r>
      <rPr>
        <sz val="11"/>
        <rFont val="Times New Roman"/>
        <family val="1"/>
        <charset val="204"/>
      </rPr>
      <t xml:space="preserve">ş </t>
    </r>
    <r>
      <rPr>
        <b/>
        <sz val="11"/>
        <rFont val="Times New Roman"/>
        <family val="1"/>
        <charset val="204"/>
      </rPr>
      <t>faiz məbləğlərindən çox ola bilməz.</t>
    </r>
  </si>
  <si>
    <t>Tətbiq edildikdə, borcverənin borcun vaxtından əvvəl qaytarılmasını tələb edə bildiyi hallar</t>
  </si>
  <si>
    <t xml:space="preserve">● borcalanın əmlak vəziyyətinin əhəmiyyətli dərəcədə pisləşməsi (o cümlədən müqavilə bağlanılmazdan əvvəl baş vermiş və müqavilə bağlanılan anadək aradan qaldırılmamış pisləşmə borcverənə sonradan məlum olduqda) və ya borcalanın borcverənə hər hansı yanlış məlumat verməsi səbəbindən borcun vaxtında qaytarılmayacağını güman etməyə əsaslar olduqda; </t>
  </si>
  <si>
    <t>● borcun hissə-hissə qaytarılmasını və (və ya) faizlərin və (və ya) haqların hissə-hissə ödənilməsini nəzərdə tutan borc müqaviləsi üzrə vaxtı çatmış borcun (faizlər və (və ya) haqlar daxil olmaqla) 90 (doxsan) gün və ya daha çox müddətə gecikdirilməsi yaxud borcun (faizlər və (və ya) haqlar daxil olmaqla) ödənilməsi müddətlərinin ardıcıl olaraq iki dəfə pozulması (90 (doxsan) gündən az olmamaqla);</t>
  </si>
  <si>
    <t>● borcalan borc öhdəliyinin icrasının təmin edilməsi üzrə vəzifəsini yerinə yetirmədikdə, borcverənin cavabdeh olmadığı hallarla əlaqədar təminat itirildikdə (məhv olduqda, xitam verildikdə və s.) və yaxud dəyəri azaldıqda (o cümlədən qarantın və ya zaminin əmlak vəziyyəti əhəmiyyətli dərəcədə pisləşdikdə) və bu hallarda borcun vaxtında qaytarılmayacağını güman etməyə əsaslar olduqda;</t>
  </si>
  <si>
    <t>● borcun təyinatı borc müqaviləsində göstərildiyi halda borcalan borcverənə borcun təyinatı üzrə istifadə edilməsinə müqavilədə nəzərdə tutulmuş qaydada nəzarət etməyə imkan vermədikdə və ya borc təyinatı üzrə istifadə olunmadıqda.</t>
  </si>
  <si>
    <t>Kredit bürolarından  alınmış  məlumatlar əsasında kredit verilməsindən imtina edildikdə, bu barədə istehlakçının ödənişsiz olaraq məlumat almaq hüququ</t>
  </si>
  <si>
    <t>Siz müraciət etdiyiniz halda, müvafiq məlumat növbəti iş günündən gec olmayaraq Sizə yazılı şəkildə (kağız və ya digər davamlı daşıyıcıda) təqdim ediləcəkdir.</t>
  </si>
  <si>
    <t>İstehlakçının müraciəti əsasında müqavilə layihəsinin surətini borcverəndən ödənişsiz almaq hüququ</t>
  </si>
  <si>
    <t>Bu Formada verilən məlumatların qüvvədə olduğu müddət</t>
  </si>
  <si>
    <r>
      <t>M</t>
    </r>
    <r>
      <rPr>
        <sz val="11"/>
        <rFont val="Times New Roman"/>
        <family val="1"/>
        <charset val="204"/>
      </rPr>
      <t>ə</t>
    </r>
    <r>
      <rPr>
        <b/>
        <sz val="11"/>
        <rFont val="Times New Roman"/>
        <family val="1"/>
        <charset val="204"/>
      </rPr>
      <t>lumatlar</t>
    </r>
  </si>
  <si>
    <t xml:space="preserve"> il tarixinədək qüvvədədir.</t>
  </si>
  <si>
    <t>Bu Formada verilən məlumatların qanuna uyğun olmadığını müəyyən etdikdə istehlakçının öz hüquqlarının müdafiəsi üçün ata biləcəyi addımlar</t>
  </si>
  <si>
    <r>
      <t>A</t>
    </r>
    <r>
      <rPr>
        <sz val="11"/>
        <rFont val="Times New Roman"/>
        <family val="1"/>
        <charset val="204"/>
      </rPr>
      <t>ş</t>
    </r>
    <r>
      <rPr>
        <b/>
        <sz val="11"/>
        <rFont val="Times New Roman"/>
        <family val="1"/>
        <charset val="204"/>
      </rPr>
      <t>a</t>
    </r>
    <r>
      <rPr>
        <sz val="11"/>
        <rFont val="Times New Roman"/>
        <family val="1"/>
        <charset val="204"/>
      </rPr>
      <t>ğ</t>
    </r>
    <r>
      <rPr>
        <b/>
        <sz val="11"/>
        <rFont val="Times New Roman"/>
        <family val="1"/>
        <charset val="204"/>
      </rPr>
      <t>ıdakılara müraci</t>
    </r>
    <r>
      <rPr>
        <sz val="11"/>
        <rFont val="Times New Roman"/>
        <family val="1"/>
        <charset val="204"/>
      </rPr>
      <t>ə</t>
    </r>
    <r>
      <rPr>
        <b/>
        <sz val="11"/>
        <rFont val="Times New Roman"/>
        <family val="1"/>
        <charset val="204"/>
      </rPr>
      <t>t ed</t>
    </r>
    <r>
      <rPr>
        <sz val="11"/>
        <rFont val="Times New Roman"/>
        <family val="1"/>
        <charset val="204"/>
      </rPr>
      <t xml:space="preserve">ə </t>
    </r>
    <r>
      <rPr>
        <b/>
        <sz val="11"/>
        <rFont val="Times New Roman"/>
        <family val="1"/>
        <charset val="204"/>
      </rPr>
      <t>bil</t>
    </r>
    <r>
      <rPr>
        <sz val="11"/>
        <rFont val="Times New Roman"/>
        <family val="1"/>
        <charset val="204"/>
      </rPr>
      <t>ə</t>
    </r>
    <r>
      <rPr>
        <b/>
        <sz val="11"/>
        <rFont val="Times New Roman"/>
        <family val="1"/>
        <charset val="204"/>
      </rPr>
      <t>rsiniz:</t>
    </r>
  </si>
  <si>
    <r>
      <t xml:space="preserve">●  Təşkilatın 012-526-26-25 telefon nömrəsi və ya </t>
    </r>
    <r>
      <rPr>
        <b/>
        <u/>
        <sz val="11"/>
        <color indexed="30"/>
        <rFont val="Times New Roman"/>
        <family val="1"/>
        <charset val="204"/>
      </rPr>
      <t>office@idealkredit.az</t>
    </r>
    <r>
      <rPr>
        <b/>
        <sz val="11"/>
        <rFont val="Times New Roman"/>
        <family val="1"/>
        <charset val="204"/>
      </rPr>
      <t xml:space="preserve">  vasitəsilə;</t>
    </r>
  </si>
  <si>
    <t>elektron poçt ünvanı vasitəsilə;</t>
  </si>
  <si>
    <t>●  Azərbaycan Respublikasının Mərkəzi Bankına;</t>
  </si>
  <si>
    <t>●  mediatora (mediasiya təşkilatı) və ya Bank Ombudsmanına;</t>
  </si>
  <si>
    <t>●  məhkəməyə.</t>
  </si>
  <si>
    <t>Azərbaycan Respublikası Mərkəzi Bankının qaynar xətti</t>
  </si>
  <si>
    <t>Qaynar xəttə daxil olan zənglər iş günlərində fasiləsiz olaraq saat 09:00-dan 18:00-dək qəbul edilir.</t>
  </si>
  <si>
    <t>İstehlakçının bu Formanı əldə etməsinin təsdiqi</t>
  </si>
  <si>
    <r>
      <t>Ad, soyad:</t>
    </r>
    <r>
      <rPr>
        <u/>
        <sz val="11"/>
        <rFont val="Times New Roman"/>
        <family val="1"/>
        <charset val="204"/>
      </rPr>
      <t xml:space="preserve">  </t>
    </r>
  </si>
  <si>
    <r>
      <t>İ</t>
    </r>
    <r>
      <rPr>
        <b/>
        <sz val="11"/>
        <rFont val="Times New Roman"/>
        <family val="1"/>
        <charset val="204"/>
      </rPr>
      <t>mza:</t>
    </r>
    <r>
      <rPr>
        <u/>
        <sz val="11"/>
        <rFont val="Times New Roman"/>
        <family val="1"/>
        <charset val="204"/>
      </rPr>
      <t xml:space="preserve">  </t>
    </r>
  </si>
  <si>
    <r>
      <t>Tarix:</t>
    </r>
    <r>
      <rPr>
        <u/>
        <sz val="11"/>
        <rFont val="Times New Roman"/>
        <family val="1"/>
        <charset val="204"/>
      </rPr>
      <t xml:space="preserve">  </t>
    </r>
  </si>
  <si>
    <t xml:space="preserve">● illik faiz dərəcəsi - </t>
  </si>
  <si>
    <t>Sığorta varsa/yoxsa</t>
  </si>
  <si>
    <t xml:space="preserve">● Təminatın növü  -  </t>
  </si>
  <si>
    <t>Onlayn ödəniş üçün QR Kodu scan edin</t>
  </si>
  <si>
    <t>hər 10% (on) faiz həcmində aşağı düşməsi (devalivasiya) halında birtərəfli qaydada Kredit üzrə faiz dərəcəsini 2% (iki) faizədək artırmaq;</t>
  </si>
  <si>
    <t>Partnyor (sahibkarın) adı:</t>
  </si>
  <si>
    <t xml:space="preserve"> məbləğində kredit verməyi, </t>
  </si>
  <si>
    <t xml:space="preserve">1.1. Bu müqavilə üzrə "BOKT" "Borcalan"a </t>
  </si>
  <si>
    <t xml:space="preserve"> AZN </t>
  </si>
  <si>
    <t>"Borcalan" isə bu Müqavilədə göstərilən müddətdə və qaydada,</t>
  </si>
  <si>
    <t>vasitələrinə(ödəniş terminalları, onlayn ödənişlər) ödənilir.</t>
  </si>
  <si>
    <r>
      <t xml:space="preserve">2.3.1. </t>
    </r>
    <r>
      <rPr>
        <sz val="10"/>
        <rFont val="Arial"/>
        <family val="2"/>
      </rPr>
      <t xml:space="preserve">Bu Müqavilə üzrə götürdüyü kredit borcunu vaxtından əvvəl ödəyə bilmək; </t>
    </r>
  </si>
  <si>
    <t xml:space="preserve"> (bundan sonra "Partnyor") tərəfindən satışı həyata keçirilən </t>
  </si>
  <si>
    <r>
      <t xml:space="preserve">1.4. </t>
    </r>
    <r>
      <rPr>
        <sz val="10"/>
        <rFont val="Arial"/>
        <family val="2"/>
      </rPr>
      <t>Kreditin verilməsi</t>
    </r>
  </si>
  <si>
    <t>Əlaqəli Kredit Müqaviləsi №</t>
  </si>
  <si>
    <r>
      <t xml:space="preserve">1.2. </t>
    </r>
    <r>
      <rPr>
        <sz val="10"/>
        <rFont val="Arial"/>
        <family val="2"/>
        <charset val="204"/>
      </rPr>
      <t xml:space="preserve">Bu müqavilə üzrə "BOKT" "Borcalan"a </t>
    </r>
  </si>
  <si>
    <r>
      <rPr>
        <b/>
        <sz val="10"/>
        <rFont val="Arial"/>
        <family val="2"/>
        <charset val="204"/>
      </rPr>
      <t>1.1.</t>
    </r>
    <r>
      <rPr>
        <sz val="10"/>
        <rFont val="Arial"/>
        <family val="2"/>
        <charset val="204"/>
      </rPr>
      <t xml:space="preserve"> Bu Müqavilə “BOKT” tərəfindən “Borcalan”a kreditin verilməsi və kreditin qaytarılması şərtləri çərçivəsində Tərəflərin hüquq və öhdəliklərini tənzimləyir.</t>
    </r>
  </si>
  <si>
    <t xml:space="preserve"> (bundan sonra mal və ya mallar) üçün </t>
  </si>
  <si>
    <t>İstehlak mal(lar)ının alınması üçün</t>
  </si>
  <si>
    <t>Kreditin təminatı</t>
  </si>
  <si>
    <t>Kreditlə alınacaq məhsullar</t>
  </si>
  <si>
    <t>Daşınar əmlak-İstehlak malları</t>
  </si>
  <si>
    <t xml:space="preserve"> mənə</t>
  </si>
  <si>
    <t>məbləğində istehlak krediti verməyi "Borcalan" isə</t>
  </si>
  <si>
    <t>aldığı borcu bu Müqavilədə müəyyən edilmiş müddətdə və qaydada, ödəniş qrafiki (Əlavə №1) əsasında "BOKT"-a qaytarmağı öz öhdəsinə götürür.</t>
  </si>
  <si>
    <r>
      <t xml:space="preserve">1.3. </t>
    </r>
    <r>
      <rPr>
        <sz val="10"/>
        <rFont val="Arial"/>
        <family val="2"/>
        <charset val="204"/>
      </rPr>
      <t>Bu müqaviləyə əsasən alınmış istehlak malları (bundan sonra "Girov Predmeti") "Borcalan"ın razılığı ilə "BOKT"nin xeyrinə girov qoyulur. "Girov Predmeti"</t>
    </r>
  </si>
  <si>
    <r>
      <rPr>
        <b/>
        <sz val="10"/>
        <rFont val="Arial"/>
        <family val="2"/>
        <charset val="204"/>
      </rPr>
      <t>1.5.</t>
    </r>
    <r>
      <rPr>
        <sz val="10"/>
        <rFont val="Arial"/>
        <family val="2"/>
        <charset val="204"/>
      </rPr>
      <t xml:space="preserve"> Kredit rəsmiləşdirilməsinə görə ümumi kredit məbləğinin </t>
    </r>
  </si>
  <si>
    <t xml:space="preserve">həcmində komissiya haqqı və “Borcalan”a təqdim edilən ödəniş kartına görə </t>
  </si>
  <si>
    <t xml:space="preserve">kart xərci köçürülmə zamanı tutulur. </t>
  </si>
  <si>
    <r>
      <rPr>
        <b/>
        <sz val="10"/>
        <rFont val="Arial"/>
        <family val="2"/>
        <charset val="204"/>
      </rPr>
      <t>1.7.</t>
    </r>
    <r>
      <rPr>
        <sz val="10"/>
        <rFont val="Arial"/>
        <family val="2"/>
      </rPr>
      <t xml:space="preserve"> Bu Müqaviləyə əsasən alınmış mal(lar)ın ümumi dəyəri </t>
    </r>
  </si>
  <si>
    <r>
      <t xml:space="preserve">1.6. </t>
    </r>
    <r>
      <rPr>
        <sz val="10"/>
        <rFont val="Arial"/>
        <family val="2"/>
        <charset val="204"/>
      </rPr>
      <t>K</t>
    </r>
    <r>
      <rPr>
        <sz val="10"/>
        <rFont val="Arial"/>
        <family val="2"/>
      </rPr>
      <t xml:space="preserve">redit "Borcalan"a kreditdən istifadə haqqı olaraq illik  </t>
    </r>
  </si>
  <si>
    <t>2.1. "BOKT"nın hüquqları:</t>
  </si>
  <si>
    <r>
      <t xml:space="preserve">2.1.3. </t>
    </r>
    <r>
      <rPr>
        <sz val="10"/>
        <rFont val="Arial"/>
        <family val="2"/>
        <charset val="204"/>
      </rPr>
      <t xml:space="preserve">Kredit borcu Azərbaycan manatının, Müqavilə imzalandığı günə olan AR Mərkəzi Bankının məzənnəsinə nisbətən, ABŞ dollarına qarşı məzənnəsinin </t>
    </r>
  </si>
  <si>
    <r>
      <t xml:space="preserve">2.1.4. </t>
    </r>
    <r>
      <rPr>
        <sz val="10"/>
        <rFont val="Arial"/>
        <family val="2"/>
        <charset val="204"/>
      </rPr>
      <t xml:space="preserve">"Borcalan" öhdəliklərini bu Müqavilə və onun əlavə(lər)sinə uyğun şəkildə yerinə yetirmədiyi halda "BOKT" "Borcalan"ın yaşayış yerlərinə, iş yerlərinə və </t>
    </r>
  </si>
  <si>
    <t xml:space="preserve">digər ödəmə vasitələri (kassa, ödəniş terminalları, onlayn ödənişlər) ilə deyil, "BOKT"nin hər hansı bir əməkdaşına ödəməsini bildirdikdə və ya bu cür ödənişlərin </t>
  </si>
  <si>
    <r>
      <t xml:space="preserve">edilməsi ilə bağlı hər hansı bir qəbz forması təqdim etdikdə, həmin ödənişləri və ya qəbzləri qəbul etmədən ödənişlərin bu müqavilənin </t>
    </r>
    <r>
      <rPr>
        <b/>
        <sz val="10"/>
        <rFont val="Arial"/>
        <family val="2"/>
        <charset val="204"/>
      </rPr>
      <t>1.10</t>
    </r>
    <r>
      <rPr>
        <sz val="10"/>
        <rFont val="Arial"/>
        <family val="2"/>
        <charset val="204"/>
      </rPr>
      <t xml:space="preserve">-cu bəndində göstərilən </t>
    </r>
  </si>
  <si>
    <t>qaydada yenidən ödənilməsini tələb etmək;</t>
  </si>
  <si>
    <r>
      <t>2.1.5.</t>
    </r>
    <r>
      <rPr>
        <sz val="10"/>
        <rFont val="Arial"/>
        <family val="2"/>
      </rPr>
      <t xml:space="preserve"> "Borcalan" öhdəliyini lazımi qaydada icra etmədikdə "Girov Predmeti"nə və ya onun digər daşınar və daşınmaz əmlaklarına tutmanı yönəltmək;</t>
    </r>
  </si>
  <si>
    <t>məbləğdə kompensasiya tələb etmək;</t>
  </si>
  <si>
    <r>
      <t xml:space="preserve">2.1.6. </t>
    </r>
    <r>
      <rPr>
        <sz val="10"/>
        <rFont val="Arial"/>
        <family val="2"/>
      </rPr>
      <t>İstənilən vaxt "Girov Predmeti"nin saxlanılma vəziyyətini, "Borcalan"ın maliyyə vəziyyətini və s. məsələləri istənilən yerdə (evində, iş yerində və s) yoxlamaq;</t>
    </r>
  </si>
  <si>
    <r>
      <t>2.1.7. "</t>
    </r>
    <r>
      <rPr>
        <sz val="10"/>
        <rFont val="Arial"/>
        <family val="2"/>
        <charset val="204"/>
      </rPr>
      <t xml:space="preserve">Borcalan" kreditin tam ödənişini müqavilədə müəyyən edilən vaxtdan tez icra etdikdə “Borcalan”dan bu Müqavilədə və qanunvericilikdə müəyyən olunmuş </t>
    </r>
  </si>
  <si>
    <r>
      <t>2.1.8.</t>
    </r>
    <r>
      <rPr>
        <sz val="10"/>
        <rFont val="Arial"/>
        <family val="2"/>
      </rPr>
      <t xml:space="preserve"> Borc məcburi qaydada məhkəmə yolu ilə alınarsa qətnamə tam icra olunub başa çatanadək hesablanan cərimə (dəbbə) pulunu "Borcalan"dan tələb etmək; </t>
    </r>
  </si>
  <si>
    <r>
      <t xml:space="preserve">2.1.9. </t>
    </r>
    <r>
      <rPr>
        <sz val="10"/>
        <rFont val="Arial"/>
        <family val="2"/>
        <charset val="204"/>
      </rPr>
      <t>Bu Müqavilədən irəli gələn və qanunvericiliklə nəzərdə tutulmuş digər hüquqlar.</t>
    </r>
  </si>
  <si>
    <r>
      <t xml:space="preserve">2.2.2. </t>
    </r>
    <r>
      <rPr>
        <sz val="10"/>
        <rFont val="Arial"/>
        <family val="2"/>
        <charset val="204"/>
      </rPr>
      <t>Bu Müqavilə ilə üzərinə götürdüyü öhdəlikləri vaxtında və lazımi qaydada icra etmək və onların pozulmasına yol verməmək;</t>
    </r>
  </si>
  <si>
    <r>
      <rPr>
        <b/>
        <sz val="10"/>
        <rFont val="Arial"/>
        <family val="2"/>
        <charset val="204"/>
      </rPr>
      <t>2.2.3.</t>
    </r>
    <r>
      <rPr>
        <sz val="10"/>
        <rFont val="Arial"/>
        <family val="2"/>
        <charset val="204"/>
      </rPr>
      <t xml:space="preserve"> Bu Müqavilə müddətində “Borcalan”ın müraciəti əsasında ödənişsiz olaraq kağız daşıyıcıda təqvim ili ərzində iki dəfə, digər davamlı daşıyıcıda isə istənilən </t>
    </r>
  </si>
  <si>
    <t>zaman kreditin qalığı barədə “Borcalan”a hesabdan çıxarış təqdim etmək;</t>
  </si>
  <si>
    <r>
      <rPr>
        <b/>
        <sz val="10"/>
        <rFont val="Arial"/>
        <family val="2"/>
        <charset val="204"/>
      </rPr>
      <t>2.2.4.</t>
    </r>
    <r>
      <rPr>
        <sz val="10"/>
        <rFont val="Arial"/>
        <family val="2"/>
        <charset val="204"/>
      </rPr>
      <t xml:space="preserve"> Bu Müqavilədən irəli gələn və qanunvericilikdə nəzərdə tutulmuş digər vəzifələr.</t>
    </r>
  </si>
  <si>
    <t>qalığı barədə hesabdan çıxarış əldə etmək;</t>
  </si>
  <si>
    <r>
      <t xml:space="preserve">2.3.3. </t>
    </r>
    <r>
      <rPr>
        <sz val="10"/>
        <rFont val="Arial"/>
        <family val="2"/>
        <charset val="204"/>
      </rPr>
      <t xml:space="preserve">Bu Müqavilə müddətində müraciət əsasənda ödənişsiz olaraq kağız daşıyıcıda təqvim ili ərzində iki dəfə, digər davamlı daşıyıcıda isə istənilən zaman kreditin </t>
    </r>
  </si>
  <si>
    <r>
      <t>2.1.2.</t>
    </r>
    <r>
      <rPr>
        <sz val="10"/>
        <rFont val="Arial"/>
        <family val="2"/>
      </rPr>
      <t xml:space="preserve"> "Borcalan" bu Müqaviləyə və onun əlavə(lər)sinə uyğun olaraq ödəniş məbləğlərini bu Müqavilənin </t>
    </r>
    <r>
      <rPr>
        <b/>
        <sz val="10"/>
        <rFont val="Arial"/>
        <family val="2"/>
        <charset val="204"/>
      </rPr>
      <t>1.10-</t>
    </r>
    <r>
      <rPr>
        <sz val="10"/>
        <rFont val="Arial"/>
        <family val="2"/>
        <charset val="204"/>
      </rPr>
      <t>cu</t>
    </r>
    <r>
      <rPr>
        <b/>
        <sz val="10"/>
        <rFont val="Arial"/>
        <family val="2"/>
        <charset val="204"/>
      </rPr>
      <t xml:space="preserve"> </t>
    </r>
    <r>
      <rPr>
        <sz val="10"/>
        <rFont val="Arial"/>
        <family val="2"/>
        <charset val="204"/>
      </rPr>
      <t>bəndində</t>
    </r>
    <r>
      <rPr>
        <sz val="10"/>
        <rFont val="Arial"/>
        <family val="2"/>
      </rPr>
      <t xml:space="preserve"> göstərilmiş qaydada bank hesabları və </t>
    </r>
  </si>
  <si>
    <r>
      <rPr>
        <b/>
        <sz val="10"/>
        <rFont val="Arial"/>
        <family val="2"/>
        <charset val="204"/>
      </rPr>
      <t>2.3.4.</t>
    </r>
    <r>
      <rPr>
        <sz val="10"/>
        <rFont val="Arial"/>
        <family val="2"/>
        <charset val="204"/>
      </rPr>
      <t xml:space="preserve"> "Borcalan" Bu Müqavilə üzrə pul vəsaitinin verildiyi gündən 30 (otuz) gün müddətində heç bir səbəb göstərmədən bu müqavilədən imtina edə bilər, Bu halda, </t>
    </r>
  </si>
  <si>
    <t xml:space="preserve">"Borcalan" müqavilə üzrə verilmiş pul vəsaitini və həmin pul vəsaitinin verildiyi gündən qaytarıldığı günədək hesablanan faizləri, dövlət rüsumu və xidmət haqlarının </t>
  </si>
  <si>
    <t xml:space="preserve">məbləğini ödəməlidir. </t>
  </si>
  <si>
    <r>
      <rPr>
        <b/>
        <sz val="10"/>
        <rFont val="Arial"/>
        <family val="2"/>
        <charset val="204"/>
      </rPr>
      <t>2.3.4.</t>
    </r>
    <r>
      <rPr>
        <sz val="10"/>
        <rFont val="Arial"/>
        <family val="2"/>
        <charset val="204"/>
      </rPr>
      <t xml:space="preserve"> Bu Müqavilədən irəli gələn və qanunvericilikdə nəzərdə tutulmuş digər hüquqlar.</t>
    </r>
  </si>
  <si>
    <t>mexaniki və ya başqa surətçıxartma vasitələrinin köməyi ilə imzanın faksimilesindən istifadə etməklə təsdiq etmək hüququ vardır.</t>
  </si>
  <si>
    <r>
      <t xml:space="preserve">2.1.10. </t>
    </r>
    <r>
      <rPr>
        <sz val="10"/>
        <rFont val="Arial"/>
        <family val="2"/>
        <charset val="204"/>
      </rPr>
      <t>Bu Müqavilənin bağlanması zamanı “BOKT” Müqaviləni təmsil olunduğu şəxsin fiziki imzası, elektron imza və ya qanunvericiliklə nəzərdə tutulmuş qaydada</t>
    </r>
  </si>
  <si>
    <r>
      <t xml:space="preserve">2.4.2. </t>
    </r>
    <r>
      <rPr>
        <sz val="10"/>
        <rFont val="Arial"/>
        <family val="2"/>
        <charset val="204"/>
      </rPr>
      <t>Müqavilə üzrə üzərinə götürdüyü öhdəlikləri vaxtında, düzgün və tam həcmdə icra etmək</t>
    </r>
    <r>
      <rPr>
        <sz val="10"/>
        <rFont val="Arial"/>
        <family val="2"/>
      </rPr>
      <t>;</t>
    </r>
  </si>
  <si>
    <t>həmin dəyişiklikdən etibarən 3 (üç) gün ərzində "BOKT"nı xəbərdar etmək;</t>
  </si>
  <si>
    <r>
      <t xml:space="preserve">2.4.4. </t>
    </r>
    <r>
      <rPr>
        <sz val="10"/>
        <rFont val="Arial"/>
        <family val="2"/>
        <charset val="204"/>
      </rPr>
      <t xml:space="preserve">Öz qeydiyyat/yaşayış yerinin dəyişilməsi barədə "BOKT"a məlumat vermək, olduğu yer, ticarətinin yeri və ya iş yeri, yaxud işə götürənin dəyişilməsi haqqında </t>
    </r>
  </si>
  <si>
    <r>
      <rPr>
        <b/>
        <sz val="10"/>
        <rFont val="Arial"/>
        <family val="2"/>
        <charset val="204"/>
      </rPr>
      <t>2.4.5.</t>
    </r>
    <r>
      <rPr>
        <sz val="10"/>
        <rFont val="Arial"/>
        <family val="2"/>
        <charset val="204"/>
      </rPr>
      <t xml:space="preserve"> Bu Müqavilənin bağlanması zamanı “BOKT” Müqaviləni təmsil olunduğu şəxsin fiziki imzası və ya qanunvericiliklə nəzərdə tutulmuş qaydada mexaniki və ya </t>
    </r>
  </si>
  <si>
    <t>başqa surətçıxartma vasitələrinin köməyi ilə imzanin faksimilesindən istifadə etməklə təsdiq etməsi prosesi ilə razılaşmaq;</t>
  </si>
  <si>
    <r>
      <rPr>
        <b/>
        <sz val="10"/>
        <rFont val="Arial"/>
        <family val="2"/>
        <charset val="204"/>
      </rPr>
      <t>2.4.6.</t>
    </r>
    <r>
      <rPr>
        <sz val="10"/>
        <rFont val="Arial"/>
        <family val="2"/>
        <charset val="204"/>
      </rPr>
      <t xml:space="preserve"> Bu Müqavilədən irəli gələn və qanunvericilikdə nəzərdə tutulmuş digər vəzifələr.</t>
    </r>
  </si>
  <si>
    <t>iddiası və ya qeyd edilənlərlə bağlı müvafiq orqanın qərarı, sərəncamı və ya məhkəmə aktı müvcud olduqda;</t>
  </si>
  <si>
    <t>ya sənədlərin təqdim edilməsi barədə “BOKT”da ciddi şübhələr və ya məlumat olduqda;</t>
  </si>
  <si>
    <t>hesablanmış faizlər, cərimə və s.) vaxtından əvvəl qaytarılmasını tələb edə bilər:</t>
  </si>
  <si>
    <t>(Əlavə №1)" üzrə ödənişləri yerinə yetirmədikdə;</t>
  </si>
  <si>
    <t xml:space="preserve">qaydada icrasına mənfi təsir edə biləcək digər faktlar (Borcalanın ödənilməmiş borcları, icra edilməmiş mülki-hüquqi öhdəlikləri, saxta sənədlərin təqdim edilməsi </t>
  </si>
  <si>
    <t xml:space="preserve">və s.) haqqında verdiyi məlumatların və təqdim etdiyi sənədlərin (o cümlədən kredit alınması üçün müraciət formasında ifadə edilmiş məlumatlar da daxil olmaqla) </t>
  </si>
  <si>
    <t>həqiqətə uyğun olmadığı aşkar olunduqda;</t>
  </si>
  <si>
    <t xml:space="preserve">dəbbə pulu və digər haqlar daxil olmaqla) 90 (doxsan) gün və ya daha çox müddətdə gecikdirildikdə, yaxud borcun (faizlər, dəbbə pulu və digər haqlar daxil olmaqla) </t>
  </si>
  <si>
    <t>ödənilməsi müddətləri 90 (doxsan) gündən az olmamaqla ardıcıl olaraq iki dəfə pozulduqda;</t>
  </si>
  <si>
    <t>ödənilməsi tələbi ilə bağlı aidiyyəti məhkəməyə və ya icra qeydinin aparılması üçün notariat orqanına müraciət edə bilər.</t>
  </si>
  <si>
    <t xml:space="preserve">ona  verildiyi gündən 30 (otuz) gün ərzində bu müqavilədən imtina etdikdə, bu Müqavilə üzrə hesablanmış faizləri, dəbbə pulunu və kredit rəsmiləşdirilməsinə görə </t>
  </si>
  <si>
    <t>çəkilmiş 6% xidmət haqqı xərcini “BOKT”a ödəməlidir.</t>
  </si>
  <si>
    <t>“Borcalan”ın bu müqavilə üzrə yaranan öhdəliklərinin icrasını dayandırmaq və etdiyi ödənişlərin geri qaytarılmasını “BOKT”dan tələb etmək hüququ vardır.</t>
  </si>
  <si>
    <t>və bu müraciət tarixindən sonra 1 (bir) ay müddətində Satıcı ilə “Borcalan” arasında razılaşdırılmış şərtlər Satıcı tərəfindən yerinə yetirilməmişdir;</t>
  </si>
  <si>
    <t>lazımi keyfiyyətdə olmaması barədə müraciət etmişdir;</t>
  </si>
  <si>
    <t>edilmiş müqavilə əsasında aldığı malları tam olaraq geri qaytarmışdır;</t>
  </si>
  <si>
    <t>bu Müqavilə üzrə etdiyi ödənişləri geri qaytarır. Karta görə ödənilən məbləğ “Borcalan”a geri qaytarılmır.</t>
  </si>
  <si>
    <t>5. YEKUN MÜDDƏALAR</t>
  </si>
  <si>
    <t xml:space="preserve">Mərkəzləşdirilmiş Kredit Reyestrinə gondərə bilər. «Borcalan» bu Muqaviləni imzalamaqla, 'Bank olmayan kredit təşkilatları haqqında' Azərbaycan Respublikası </t>
  </si>
  <si>
    <r>
      <rPr>
        <b/>
        <sz val="10"/>
        <rFont val="Arial"/>
        <family val="2"/>
        <charset val="204"/>
      </rPr>
      <t>5.1.</t>
    </r>
    <r>
      <rPr>
        <sz val="10"/>
        <rFont val="Arial"/>
        <family val="2"/>
        <charset val="204"/>
      </rPr>
      <t xml:space="preserve"> "BOKT" bu Muqavilə üzrə qanunvericiliklə muəyyən edilmiş məlumatları “Azərbaycan Kredit Bürosu” MMC-yə və Azərbaycan Respublikası Mərkəzi Bankının </t>
    </r>
  </si>
  <si>
    <t xml:space="preserve">Qanununa və digər qanunvericilik aktlarına muvafiq olaraq özü haqqında məlumatların “Azərbaycan Kredit Bürosu” MMC-yə və Azərbaycan Respublikası Mərkəzi </t>
  </si>
  <si>
    <t>Bankının Mərkəzləşdirilmiş Kredit Reyestrinə təqdim olunmasına və haqqında olan məlumatların sorğulanmasına razılıq verir.</t>
  </si>
  <si>
    <r>
      <rPr>
        <b/>
        <sz val="10"/>
        <rFont val="Arial"/>
        <family val="2"/>
        <charset val="204"/>
      </rPr>
      <t>5.2.</t>
    </r>
    <r>
      <rPr>
        <sz val="10"/>
        <rFont val="Arial"/>
        <family val="2"/>
        <charset val="204"/>
      </rPr>
      <t xml:space="preserve"> Bu Müqaviləyə gələcəkdə hər hansı əlavə və dəyişikliklərin edilməsi Azərbaycan Respublikasının qanunvericiliyi ilə nəzərdə tutulmuş qaydada tərəflər arasında </t>
    </r>
  </si>
  <si>
    <t>yazılı şəkildə bağlanmış razılaşma ilə rəsmiləşdiriləcəkdir.</t>
  </si>
  <si>
    <r>
      <rPr>
        <b/>
        <sz val="10"/>
        <rFont val="Arial"/>
        <family val="2"/>
        <charset val="204"/>
      </rPr>
      <t>5.3.</t>
    </r>
    <r>
      <rPr>
        <sz val="10"/>
        <rFont val="Arial"/>
        <family val="2"/>
        <charset val="204"/>
      </rPr>
      <t xml:space="preserve"> "BOKT" bu Müqavilədən irəli gələn hüquq və vəzifələrini, o cümlədən, kreditin qaytarılması üçün tədbir görülməsini, "Borcalan" haqqında məlumatları "Borcalan"ın </t>
    </r>
  </si>
  <si>
    <t>qaytarıldığı günədək, kreditdən istifadə edilmiş günlərin faktiki sayına görə əsas borcun qalıq məbləğinə hesablanır.</t>
  </si>
  <si>
    <t>müddətinə görə hesablanmış faizlər vaxtından əvvəl ödənilmiş məbləğə mütənasib olaraq azaldılır.</t>
  </si>
  <si>
    <t xml:space="preserve">müqavilə müddətinin bitməsinə 1 (bir) ildən çox qaldıqda, vaxtından əvvəl ödənilmiş məbləğin 1 (bir) faizi həcmində, 1 (bir) il və daha az müddət qaldıqda isə 0,5 faiz </t>
  </si>
  <si>
    <t>həcmində müəyyən edilir.</t>
  </si>
  <si>
    <t>razılığı olmadan üçüncü şəxslərə verə (transfer edə) bilər. "Borcalan" isə yalnız "BOKT"nin yazılı razılığı ilə bu hüquqa malikdir.</t>
  </si>
  <si>
    <t>Respublikasının qanunvericiliyi əsasında aidiyyəti məhkəmə tərəfindən həll olunur.</t>
  </si>
  <si>
    <t>R.Behbudov küçəsi 90,), əlaqə nömrəsi: +994 012 966; +99412 493 50 58 və qaynar xətti ilə əlaqə saxlaya bilər.</t>
  </si>
  <si>
    <t>həyata keçiriləcək. Artıq miqdarda edilən ödənişlərin öhdəliyin icrasından silinmə ardıcıllığı: əsas borcdan silinməklə həyata keçiriləcək.</t>
  </si>
  <si>
    <t xml:space="preserve">yaşayış ünvanında edilmiş dəyişikliklər barədə bu Müqavilənin 2.4.4-cü bəndi ilə müəyyən olunmuş qaydada “BOKT”u məlumatlandırmadıqda sonuncu məlum olan </t>
  </si>
  <si>
    <t>ünvan üzrə gəndərilmiş müraciətlər, bildirişlər, xəbərdarlıqlar çatdırılmış hesab olunur.</t>
  </si>
  <si>
    <t>müqavilə üzrə öhdəliyin vaxtının bitmə müddətindən əlavə 3 (üç) il müddətində yüklü (girovda) olaraq qalmasına razılıq verir.</t>
  </si>
  <si>
    <t>Borcalanda qalır. "Borcalan" "BOKT" tərəfndən "Girov Predmeti"nin Daşınar Əmlakın Yüklülüyünün Dövlət Reyestrində (DƏYDR) qeydiyyatının aparılmasına və bu</t>
  </si>
  <si>
    <t xml:space="preserve">Mal(lar)ın tam dəyəri              </t>
  </si>
  <si>
    <t>Komissiya faizi</t>
  </si>
  <si>
    <t>Kart xərci</t>
  </si>
  <si>
    <t>MEBEL</t>
  </si>
  <si>
    <t>İşlədiyimiz faiz dərəcələri</t>
  </si>
  <si>
    <t>Say</t>
  </si>
  <si>
    <t>Borcalanın adı</t>
  </si>
  <si>
    <t>Rəsmi/Qeyri rəsmi</t>
  </si>
  <si>
    <t>Nağdlaşdırma xərci çıxılmaqla</t>
  </si>
  <si>
    <t>Müddət</t>
  </si>
  <si>
    <t>Çıxılacaq %</t>
  </si>
  <si>
    <t>Komissiya</t>
  </si>
  <si>
    <t>Bank xidmət haqqı %-lə</t>
  </si>
  <si>
    <t>Karta gedən məbləğ</t>
  </si>
  <si>
    <t>Köçürülmə tarixi</t>
  </si>
  <si>
    <t>Qeyri rəsmi</t>
  </si>
  <si>
    <t>Rəsmi gəlir</t>
  </si>
  <si>
    <t>3 ayadək</t>
  </si>
  <si>
    <t>6 ayadək</t>
  </si>
  <si>
    <t>9 ayadək</t>
  </si>
  <si>
    <t>12 ayadək</t>
  </si>
  <si>
    <t>15 ayadək</t>
  </si>
  <si>
    <t>18 ayadək</t>
  </si>
  <si>
    <t>`</t>
  </si>
  <si>
    <t>24 ayadək</t>
  </si>
  <si>
    <t>Nağdlaşdırma %-i</t>
  </si>
  <si>
    <t>30 ayadək</t>
  </si>
  <si>
    <t>Partnyorla işləyəcəyimiz faiz dərəcələri</t>
  </si>
  <si>
    <t>● bu Formanın 6-cı hissəsində göstərilən ödəniş üsullarının(borcverənə məxsus ödəniş şəbəkəsindən istifadə edildikdə) tətbiqi ilə bağlı komisyon haqlar 0%</t>
  </si>
  <si>
    <r>
      <t>● </t>
    </r>
    <r>
      <rPr>
        <b/>
        <sz val="11"/>
        <rFont val="Times New Roman"/>
        <family val="1"/>
        <charset val="204"/>
      </rPr>
      <t>dig</t>
    </r>
    <r>
      <rPr>
        <sz val="11"/>
        <rFont val="Times New Roman"/>
        <family val="1"/>
        <charset val="204"/>
      </rPr>
      <t>ə</t>
    </r>
    <r>
      <rPr>
        <b/>
        <sz val="11"/>
        <rFont val="Times New Roman"/>
        <family val="1"/>
        <charset val="204"/>
      </rPr>
      <t>r öd</t>
    </r>
    <r>
      <rPr>
        <sz val="11"/>
        <rFont val="Times New Roman"/>
        <family val="1"/>
        <charset val="204"/>
      </rPr>
      <t>ə</t>
    </r>
    <r>
      <rPr>
        <b/>
        <sz val="11"/>
        <rFont val="Times New Roman"/>
        <family val="1"/>
        <charset val="204"/>
      </rPr>
      <t>ni</t>
    </r>
    <r>
      <rPr>
        <sz val="11"/>
        <rFont val="Times New Roman"/>
        <family val="1"/>
        <charset val="204"/>
      </rPr>
      <t>ş</t>
    </r>
    <r>
      <rPr>
        <b/>
        <sz val="11"/>
        <rFont val="Times New Roman"/>
        <family val="1"/>
        <charset val="204"/>
      </rPr>
      <t>l</t>
    </r>
    <r>
      <rPr>
        <sz val="11"/>
        <rFont val="Times New Roman"/>
        <family val="1"/>
        <charset val="204"/>
      </rPr>
      <t>ə</t>
    </r>
    <r>
      <rPr>
        <b/>
        <sz val="11"/>
        <rFont val="Times New Roman"/>
        <family val="1"/>
        <charset val="204"/>
      </rPr>
      <t xml:space="preserve">r - yoxdur </t>
    </r>
  </si>
  <si>
    <r>
      <t>●</t>
    </r>
    <r>
      <rPr>
        <b/>
        <sz val="11"/>
        <rFont val="Times New Roman"/>
        <family val="1"/>
        <charset val="204"/>
      </rPr>
      <t xml:space="preserve"> istehlak kreditinin rəsmiləşdirilməsinə görə ümumi kredit məbləğinin - həcmində komissiya haqqı</t>
    </r>
  </si>
  <si>
    <t>Tətbiq edilmir</t>
  </si>
  <si>
    <t>kart xərci</t>
  </si>
  <si>
    <t>Kredit ödənişləri gecikdirldiyi halda Sizdən hər gecikdirilən gün üçün gecikdirilmiş aylıq ödənilməli əsas borcun 1% (bir) faizi miqdarında dəbbə pulu tələb ediləcək.</t>
  </si>
  <si>
    <t>nağdlaşdırıldıqda nağdlaşdırma xərci həmin təşkilatların tariflərinə uyğun olaraq tutulur.</t>
  </si>
  <si>
    <t xml:space="preserve">saylı əlaqəli kredit müqaviləsinə əsasən BOKT Borcalana </t>
  </si>
  <si>
    <t xml:space="preserve">aya qaytarmaq şərti ilə,illik </t>
  </si>
  <si>
    <t xml:space="preserve">aya qaytarmaq şərti ilə illik </t>
  </si>
  <si>
    <r>
      <t xml:space="preserve">5.4. </t>
    </r>
    <r>
      <rPr>
        <sz val="10"/>
        <rFont val="Arial"/>
        <family val="2"/>
      </rPr>
      <t xml:space="preserve">Kredit üzrə Faktiki İllik Faiz Dərəcəsi             </t>
    </r>
  </si>
  <si>
    <r>
      <rPr>
        <b/>
        <sz val="10"/>
        <rFont val="Arial"/>
        <family val="2"/>
        <charset val="204"/>
      </rPr>
      <t>5.5.</t>
    </r>
    <r>
      <rPr>
        <sz val="10"/>
        <rFont val="Arial"/>
        <family val="2"/>
        <charset val="204"/>
      </rPr>
      <t xml:space="preserve"> Kredit üzrə faizlərin hesablanması ildə 360 (üç yüz altmış) təqvim günü, ayda isə 30 (otuz) təqvim günü götürülməklə kreditin “Borcalan”a verildiyi gündən faktiki </t>
    </r>
  </si>
  <si>
    <r>
      <t>5.6.</t>
    </r>
    <r>
      <rPr>
        <sz val="10"/>
        <rFont val="Arial"/>
        <family val="2"/>
      </rPr>
      <t xml:space="preserve"> "Borcalan"ın yetərli miqdarda olmayan kredit ödənişlərinin öhdəliyin icrasından silinmə ardıcıllığı: cərimə (</t>
    </r>
    <r>
      <rPr>
        <sz val="10"/>
        <rFont val="Arial"/>
        <family val="2"/>
        <charset val="204"/>
      </rPr>
      <t>dəbbə) pulu, faiz borcu və əsas borcdan</t>
    </r>
    <r>
      <rPr>
        <sz val="10"/>
        <rFont val="Arial"/>
        <family val="2"/>
      </rPr>
      <t xml:space="preserve"> silinməklə </t>
    </r>
  </si>
  <si>
    <r>
      <t>5.7.</t>
    </r>
    <r>
      <rPr>
        <sz val="10"/>
        <rFont val="Arial"/>
        <family val="2"/>
      </rPr>
      <t xml:space="preserve"> "Borcalan" son ödəniş zamanı yarana biləcək (ödədiyi) artıq məbləğin "BOKT" tərəfindən qeyd-şərtsiz silinməsinə etiraz etmir.</t>
    </r>
  </si>
  <si>
    <r>
      <rPr>
        <b/>
        <sz val="10"/>
        <rFont val="Arial"/>
        <family val="2"/>
        <charset val="204"/>
      </rPr>
      <t>5.8.</t>
    </r>
    <r>
      <rPr>
        <sz val="10"/>
        <rFont val="Arial"/>
        <family val="2"/>
        <charset val="204"/>
      </rPr>
      <t xml:space="preserve"> Borcalan” krediti istənilən vaxt xəbərdarlıq etmədən tamamilə və ya qismən “BOKT”a qaytara bilər. “Borcalan” krediti vaxtından əvvəl qaytardıqda, kreditin qalıq </t>
    </r>
  </si>
  <si>
    <r>
      <rPr>
        <b/>
        <sz val="10"/>
        <rFont val="Arial"/>
        <family val="2"/>
        <charset val="204"/>
      </rPr>
      <t>5.9.</t>
    </r>
    <r>
      <rPr>
        <sz val="10"/>
        <rFont val="Arial"/>
        <family val="2"/>
        <charset val="204"/>
      </rPr>
      <t xml:space="preserve"> "BOKT” kreditin vaxtından əvvəl icrası zamanı zərərin əvəzinin ödənilməsi üçün “Borcalan”dan kompensasiya məbləği tələb edə bilər. Kompensasiyanın məbləği </t>
    </r>
  </si>
  <si>
    <r>
      <t>5.10.</t>
    </r>
    <r>
      <rPr>
        <sz val="10"/>
        <rFont val="Arial"/>
        <family val="2"/>
      </rPr>
      <t xml:space="preserve"> Kreditin nağdlaşdırılması zamanı həcmində nağdlaşdırma xərci tutulur, kredit kart emitentinə məxsus olmayan digər təşkilatların ATM/Pos-terminalı vasitəsilə</t>
    </r>
  </si>
  <si>
    <r>
      <rPr>
        <b/>
        <sz val="10"/>
        <rFont val="Arial"/>
        <family val="2"/>
        <charset val="204"/>
      </rPr>
      <t>5.11.</t>
    </r>
    <r>
      <rPr>
        <sz val="10"/>
        <rFont val="Arial"/>
        <family val="2"/>
        <charset val="204"/>
      </rPr>
      <t xml:space="preserve"> “Borcalan” “İstehlak krediti müqaviləsi üzrə Standart məlumatlandırma forması”nın “BOKT” tərəfindən ona təqdim edilməsini təsdiq edir.</t>
    </r>
  </si>
  <si>
    <r>
      <t xml:space="preserve">5.12. </t>
    </r>
    <r>
      <rPr>
        <sz val="10"/>
        <rFont val="Arial"/>
        <family val="2"/>
        <charset val="204"/>
      </rPr>
      <t>“BOKT”un “Borcalan”a ünvanladığı bütün müraciətlər, bildirişlər, xəbərdarlıqlar “Borcalan”ın bu Müqavilədə göstərilən ünvanına göndərilir. “Borcalan” qeydiyyat/</t>
    </r>
  </si>
  <si>
    <r>
      <rPr>
        <b/>
        <sz val="10"/>
        <rFont val="Arial"/>
        <family val="2"/>
        <charset val="204"/>
      </rPr>
      <t>5.13.</t>
    </r>
    <r>
      <rPr>
        <sz val="10"/>
        <rFont val="Arial"/>
        <family val="2"/>
        <charset val="204"/>
      </rPr>
      <t xml:space="preserve"> Tərəflər arasında bu müqavilənin icrası ilə əlaqədar olan mübahisələr qarşılıqlı razılıqla həll edilir. Qarşılıqlı razılıqla həll edilə bilməyən mübahisələr Azərbaycan </t>
    </r>
  </si>
  <si>
    <r>
      <rPr>
        <b/>
        <sz val="10"/>
        <rFont val="Arial"/>
        <family val="2"/>
        <charset val="204"/>
      </rPr>
      <t>5.14.</t>
    </r>
    <r>
      <rPr>
        <sz val="10"/>
        <rFont val="Arial"/>
        <family val="2"/>
        <charset val="204"/>
      </rPr>
      <t xml:space="preserve"> Bu Müqavilənin hər hansı bir müddəasının etibarsız hesab edilməsi bu Müqavilənin bütün və ya digər müddəalarının etibarsız hesab edilməsinə səbəb olmur.</t>
    </r>
  </si>
  <si>
    <r>
      <rPr>
        <b/>
        <sz val="10"/>
        <rFont val="Arial"/>
        <family val="2"/>
        <charset val="204"/>
      </rPr>
      <t>5.15.</t>
    </r>
    <r>
      <rPr>
        <sz val="10"/>
        <rFont val="Arial"/>
        <family val="2"/>
        <charset val="204"/>
      </rPr>
      <t xml:space="preserve"> Bu Müqavilə ilə tənzimlənməyən məsələlər Azərbaycan Respublikasının qanunvericiliyi ilə tənzimlənir.</t>
    </r>
  </si>
  <si>
    <r>
      <rPr>
        <b/>
        <sz val="10"/>
        <rFont val="Arial"/>
        <family val="2"/>
        <charset val="204"/>
      </rPr>
      <t>5.16.</t>
    </r>
    <r>
      <rPr>
        <sz val="10"/>
        <rFont val="Arial"/>
        <family val="2"/>
        <charset val="204"/>
      </rPr>
      <t xml:space="preserve"> “BOKT” bu müqavilədə və qanunvericilikdə müəyyən edilmiş qaydada kreditin verilməsindən imtina etmək hüququnu özündə saxlayır.</t>
    </r>
  </si>
  <si>
    <r>
      <rPr>
        <b/>
        <sz val="10"/>
        <rFont val="Arial"/>
        <family val="2"/>
        <charset val="204"/>
      </rPr>
      <t>5.17.</t>
    </r>
    <r>
      <rPr>
        <sz val="10"/>
        <rFont val="Arial"/>
        <family val="2"/>
        <charset val="204"/>
      </rPr>
      <t xml:space="preserve"> “Borcalan” aşağıda imza etməklə bu Müqaviləni oxuduğunu, şərtlərini başa düşdüyünü təsdiq edir və Müqavilənin şərtləri ilə razı olduğunu bildirir.</t>
    </r>
  </si>
  <si>
    <r>
      <t xml:space="preserve">5.18. </t>
    </r>
    <r>
      <rPr>
        <sz val="10"/>
        <rFont val="Arial"/>
        <family val="2"/>
        <charset val="204"/>
      </rPr>
      <t xml:space="preserve">"Borcalan" maliyyə xidmətlərini istehlak edərkən qarşılaşdığı çətinliklər və suallarla əlaqədar Azərbaycan Respublikası Mərkəzi Bankının ünvanı (Bakı şəhəri, </t>
    </r>
  </si>
  <si>
    <r>
      <rPr>
        <b/>
        <sz val="10"/>
        <rFont val="Arial"/>
        <family val="2"/>
        <charset val="204"/>
      </rPr>
      <t>5.19.</t>
    </r>
    <r>
      <rPr>
        <sz val="10"/>
        <rFont val="Arial"/>
        <family val="2"/>
        <charset val="204"/>
      </rPr>
      <t xml:space="preserve"> Müraciət üçün “BOKT”un əlaqə nömrəsi: +99412 526 26 25;  Sayt ünvanı: https://www.idealkredit.az/ </t>
    </r>
  </si>
  <si>
    <r>
      <t>5.20.</t>
    </r>
    <r>
      <rPr>
        <sz val="10"/>
        <rFont val="Arial"/>
        <family val="2"/>
      </rPr>
      <t xml:space="preserve"> Bu müqavilə eyni hüquqi qüvvəyə malik  2 (iki) nüsxədə tərtib edilmişdir və tərəflərin imza və möhürü ilə təsdiq edildikdən sonra qüvvəyə minir.</t>
    </r>
  </si>
  <si>
    <r>
      <rPr>
        <b/>
        <sz val="10"/>
        <rFont val="Arial"/>
        <family val="2"/>
        <charset val="204"/>
      </rPr>
      <t>4.1</t>
    </r>
    <r>
      <rPr>
        <sz val="10"/>
        <rFont val="Arial"/>
        <family val="2"/>
        <charset val="204"/>
      </rPr>
      <t>. Bu Müqavilə «Tərəflər»in onu imzası və möhürü ilə (olduqda) təsdiq etdiyi andan qüvvəyə minir və «Tərəflər» öz öhdəliklərini tam yerinə yetirənədək qüvvədədir.</t>
    </r>
  </si>
  <si>
    <r>
      <rPr>
        <b/>
        <sz val="10"/>
        <rFont val="Arial"/>
        <family val="2"/>
        <charset val="204"/>
      </rPr>
      <t>4.2.</t>
    </r>
    <r>
      <rPr>
        <sz val="10"/>
        <rFont val="Arial"/>
        <family val="2"/>
        <charset val="204"/>
      </rPr>
      <t xml:space="preserve"> Aşağıdakı hallardan hər hansı biri mövcud olduqda, bu Müqavilə bağlandıqdan sonra da “BOKT” kreditin verilməsindən imtina edə bilər:</t>
    </r>
  </si>
  <si>
    <r>
      <rPr>
        <b/>
        <sz val="10"/>
        <rFont val="Arial"/>
        <family val="2"/>
        <charset val="204"/>
      </rPr>
      <t>4.2.1.</t>
    </r>
    <r>
      <rPr>
        <sz val="10"/>
        <rFont val="Arial"/>
        <family val="2"/>
        <charset val="204"/>
      </rPr>
      <t xml:space="preserve"> Kreditin əsas məbləğinin və faizlərinin “Borcalan” tərəfindən ödənilməsinə təhlükə yarada bilən hər hansı mülki, inzibati və ya cinayət işi, təqibi, icraatı və ya </t>
    </r>
  </si>
  <si>
    <r>
      <rPr>
        <b/>
        <sz val="10"/>
        <rFont val="Arial"/>
        <family val="2"/>
        <charset val="204"/>
      </rPr>
      <t>4.2.2.</t>
    </r>
    <r>
      <rPr>
        <sz val="10"/>
        <rFont val="Arial"/>
        <family val="2"/>
        <charset val="204"/>
      </rPr>
      <t xml:space="preserve"> “Borcalan” tərəfindən kreditlə əlaqədar “BOKT”nı aldatmağa yönəlmiş və ya qanunvericiliyə zidd hər hansı bir hərəkətin edilməsi və ya yanlış məlumatların və </t>
    </r>
  </si>
  <si>
    <r>
      <rPr>
        <b/>
        <sz val="10"/>
        <rFont val="Arial"/>
        <family val="2"/>
        <charset val="204"/>
      </rPr>
      <t>4.2.3.</t>
    </r>
    <r>
      <rPr>
        <sz val="10"/>
        <rFont val="Arial"/>
        <family val="2"/>
        <charset val="204"/>
      </rPr>
      <t xml:space="preserve"> Bu müqavilə üzrə “Borcalan”ın öhdəliklərini yerinə yetirməsinə mənfi təsir göstərə biləcək hallar barədə məlumat daxil olduqda.</t>
    </r>
  </si>
  <si>
    <r>
      <rPr>
        <b/>
        <sz val="10"/>
        <rFont val="Arial"/>
        <family val="2"/>
        <charset val="204"/>
      </rPr>
      <t xml:space="preserve">4.3. </t>
    </r>
    <r>
      <rPr>
        <sz val="10"/>
        <rFont val="Arial"/>
        <family val="2"/>
        <charset val="204"/>
      </rPr>
      <t xml:space="preserve">«BOKT» «Borcalan»ı 1 (bir) ay əvvəlcədən yazılı xəbərdar etməklə aşağıdakı hallarda bu Müqaviləni birtərəfli qaydada ləğv edə və kreditin (əsas məbləğ, </t>
    </r>
  </si>
  <si>
    <r>
      <rPr>
        <b/>
        <sz val="10"/>
        <rFont val="Arial"/>
        <family val="2"/>
        <charset val="204"/>
      </rPr>
      <t>4.3.1.</t>
    </r>
    <r>
      <rPr>
        <sz val="10"/>
        <rFont val="Arial"/>
        <family val="2"/>
        <charset val="204"/>
      </rPr>
      <t xml:space="preserve"> “Borcalan” kredit müqaviləsi üzrə öhdəliklərini (əsas borc və ya faizləri, yaxud onların bir hissəsini) bu müqavilənin ayrılmaz tərkib hissəsi olan “Ödəniş qrafiki </t>
    </r>
  </si>
  <si>
    <r>
      <rPr>
        <b/>
        <sz val="10"/>
        <rFont val="Arial"/>
        <family val="2"/>
        <charset val="204"/>
      </rPr>
      <t>4.3.2.</t>
    </r>
    <r>
      <rPr>
        <sz val="10"/>
        <rFont val="Arial"/>
        <family val="2"/>
        <charset val="204"/>
      </rPr>
      <t xml:space="preserve"> “Borcalan” kreditdən təyinatına uyğun istifadə etmədikdə;</t>
    </r>
  </si>
  <si>
    <r>
      <rPr>
        <b/>
        <sz val="10"/>
        <rFont val="Arial"/>
        <family val="2"/>
        <charset val="204"/>
      </rPr>
      <t>4.3.3.</t>
    </r>
    <r>
      <rPr>
        <sz val="10"/>
        <rFont val="Arial"/>
        <family val="2"/>
        <charset val="204"/>
      </rPr>
      <t xml:space="preserve"> “BOKT”nı aldatmağa yönəlmiş hər hansı bir hərəkətin edildiyi aşkar olunduqda, maliyyə imkanları və bu müqavilədən irəli gələn öhdəliklərin vaxtında və lazimi</t>
    </r>
  </si>
  <si>
    <r>
      <rPr>
        <b/>
        <sz val="10"/>
        <rFont val="Arial"/>
        <family val="2"/>
        <charset val="204"/>
      </rPr>
      <t xml:space="preserve">4.3.4. </t>
    </r>
    <r>
      <rPr>
        <sz val="10"/>
        <rFont val="Arial"/>
        <family val="2"/>
        <charset val="204"/>
      </rPr>
      <t>“Borcalan”ın əmlak vəziyyəti əhəmiyyətli dərəcədə pisləşdikdə;</t>
    </r>
  </si>
  <si>
    <r>
      <rPr>
        <b/>
        <sz val="10"/>
        <rFont val="Arial"/>
        <family val="2"/>
        <charset val="204"/>
      </rPr>
      <t>4.3.5.</t>
    </r>
    <r>
      <rPr>
        <sz val="10"/>
        <rFont val="Arial"/>
        <family val="2"/>
        <charset val="204"/>
      </rPr>
      <t xml:space="preserve"> Borcalan tərəfindən bu Müqavilə üzrə müəyyən edilmiş vəzifələr icra edilmədikdə və ya lazımınca icra edilmədikdə;</t>
    </r>
  </si>
  <si>
    <r>
      <rPr>
        <b/>
        <sz val="10"/>
        <rFont val="Arial"/>
        <family val="2"/>
        <charset val="204"/>
      </rPr>
      <t>4.3.6.</t>
    </r>
    <r>
      <rPr>
        <sz val="10"/>
        <rFont val="Arial"/>
        <family val="2"/>
        <charset val="204"/>
      </rPr>
      <t xml:space="preserve"> Borcun hissə-hissə qaytarılmasını (faizlər, dəbbə pulu və digər haqlar daxil olmaqla), hissə-hissə ödənilməsini bu Müqavilə üzrə vaxtı çatmış borcun (faizlər, </t>
    </r>
  </si>
  <si>
    <r>
      <rPr>
        <b/>
        <sz val="10"/>
        <rFont val="Arial"/>
        <family val="2"/>
        <charset val="204"/>
      </rPr>
      <t>4.4.</t>
    </r>
    <r>
      <rPr>
        <sz val="10"/>
        <rFont val="Arial"/>
        <family val="2"/>
        <charset val="204"/>
      </rPr>
      <t xml:space="preserve"> “Borcalan” bu müqavilənin şərtlərini pozduqda və ya bu müqavilənin 4.3-cü bəndində nəzərdə tutulmuş hallardan hər hansı biri baş verdikdə “BOKT” borcun </t>
    </r>
  </si>
  <si>
    <r>
      <rPr>
        <b/>
        <sz val="10"/>
        <rFont val="Arial"/>
        <family val="2"/>
        <charset val="204"/>
      </rPr>
      <t>4.5.</t>
    </r>
    <r>
      <rPr>
        <sz val="10"/>
        <rFont val="Arial"/>
        <family val="2"/>
        <charset val="204"/>
      </rPr>
      <t xml:space="preserve"> “Borcalan” “BOKT”dan və ya Satıcıdan («Girov Predmeti»ni «Borcalan»a satan) asılı olmayan səbəblərdən və ya hər hansı bir səbəb göstərmədən pul vəsaitinin </t>
    </r>
  </si>
  <si>
    <r>
      <rPr>
        <b/>
        <sz val="10"/>
        <rFont val="Arial"/>
        <family val="2"/>
        <charset val="204"/>
      </rPr>
      <t>4.6.</t>
    </r>
    <r>
      <rPr>
        <sz val="10"/>
        <rFont val="Arial"/>
        <family val="2"/>
        <charset val="204"/>
      </rPr>
      <t xml:space="preserve"> Bu Müqavilə üzrə alınmalı olan mal(lar) “Borcalan”a verilmədikdə, qismən verildikdə və ya Satıcı ilə Borcalan arasında razılaşdırılmış şərtlərə uyğun olmadıqda, </t>
    </r>
  </si>
  <si>
    <r>
      <rPr>
        <b/>
        <sz val="10"/>
        <rFont val="Arial"/>
        <family val="2"/>
        <charset val="204"/>
      </rPr>
      <t>4.7.</t>
    </r>
    <r>
      <rPr>
        <sz val="10"/>
        <rFont val="Arial"/>
        <family val="2"/>
        <charset val="204"/>
      </rPr>
      <t xml:space="preserve"> Bu Müqavilənin 4.6.-ci bəndində göstərilən hüquqlar yalnız aşağıdakı hallarda həyata keçirilə bilər:</t>
    </r>
  </si>
  <si>
    <r>
      <rPr>
        <b/>
        <sz val="10"/>
        <rFont val="Arial"/>
        <family val="2"/>
        <charset val="204"/>
      </rPr>
      <t>4.7.1.</t>
    </r>
    <r>
      <rPr>
        <sz val="10"/>
        <rFont val="Arial"/>
        <family val="2"/>
        <charset val="204"/>
      </rPr>
      <t xml:space="preserve"> “Borcalan” malların ona verilməməsi, qismən verilməsi və yaxud Satıcı ilə aralarında razılaşdırılmış şərtlərə uyğun olmaması ilə bağlı Satıcıya müraciət etmişdir </t>
    </r>
  </si>
  <si>
    <r>
      <rPr>
        <b/>
        <sz val="10"/>
        <rFont val="Arial"/>
        <family val="2"/>
        <charset val="204"/>
      </rPr>
      <t>4.7.2.</t>
    </r>
    <r>
      <rPr>
        <sz val="10"/>
        <rFont val="Arial"/>
        <family val="2"/>
        <charset val="204"/>
      </rPr>
      <t xml:space="preserve"> Malların lazımi keyfiyyətdə olmaması səbəbindən Satıcı ilə Borcalan arasında bağlanmış müqavilə ləğv edildiyi halda, bu şərtlə ki, “Borcalan”“BOKT”a malların </t>
    </r>
  </si>
  <si>
    <r>
      <rPr>
        <b/>
        <sz val="10"/>
        <rFont val="Arial"/>
        <family val="2"/>
        <charset val="204"/>
      </rPr>
      <t>4.7.3.</t>
    </r>
    <r>
      <rPr>
        <sz val="10"/>
        <rFont val="Arial"/>
        <family val="2"/>
        <charset val="204"/>
      </rPr>
      <t xml:space="preserve"> Satıcı tərəfindən malların təhvil verilməməsi səbəbindən Satıcı ilə Borcalan arasında bağlanmış müqaviləyə xitam verilməsi halları istisna olmaqla,Satıcı ləğv </t>
    </r>
  </si>
  <si>
    <r>
      <rPr>
        <b/>
        <sz val="10"/>
        <rFont val="Arial"/>
        <family val="2"/>
        <charset val="204"/>
      </rPr>
      <t xml:space="preserve">4.8. </t>
    </r>
    <r>
      <rPr>
        <sz val="10"/>
        <rFont val="Arial"/>
        <family val="2"/>
        <charset val="204"/>
      </rPr>
      <t>Bu Müqavilənin 4.7-ci bəndində göstərilən halların baş verməsi ilə bağlı “Borcalan” “BOKT”a müraciət etdikdə, “BOKT” 10 (on) iş günü müddətində “Borcalan”ın</t>
    </r>
  </si>
  <si>
    <r>
      <rPr>
        <sz val="11"/>
        <rFont val="Times New Roman"/>
        <family val="1"/>
        <charset val="204"/>
      </rPr>
      <t>●  nağdlaşdırma komissiyası</t>
    </r>
    <r>
      <rPr>
        <b/>
        <sz val="11"/>
        <rFont val="Times New Roman"/>
        <family val="1"/>
        <charset val="204"/>
      </rPr>
      <t>:                                                                                        a) kredit plastik ödəniş kartı ilə verildilikdə nağdlaşdırma komissiyası bank tariflərinə uyğun olaraq tutulur.
b) kredit məbləği əlaqəli kredit müqaviləsi üzrə bank hesabına köçürüldükdə nağdlaşdırma komissiyası tətbiq edilmir.</t>
    </r>
  </si>
  <si>
    <t>Aylar</t>
  </si>
  <si>
    <t>FİFD</t>
  </si>
  <si>
    <t>3</t>
  </si>
  <si>
    <t>əsas</t>
  </si>
  <si>
    <t xml:space="preserve">       təşkil edir.</t>
  </si>
  <si>
    <r>
      <t xml:space="preserve">2.2.1. </t>
    </r>
    <r>
      <rPr>
        <sz val="10"/>
        <rFont val="Arial"/>
        <family val="2"/>
        <charset val="204"/>
      </rPr>
      <t xml:space="preserve">Bu Müqavilənin 1.2-ci bəndində göstərilən kredit məbləğini kreditin rəsmiləşdirilməsinə görə xidmət haqqı və vəsait karta köçürüldükdə plastik ödəniş kartının </t>
    </r>
  </si>
  <si>
    <t>dəyərini tutaraq plastik kart hesabına və ya partnyorun bank hesabına köçürmək;</t>
  </si>
  <si>
    <t>№-li nömrəli plastik ödəniş kartına və ya partnyorun bank hesabına köçürmə yolu ilə həyata keçirilir.</t>
  </si>
  <si>
    <r>
      <t xml:space="preserve">2.1.11. </t>
    </r>
    <r>
      <rPr>
        <sz val="10"/>
        <rFont val="Arial"/>
        <family val="2"/>
        <charset val="204"/>
      </rPr>
      <t>Kredit borcu haqqında arayışın əldə olunmasına görə Borcalandan xidmət haqqı tələb edə bilər.</t>
    </r>
  </si>
  <si>
    <t>FIZIKI ŞƏXSIN EYNILƏŞDIRMƏ MƏLUMATLARI</t>
  </si>
  <si>
    <t xml:space="preserve">Adı, soyadı, ata adı </t>
  </si>
  <si>
    <t xml:space="preserve">Sənədin seriyası və nömrəsi və  FİN </t>
  </si>
  <si>
    <t>VÖEN-i (mövcud olduğu halda)</t>
  </si>
  <si>
    <t>Şəxsin adından çıxış edən səlahiyyətli şəxsin eyniləşdirmə məlumatları</t>
  </si>
  <si>
    <t>Adı, soyadı, ata adı</t>
  </si>
  <si>
    <t>Sənədin seriyası və nömrəsi</t>
  </si>
  <si>
    <t>Sənədin FİN kodu</t>
  </si>
  <si>
    <t>Səlahiyyəti təsdiq edən sənədin adı</t>
  </si>
  <si>
    <t>HÜQUQI ŞƏXSIN EYNILƏŞDIRMƏ MƏLUMATLARI</t>
  </si>
  <si>
    <t>Adı</t>
  </si>
  <si>
    <t>VÖEN-i</t>
  </si>
  <si>
    <t>Razılığın tərtib olunma tarixi</t>
  </si>
  <si>
    <t>Razılığın verilmə tarixi</t>
  </si>
  <si>
    <t>Haqqımda toplanmış məlumatların kredit bürosundan əldə edilməsinə</t>
  </si>
  <si>
    <t>Haqqımda toplanan məlumatların kredit bürosuna təqdim edilməsinə</t>
  </si>
  <si>
    <t>Məlumatların transsərhəd ötürülməsinə</t>
  </si>
  <si>
    <t>Məlumatların “Kredit büroları haqqında” Azərbaycan Respublikasının Qanununun 11.3-cü maddəsində nəzərdə tutulmuş hallarda başqa kredit bürosuna ötürülməsinə</t>
  </si>
  <si>
    <t>Məlumatın saxlanma müddəti başa çatdıqdan və ya kredit tarixçəsi subyektinin ölümündən sonra</t>
  </si>
  <si>
    <t>Kredit tarixçəsi subyektlərinin ödəmə qabiliyyətinin və borc öhdəliklərinin icra intizamının qiymətləndirilməsi və kredit tarixçəsinin subyektlərinə fərdi kredit reytinqlərinin verilməsinə</t>
  </si>
  <si>
    <t>Borc öhdəliyi ilə bağlı olmayan hallar üzrə razılığın qüvvədə olma müddəti və onun geri götürülməsi şərtləri</t>
  </si>
  <si>
    <t>Razılıq alınarkən məlumat təchizatçısı və ya məlumat istifadəçisinin Qanunla müəyyən olunmuş vəzifələri və mənim hüquqlarım barədə mənə məlumat verilməsini</t>
  </si>
  <si>
    <t>Telefon</t>
  </si>
  <si>
    <t>İmza</t>
  </si>
  <si>
    <t>Razılığı almış şəxsin adı, soyadı və imzası:</t>
  </si>
  <si>
    <t xml:space="preserve">     ‘’ASAN’’ Finans sistemi vasitəsilə  məlumatların alınmasına dair razılıq ərizəsi</t>
  </si>
  <si>
    <t xml:space="preserve"> Adı,soyadı,atasının adı:</t>
  </si>
  <si>
    <t xml:space="preserve">   Şəxsin FİN nömrəsi :</t>
  </si>
  <si>
    <t>İmza : ____________________________</t>
  </si>
  <si>
    <r>
      <t xml:space="preserve">   Bununla </t>
    </r>
    <r>
      <rPr>
        <b/>
        <sz val="14"/>
        <rFont val="Times New Roman"/>
        <family val="1"/>
      </rPr>
      <t>razıyam</t>
    </r>
    <r>
      <rPr>
        <sz val="14"/>
        <rFont val="Times New Roman"/>
        <family val="1"/>
      </rPr>
      <t xml:space="preserve"> ki, ‘’ASAN Finans’’ sistemi vasitəsilə Şəxsiyyət vəsiqəm üzrə müəyyən</t>
    </r>
  </si>
  <si>
    <t xml:space="preserve">    olunan məlumatlar : kredit sifarişi, cari və ya kart hesabının açılması və s. məqsədilə                                                                             </t>
  </si>
  <si>
    <t xml:space="preserve">    BOKT İDEAL KREDİT MMC-yə təqdim olunsun.</t>
  </si>
  <si>
    <r>
      <t xml:space="preserve">   Bununla </t>
    </r>
    <r>
      <rPr>
        <b/>
        <sz val="14"/>
        <rFont val="Times New Roman"/>
        <family val="1"/>
      </rPr>
      <t>razıyam</t>
    </r>
    <r>
      <rPr>
        <sz val="14"/>
        <rFont val="Times New Roman"/>
        <family val="1"/>
      </rPr>
      <t xml:space="preserve">  ki, ‘’ASAN Finans’’ sistemi vasitəsilə İş yerim üzrə müəyyən olunan məlumatlar :</t>
    </r>
  </si>
  <si>
    <t xml:space="preserve">   kredit sifarişi, cari və ya kart hesabının açılması və s.  məqsədilə BOKT İdeal KREDİT MMC-yə                                                                                                   </t>
  </si>
  <si>
    <t xml:space="preserve">    təqdim olunsun.              </t>
  </si>
  <si>
    <t xml:space="preserve">   Bu razılıq   5 il  müddətinə qüvvədədir. Razılığın yazılı müraciətimə əsasən vaxdından əvvəl</t>
  </si>
  <si>
    <t xml:space="preserve">   ləğv edilə bilməsi mənə izah olundu.</t>
  </si>
  <si>
    <t xml:space="preserve">   Razılıq verən şəxsin adı:   __________________________________________________                                              </t>
  </si>
  <si>
    <t xml:space="preserve">   Bu razılıq əsasında əldə edilmiş məlumatların saxlanma müddəti müvafiq xidmətdən istifadə müddəti</t>
  </si>
  <si>
    <t xml:space="preserve">   ilə eynidir və həmin xidmətə xitam verildikdən sonra məlumatlar qanunvericilikdə nəzərdə tutulmuş</t>
  </si>
  <si>
    <t xml:space="preserve">   qaydada arxivləşdirilsin.</t>
  </si>
  <si>
    <r>
      <t xml:space="preserve">Toplanılmasına və işlənilməsinə razılıq verilmiş məlumatlar
</t>
    </r>
    <r>
      <rPr>
        <i/>
        <sz val="10"/>
        <rFont val="Times New Roman"/>
        <family val="1"/>
      </rPr>
      <t>(Kredit təşkilatları üçün mütləq Bütün məlumatlar seçilməlidir)</t>
    </r>
  </si>
  <si>
    <r>
      <t xml:space="preserve">Adı </t>
    </r>
    <r>
      <rPr>
        <b/>
        <i/>
        <sz val="10"/>
        <rFont val="Times New Roman"/>
        <family val="1"/>
      </rPr>
      <t>“Azərbaycan Kredit Bürosu” MMC</t>
    </r>
  </si>
  <si>
    <r>
      <t xml:space="preserve">☐ </t>
    </r>
    <r>
      <rPr>
        <b/>
        <sz val="10"/>
        <rFont val="Times New Roman"/>
        <family val="1"/>
      </rPr>
      <t>Hüquqi şəxs üzrə</t>
    </r>
  </si>
  <si>
    <r>
      <rPr>
        <b/>
        <sz val="10"/>
        <rFont val="Times New Roman"/>
        <family val="1"/>
      </rPr>
      <t>Şəxsin adından çıxış edən səlahiyyətli şəxsin eyniləşdirmə məlumatları</t>
    </r>
  </si>
  <si>
    <r>
      <rPr>
        <b/>
        <sz val="10"/>
        <rFont val="Times New Roman"/>
        <family val="1"/>
      </rPr>
      <t>Razılıq verilən kredit bürosunun məlumatları</t>
    </r>
  </si>
  <si>
    <r>
      <t xml:space="preserve">VÖEN-i   </t>
    </r>
    <r>
      <rPr>
        <b/>
        <i/>
        <sz val="10"/>
        <rFont val="Times New Roman"/>
        <family val="1"/>
      </rPr>
      <t>1305349901</t>
    </r>
  </si>
  <si>
    <r>
      <rPr>
        <b/>
        <sz val="10"/>
        <rFont val="Times New Roman"/>
        <family val="1"/>
      </rPr>
      <t xml:space="preserve">  Məlumatın toplanılmasına və işlənilməsinə kredit tarixçəsi subyektinin münasibəti                                                                              </t>
    </r>
  </si>
  <si>
    <r>
      <rPr>
        <b/>
        <sz val="10"/>
        <rFont val="Times New Roman"/>
        <family val="1"/>
      </rPr>
      <t xml:space="preserve">■ razıyam </t>
    </r>
    <r>
      <rPr>
        <b/>
        <sz val="10"/>
        <color indexed="10"/>
        <rFont val="Times New Roman"/>
        <family val="1"/>
      </rPr>
      <t xml:space="preserve">* </t>
    </r>
    <r>
      <rPr>
        <sz val="10"/>
        <rFont val="Times New Roman"/>
        <family val="1"/>
      </rPr>
      <t>☐ razı deyiləm</t>
    </r>
  </si>
  <si>
    <r>
      <rPr>
        <b/>
        <sz val="10"/>
        <rFont val="Times New Roman"/>
        <family val="1"/>
      </rPr>
      <t>Məlumatın toplanılmasına və işlənilməsinə kredit tarixçəsi subyektinin münasibəti</t>
    </r>
  </si>
  <si>
    <r>
      <t xml:space="preserve">☐ məhv edilsin ■ </t>
    </r>
    <r>
      <rPr>
        <b/>
        <sz val="10"/>
        <rFont val="Times New Roman"/>
        <family val="1"/>
      </rPr>
      <t xml:space="preserve">arxivləşdirilsin </t>
    </r>
    <r>
      <rPr>
        <b/>
        <sz val="10"/>
        <color indexed="10"/>
        <rFont val="Times New Roman"/>
        <family val="1"/>
      </rPr>
      <t>*</t>
    </r>
  </si>
  <si>
    <r>
      <rPr>
        <i/>
        <sz val="10"/>
        <rFont val="Times New Roman"/>
        <family val="1"/>
      </rPr>
      <t>Müddətsiz (il, ay, gün və s)
yoxdur
(şərtlər)</t>
    </r>
  </si>
  <si>
    <r>
      <rPr>
        <b/>
        <sz val="10"/>
        <rFont val="Times New Roman"/>
        <family val="1"/>
      </rPr>
      <t xml:space="preserve">■ təsdiq edirəm </t>
    </r>
    <r>
      <rPr>
        <b/>
        <sz val="10"/>
        <color indexed="10"/>
        <rFont val="Times New Roman"/>
        <family val="1"/>
      </rPr>
      <t xml:space="preserve">*  </t>
    </r>
    <r>
      <rPr>
        <sz val="10"/>
        <rFont val="Times New Roman"/>
        <family val="1"/>
      </rPr>
      <t>☐ inkar edirəm</t>
    </r>
  </si>
  <si>
    <r>
      <rPr>
        <b/>
        <sz val="10"/>
        <rFont val="Times New Roman"/>
        <family val="1"/>
      </rPr>
      <t>Razılığın müddəti və onun geri götürülməsi</t>
    </r>
  </si>
  <si>
    <r>
      <rPr>
        <b/>
        <sz val="10"/>
        <rFont val="Times New Roman"/>
        <family val="1"/>
      </rPr>
      <t>Razılığı alınmış şəxsin təsdiq qeydləri</t>
    </r>
  </si>
  <si>
    <r>
      <rPr>
        <b/>
        <sz val="10"/>
        <rFont val="Times New Roman"/>
        <family val="1"/>
      </rPr>
      <t>Kredit tarixçəsi subyektinin (və ya səlahiyyətli şəxsin) imzası və əlaqə nömrələri</t>
    </r>
  </si>
  <si>
    <r>
      <rPr>
        <b/>
        <sz val="10"/>
        <rFont val="Times New Roman"/>
        <family val="1"/>
      </rPr>
      <t xml:space="preserve">■Bütün məlumatlar </t>
    </r>
    <r>
      <rPr>
        <b/>
        <sz val="10"/>
        <color indexed="10"/>
        <rFont val="Times New Roman"/>
        <family val="1"/>
      </rPr>
      <t xml:space="preserve">*
</t>
    </r>
    <r>
      <rPr>
        <sz val="10"/>
        <rFont val="Times New Roman"/>
        <family val="1"/>
      </rPr>
      <t>☐ Kredit tarixçəsi subyektinin qeyd etdiyi məlumatlar</t>
    </r>
  </si>
  <si>
    <t xml:space="preserve">                             EDİLMƏSİNƏ VƏ YA KREDİT BÜROSUNDAN KREDİT HESABATININ ƏLDƏ EDİLMƏSİNƏ RAZILIQ ƏRİZƏSİ</t>
  </si>
  <si>
    <t xml:space="preserve">                                KREDİT TARİXÇƏSİNİN TƏRTİB EDİLMƏSİ ÜÇÜN MƏLUMATLARIN KREDİT BÜROSUNA TƏQDİM</t>
  </si>
  <si>
    <t>■Fiziki şəxs üzrə</t>
  </si>
  <si>
    <r>
      <t xml:space="preserve">Adı, soyadı: </t>
    </r>
    <r>
      <rPr>
        <b/>
        <sz val="11"/>
        <rFont val="Times New Roman"/>
        <family val="1"/>
      </rPr>
      <t>Rza İbrahimov</t>
    </r>
  </si>
  <si>
    <t>Bakı</t>
  </si>
  <si>
    <t>Evli</t>
  </si>
  <si>
    <t>04/2078-25</t>
  </si>
  <si>
    <t>Orta</t>
  </si>
  <si>
    <t>Azərbaycan</t>
  </si>
  <si>
    <t>BOKT "İDEAL KREDİT" MMC</t>
  </si>
  <si>
    <t>Partnyorluq kreditləri bölməsinin müdiri Vüsal Şirməmmədov</t>
  </si>
  <si>
    <t xml:space="preserve">Bakı şəh, Binəqədi ray, 7-ci MKR, </t>
  </si>
  <si>
    <t>S.S.Axundov küç., 3123-cü məhəllə</t>
  </si>
  <si>
    <t>Partnyorluq kreditləri bölməsinin müdiri</t>
  </si>
  <si>
    <t>Vüsal Şirməmmədov</t>
  </si>
  <si>
    <t>"İDEAL KREDİT" BOKT MMC-nin Partnyorluq kreditləri bölməsi</t>
  </si>
  <si>
    <r>
      <rPr>
        <b/>
        <sz val="10"/>
        <rFont val="Arial"/>
        <family val="2"/>
        <charset val="204"/>
      </rPr>
      <t>Müdir</t>
    </r>
    <r>
      <rPr>
        <sz val="10"/>
        <rFont val="Arial"/>
        <family val="2"/>
      </rPr>
      <t>: Şirməmmədov Vüsal Əlyar oğlu</t>
    </r>
  </si>
  <si>
    <r>
      <rPr>
        <b/>
        <sz val="10"/>
        <rFont val="Arial"/>
        <family val="2"/>
        <charset val="204"/>
      </rPr>
      <t>Faktiki ünvan:</t>
    </r>
    <r>
      <rPr>
        <sz val="10"/>
        <rFont val="Arial"/>
        <family val="2"/>
      </rPr>
      <t xml:space="preserve"> Bakı ş, Binəqədi r, 7 MKR, S.S.Axundov küç, 3123-cü məh.</t>
    </r>
  </si>
  <si>
    <t xml:space="preserve">      Əsasnamə və Etibarnamə əsasında fəaliyyət göstərən (gələcəkdə "BOKT" adlanacaq) BOKT “İDEAL KREDİT” MMC-nin Partnyorluq kreditləri bölməsinin müdiri </t>
  </si>
  <si>
    <r>
      <rPr>
        <b/>
        <i/>
        <sz val="10"/>
        <rFont val="Arial"/>
        <family val="2"/>
        <charset val="204"/>
      </rPr>
      <t xml:space="preserve">Şirməmmədov Vüsal Əlyar oğlu </t>
    </r>
    <r>
      <rPr>
        <sz val="10"/>
        <rFont val="Arial"/>
        <family val="2"/>
      </rPr>
      <t>şəxsində bir tərəfdən, gələcəkdə "Borcalan" adlanacaq fiziki şəxs</t>
    </r>
  </si>
  <si>
    <t xml:space="preserve">şəxsində </t>
  </si>
  <si>
    <t>digər tərəfdən,(birlikdə "Tərəflər" adlanacaq) aşağıdakılar barədə razılığa gələrək bu müqaviləni bağladılar.</t>
  </si>
  <si>
    <t>Bakı ş, Binəqədi r, 7 MKR, S.S.Axundov küç, 3123-cü məh.</t>
  </si>
  <si>
    <t>●  Təşkilatın Bakı ş, Binəqədi r, 7 MKR, S.S.Axundov küç, 3123-cü məh. (köhnə Beynəlxalq Universitetin önü) ünvanında yerləşən ofisinə müraciət etməklə.</t>
  </si>
  <si>
    <r>
      <t xml:space="preserve">müdiri </t>
    </r>
    <r>
      <rPr>
        <b/>
        <i/>
        <sz val="10"/>
        <rFont val="Arial"/>
        <family val="2"/>
        <charset val="204"/>
      </rPr>
      <t xml:space="preserve">Şirməmmədov Vüsal Əlyar oğlu </t>
    </r>
    <r>
      <rPr>
        <sz val="10"/>
        <rFont val="Arial"/>
        <family val="2"/>
      </rPr>
      <t>şəxsində bir tərəfdən, gələcəkdə "Borcalan" adlanacaq fiziki şəxs</t>
    </r>
  </si>
  <si>
    <t xml:space="preserve">  Əsasnamə və Etibarnamə əsasında fəaliyyət göstərən (gələcəkdə "BOKT" adlanacaq) BOKT “İDEAL KREDİT” MMC-nin Partnyorluq kreditləri bölməsinin </t>
  </si>
  <si>
    <r>
      <rPr>
        <b/>
        <sz val="10"/>
        <rFont val="Arial"/>
        <family val="2"/>
        <charset val="204"/>
      </rPr>
      <t>Faktiki ünvan:</t>
    </r>
    <r>
      <rPr>
        <sz val="10"/>
        <rFont val="Arial"/>
        <family val="2"/>
      </rPr>
      <t xml:space="preserve"> </t>
    </r>
    <r>
      <rPr>
        <sz val="9"/>
        <rFont val="Arial"/>
        <family val="2"/>
        <charset val="204"/>
      </rPr>
      <t>Bakı ş, Binəqədi r, 7 MKR, S.S.Axundov küç, 3123-cü məh.</t>
    </r>
  </si>
  <si>
    <t>Asan4</t>
  </si>
  <si>
    <t>25.12.1964</t>
  </si>
  <si>
    <t>1500</t>
  </si>
  <si>
    <t>2</t>
  </si>
  <si>
    <t>AA5512135</t>
  </si>
  <si>
    <t>6AEE7KZ</t>
  </si>
  <si>
    <t>29.10.2023</t>
  </si>
  <si>
    <t>0</t>
  </si>
  <si>
    <t>NEFTÇALA RAYONU, XOL QARABUCAQ Ə/D, DÖRDLƏR KƏNDİ</t>
  </si>
  <si>
    <t>Sabunçu ray., Kürdəxanı qəs,Elton İsgəndərov küç,23-cü məhəllə, (113 nömrəli məktəb tərəf)</t>
  </si>
  <si>
    <t>Fərəcov Elsevər Ələmdar oğlu</t>
  </si>
  <si>
    <t>Monitor,kamera,Ambians , Led</t>
  </si>
  <si>
    <t>Fərdi gəlirlər</t>
  </si>
  <si>
    <t>Diş texniki</t>
  </si>
  <si>
    <t>500</t>
  </si>
  <si>
    <t>0703732363 müştəri,</t>
  </si>
  <si>
    <t>20.04.2025</t>
  </si>
  <si>
    <r>
      <t xml:space="preserve">Hazırkı məlumatların qüvvədə olduğu müddətdə Siz bu hüquqdan istifadə etmək istədikdə, borcverənə </t>
    </r>
    <r>
      <rPr>
        <b/>
        <i/>
        <sz val="11"/>
        <rFont val="Times New Roman"/>
        <family val="1"/>
        <charset val="204"/>
      </rPr>
      <t>(təşkilatımızın 012-526-26-25 nömrəli telefon nömrəsinə əvvəlcədən zəng edib bildirməklə Bakı ş, Binəqədi r, 7 MKR, S.S.Axundov küç, 3123-cü məh. (köhnə Beynəlxalq Universitetin önü))</t>
    </r>
    <r>
      <rPr>
        <b/>
        <sz val="11"/>
        <rFont val="Times New Roman"/>
        <family val="1"/>
        <charset val="204"/>
      </rPr>
      <t xml:space="preserve"> müraciət edə bilərsiniz.</t>
    </r>
  </si>
  <si>
    <r>
      <t>1.8.</t>
    </r>
    <r>
      <rPr>
        <sz val="10"/>
        <rFont val="Arial"/>
        <family val="2"/>
      </rPr>
      <t xml:space="preserve"> Borcalan kredit müqaviləsi üzrə borcun ödənilməsini ödəniş qrafikinə (Əlavə №1) uyğun olaraq həyata keçirir. Borcalan kredit borcunu ödəniş qrafikində </t>
    </r>
  </si>
  <si>
    <r>
      <rPr>
        <b/>
        <sz val="10"/>
        <rFont val="Arial"/>
        <family val="2"/>
        <charset val="204"/>
      </rPr>
      <t>1.9.</t>
    </r>
    <r>
      <rPr>
        <sz val="10"/>
        <rFont val="Arial"/>
        <family val="2"/>
      </rPr>
      <t xml:space="preserve"> Bu Müqaviləyə və onun əlavələrinə uyğun olaraq ödəniş məbləğləri "BOKT"nin hər hansı bir əməkdaşına deyil, yalnız onun bank hesablarına və digər ödəmə</t>
    </r>
  </si>
  <si>
    <t>4. MÜQAVİLƏNİN QÜVVƏYƏ MİNMƏSİ VƏ MÜDDƏTİ</t>
  </si>
  <si>
    <t>ASAN 2</t>
  </si>
  <si>
    <t>Yunusov Vüqar Fikrət oğlu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</si>
</sst>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6">
    <numFmt numFmtId="41" formatCode="_-* #,##0_-;\-* #,##0_-;_-* &quot;-&quot;_-;_-@_-"/>
    <numFmt numFmtId="43" formatCode="_-* #,##0.00_-;\-* #,##0.00_-;_-* &quot;-&quot;??_-;_-@_-"/>
    <numFmt numFmtId="164" formatCode="_-* #,##0.00\ &quot;man.&quot;_-;\-* #,##0.00\ &quot;man.&quot;_-;_-* &quot;-&quot;??\ &quot;man.&quot;_-;_-@_-"/>
    <numFmt numFmtId="165" formatCode="[$-42C]d\ mmmm\ yyyy;@"/>
    <numFmt numFmtId="166" formatCode="#,##0_ ;\-#,##0\ "/>
    <numFmt numFmtId="167" formatCode="#,##0.00000_ ;\-#,##0.00000\ "/>
    <numFmt numFmtId="168" formatCode="[$$-409]#,##0_ ;[Red]\-[$$-409]#,##0\ "/>
    <numFmt numFmtId="169" formatCode="#,##0.00_ ;[Red]\-#,##0.00\ "/>
    <numFmt numFmtId="170" formatCode="000"/>
    <numFmt numFmtId="171" formatCode="#\ ##0.00"/>
    <numFmt numFmtId="172" formatCode="0.00_ ;\-0.00\ "/>
    <numFmt numFmtId="173" formatCode="#########\=##"/>
    <numFmt numFmtId="174" formatCode="\'@\'"/>
    <numFmt numFmtId="175" formatCode="0_ ;\-0\ "/>
    <numFmt numFmtId="176" formatCode="###\="/>
    <numFmt numFmtId="177" formatCode="#\="/>
    <numFmt numFmtId="178" formatCode="General\ "/>
    <numFmt numFmtId="179" formatCode="0;@"/>
    <numFmt numFmtId="180" formatCode="##,#00,0\=00"/>
    <numFmt numFmtId="181" formatCode="#,##0&quot;р.&quot;"/>
    <numFmt numFmtId="182" formatCode="\=00.00"/>
    <numFmt numFmtId="183" formatCode="mmmm"/>
    <numFmt numFmtId="184" formatCode="0.0"/>
    <numFmt numFmtId="185" formatCode="dd\.mm\.yyyy;@"/>
    <numFmt numFmtId="186" formatCode="[$-42C]dd\ mmmm\ yyyy;@"/>
    <numFmt numFmtId="187" formatCode="d\ mmmm\,\ yyyy"/>
    <numFmt numFmtId="188" formatCode="_-* #,##0.00[$р.-419]_-;\-* #,##0.00[$р.-419]_-;_-* &quot;-&quot;??[$р.-419]_-;_-@_-"/>
    <numFmt numFmtId="189" formatCode="[$-F800]dddd\,\ mmmm\ dd\,\ yyyy"/>
    <numFmt numFmtId="190" formatCode="0.0000000000000E+00"/>
    <numFmt numFmtId="191" formatCode="#,##0.00_р_."/>
    <numFmt numFmtId="192" formatCode="#,##0\ &quot;man.&quot;"/>
    <numFmt numFmtId="193" formatCode="dd/mm/yyyy;@"/>
    <numFmt numFmtId="194" formatCode="#,##0.00&quot;р.&quot;"/>
    <numFmt numFmtId="195" formatCode="#,##0\ [$AZN]"/>
    <numFmt numFmtId="196" formatCode="#,##0.00\ [$AZN]"/>
    <numFmt numFmtId="197" formatCode="0.0%"/>
  </numFmts>
  <fonts count="147">
    <font>
      <sz val="10"/>
      <name val="Arial Cyr"/>
      <charset val="204"/>
    </font>
    <font>
      <sz val="10"/>
      <name val="Arial Cyr"/>
      <charset val="204"/>
    </font>
    <font>
      <sz val="10"/>
      <name val="Arial"/>
      <family val="2"/>
      <charset val="204"/>
    </font>
    <font>
      <sz val="8"/>
      <name val="Arial Cyr"/>
      <charset val="204"/>
    </font>
    <font>
      <u/>
      <sz val="10"/>
      <color indexed="12"/>
      <name val="Arial"/>
      <family val="2"/>
      <charset val="204"/>
    </font>
    <font>
      <sz val="10"/>
      <name val="Arial"/>
      <family val="2"/>
      <charset val="204"/>
    </font>
    <font>
      <sz val="10"/>
      <name val="Times New Roman Cyr"/>
      <family val="1"/>
      <charset val="204"/>
    </font>
    <font>
      <sz val="10"/>
      <color indexed="8"/>
      <name val="Arial Cyr"/>
      <family val="2"/>
      <charset val="204"/>
    </font>
    <font>
      <b/>
      <sz val="10"/>
      <name val="Times New Roman Cyr"/>
      <charset val="204"/>
    </font>
    <font>
      <sz val="8"/>
      <name val="Arial"/>
      <family val="2"/>
    </font>
    <font>
      <b/>
      <sz val="10"/>
      <name val="Arial"/>
      <family val="2"/>
      <charset val="204"/>
    </font>
    <font>
      <b/>
      <sz val="11"/>
      <name val="Arial"/>
      <family val="2"/>
      <charset val="204"/>
    </font>
    <font>
      <sz val="10"/>
      <name val="Arial"/>
      <family val="2"/>
      <charset val="204"/>
    </font>
    <font>
      <sz val="8"/>
      <name val="Arial"/>
      <family val="2"/>
      <charset val="204"/>
    </font>
    <font>
      <sz val="10"/>
      <color indexed="9"/>
      <name val="Arial"/>
      <family val="2"/>
      <charset val="204"/>
    </font>
    <font>
      <b/>
      <sz val="10"/>
      <color indexed="9"/>
      <name val="Arial"/>
      <family val="2"/>
      <charset val="204"/>
    </font>
    <font>
      <b/>
      <sz val="8"/>
      <name val="Arial"/>
      <family val="2"/>
    </font>
    <font>
      <sz val="8"/>
      <color indexed="9"/>
      <name val="Arial"/>
      <family val="2"/>
    </font>
    <font>
      <b/>
      <i/>
      <sz val="8"/>
      <name val="Arial"/>
      <family val="2"/>
    </font>
    <font>
      <i/>
      <sz val="8"/>
      <name val="Arial"/>
      <family val="2"/>
    </font>
    <font>
      <sz val="8"/>
      <color indexed="81"/>
      <name val="Tahoma"/>
      <family val="2"/>
      <charset val="204"/>
    </font>
    <font>
      <sz val="10"/>
      <color indexed="9"/>
      <name val="Arial"/>
      <family val="2"/>
      <charset val="204"/>
    </font>
    <font>
      <b/>
      <i/>
      <sz val="10"/>
      <name val="Arial"/>
      <family val="2"/>
      <charset val="204"/>
    </font>
    <font>
      <sz val="3"/>
      <color indexed="10"/>
      <name val="Arial"/>
      <family val="2"/>
      <charset val="204"/>
    </font>
    <font>
      <sz val="9"/>
      <name val="Arial"/>
      <family val="2"/>
      <charset val="204"/>
    </font>
    <font>
      <sz val="11"/>
      <name val="Arial Cyr"/>
      <charset val="204"/>
    </font>
    <font>
      <sz val="9"/>
      <name val="Arial Cyr"/>
      <charset val="204"/>
    </font>
    <font>
      <b/>
      <sz val="10"/>
      <color indexed="10"/>
      <name val="Arial"/>
      <family val="2"/>
      <charset val="204"/>
    </font>
    <font>
      <sz val="10"/>
      <color indexed="10"/>
      <name val="Arial"/>
      <family val="2"/>
      <charset val="204"/>
    </font>
    <font>
      <b/>
      <sz val="10"/>
      <color indexed="8"/>
      <name val="Arial"/>
      <family val="2"/>
      <charset val="204"/>
    </font>
    <font>
      <b/>
      <i/>
      <sz val="10"/>
      <color indexed="10"/>
      <name val="Arial"/>
      <family val="2"/>
      <charset val="204"/>
    </font>
    <font>
      <b/>
      <sz val="11"/>
      <color indexed="8"/>
      <name val="Arial"/>
      <family val="2"/>
      <charset val="204"/>
    </font>
    <font>
      <b/>
      <sz val="10"/>
      <name val="Arial Cyr"/>
      <charset val="204"/>
    </font>
    <font>
      <b/>
      <sz val="8"/>
      <color indexed="81"/>
      <name val="Tahoma"/>
      <family val="2"/>
      <charset val="204"/>
    </font>
    <font>
      <b/>
      <sz val="10"/>
      <name val="Arial Cyr"/>
    </font>
    <font>
      <b/>
      <sz val="12"/>
      <name val="Arial Cyr"/>
    </font>
    <font>
      <b/>
      <sz val="9"/>
      <name val="Arial"/>
      <family val="2"/>
      <charset val="204"/>
    </font>
    <font>
      <b/>
      <sz val="11"/>
      <color indexed="10"/>
      <name val="Arial"/>
      <family val="2"/>
      <charset val="204"/>
    </font>
    <font>
      <sz val="10"/>
      <color indexed="41"/>
      <name val="Arial"/>
      <family val="2"/>
      <charset val="204"/>
    </font>
    <font>
      <b/>
      <i/>
      <sz val="11"/>
      <color indexed="8"/>
      <name val="Arial"/>
      <family val="2"/>
      <charset val="204"/>
    </font>
    <font>
      <b/>
      <i/>
      <sz val="11"/>
      <name val="Arial"/>
      <family val="2"/>
      <charset val="204"/>
    </font>
    <font>
      <b/>
      <sz val="11"/>
      <color indexed="9"/>
      <name val="Arial"/>
      <family val="2"/>
      <charset val="204"/>
    </font>
    <font>
      <b/>
      <sz val="12"/>
      <color indexed="9"/>
      <name val="Arial"/>
      <family val="2"/>
      <charset val="204"/>
    </font>
    <font>
      <b/>
      <sz val="14"/>
      <name val="Arial Cyr"/>
    </font>
    <font>
      <sz val="14"/>
      <name val="Times New Roman"/>
      <family val="1"/>
      <charset val="204"/>
    </font>
    <font>
      <b/>
      <sz val="11"/>
      <name val="Times New Roman"/>
      <family val="1"/>
      <charset val="204"/>
    </font>
    <font>
      <sz val="10"/>
      <color indexed="9"/>
      <name val="Arial Cyr"/>
      <charset val="204"/>
    </font>
    <font>
      <b/>
      <sz val="3"/>
      <color indexed="10"/>
      <name val="Arial"/>
      <family val="2"/>
      <charset val="204"/>
    </font>
    <font>
      <b/>
      <i/>
      <sz val="11"/>
      <color indexed="9"/>
      <name val="Arial"/>
      <family val="2"/>
      <charset val="204"/>
    </font>
    <font>
      <i/>
      <sz val="10"/>
      <color indexed="8"/>
      <name val="Arial Cyr"/>
      <charset val="204"/>
    </font>
    <font>
      <sz val="10"/>
      <name val="A3 Arial AzLat"/>
      <family val="2"/>
      <charset val="204"/>
    </font>
    <font>
      <b/>
      <sz val="14"/>
      <name val="Arial"/>
      <family val="2"/>
      <charset val="204"/>
    </font>
    <font>
      <b/>
      <sz val="28"/>
      <color indexed="13"/>
      <name val="Arial Cyr"/>
      <charset val="204"/>
    </font>
    <font>
      <b/>
      <sz val="12"/>
      <name val="Arial Cyr"/>
      <family val="2"/>
      <charset val="204"/>
    </font>
    <font>
      <sz val="8"/>
      <color indexed="17"/>
      <name val="Arial Cyr"/>
      <family val="2"/>
      <charset val="204"/>
    </font>
    <font>
      <sz val="10"/>
      <name val="Times New Roman"/>
      <family val="1"/>
    </font>
    <font>
      <b/>
      <sz val="12"/>
      <color indexed="14"/>
      <name val="Arial Cyr"/>
      <family val="2"/>
      <charset val="204"/>
    </font>
    <font>
      <b/>
      <sz val="10"/>
      <name val="Arial Cyr"/>
      <family val="2"/>
      <charset val="204"/>
    </font>
    <font>
      <sz val="10"/>
      <color indexed="12"/>
      <name val="Arial Cyr"/>
      <family val="2"/>
      <charset val="204"/>
    </font>
    <font>
      <sz val="8"/>
      <color indexed="17"/>
      <name val="Arial Cyr"/>
      <charset val="204"/>
    </font>
    <font>
      <sz val="12"/>
      <color indexed="10"/>
      <name val="Arial Cyr"/>
      <family val="2"/>
      <charset val="204"/>
    </font>
    <font>
      <sz val="10"/>
      <color indexed="15"/>
      <name val="Arial Cyr"/>
      <family val="2"/>
      <charset val="204"/>
    </font>
    <font>
      <sz val="10"/>
      <color indexed="17"/>
      <name val="Arial Cyr"/>
      <family val="2"/>
      <charset val="204"/>
    </font>
    <font>
      <sz val="10"/>
      <color indexed="10"/>
      <name val="Arial Cyr"/>
      <family val="2"/>
      <charset val="204"/>
    </font>
    <font>
      <sz val="8"/>
      <color indexed="10"/>
      <name val="Arial Cyr"/>
      <family val="2"/>
      <charset val="204"/>
    </font>
    <font>
      <sz val="9"/>
      <color indexed="12"/>
      <name val="Arial Cyr"/>
      <family val="2"/>
      <charset val="204"/>
    </font>
    <font>
      <sz val="9"/>
      <color indexed="10"/>
      <name val="Arial Cyr"/>
      <family val="2"/>
      <charset val="204"/>
    </font>
    <font>
      <sz val="10"/>
      <color indexed="14"/>
      <name val="Arial Cyr"/>
      <family val="2"/>
      <charset val="204"/>
    </font>
    <font>
      <sz val="8"/>
      <color indexed="12"/>
      <name val="Arial Cyr"/>
      <charset val="204"/>
    </font>
    <font>
      <sz val="14"/>
      <name val="Arial Cyr"/>
    </font>
    <font>
      <b/>
      <sz val="14"/>
      <name val="Arial Cyr"/>
      <charset val="204"/>
    </font>
    <font>
      <b/>
      <sz val="10"/>
      <color indexed="9"/>
      <name val="Arial"/>
      <family val="2"/>
      <charset val="204"/>
    </font>
    <font>
      <b/>
      <sz val="10"/>
      <color indexed="9"/>
      <name val="Arial Cyr"/>
      <charset val="204"/>
    </font>
    <font>
      <sz val="14"/>
      <name val="Arial Cyr"/>
      <charset val="204"/>
    </font>
    <font>
      <sz val="12"/>
      <name val="AzL Arial"/>
      <family val="2"/>
      <charset val="204"/>
    </font>
    <font>
      <u/>
      <sz val="12"/>
      <name val="AzL Arial"/>
      <family val="2"/>
      <charset val="204"/>
    </font>
    <font>
      <b/>
      <sz val="14"/>
      <name val="Times New Roman"/>
      <family val="1"/>
      <charset val="204"/>
    </font>
    <font>
      <sz val="10"/>
      <name val="Times New Roman"/>
      <family val="1"/>
      <charset val="204"/>
    </font>
    <font>
      <sz val="14"/>
      <name val="Arial"/>
      <family val="2"/>
      <charset val="204"/>
    </font>
    <font>
      <sz val="8"/>
      <name val="Arial"/>
      <family val="2"/>
      <charset val="204"/>
    </font>
    <font>
      <sz val="8"/>
      <name val="Arial"/>
      <family val="2"/>
      <charset val="204"/>
    </font>
    <font>
      <sz val="9"/>
      <name val="Arial"/>
      <family val="2"/>
      <charset val="204"/>
    </font>
    <font>
      <sz val="9"/>
      <name val="Arial"/>
      <family val="2"/>
      <charset val="204"/>
    </font>
    <font>
      <sz val="12"/>
      <name val="Arial"/>
      <family val="2"/>
      <charset val="204"/>
    </font>
    <font>
      <i/>
      <sz val="10"/>
      <name val="Arial"/>
      <family val="2"/>
      <charset val="204"/>
    </font>
    <font>
      <sz val="12"/>
      <name val="Arial"/>
      <family val="2"/>
      <charset val="204"/>
    </font>
    <font>
      <b/>
      <sz val="8"/>
      <name val="Arial"/>
      <family val="2"/>
      <charset val="204"/>
    </font>
    <font>
      <sz val="10"/>
      <name val="Arial"/>
      <family val="2"/>
    </font>
    <font>
      <b/>
      <sz val="10"/>
      <name val="Arial"/>
      <family val="2"/>
    </font>
    <font>
      <b/>
      <i/>
      <sz val="10"/>
      <name val="Arial"/>
      <family val="2"/>
    </font>
    <font>
      <sz val="9"/>
      <name val="Arial"/>
      <family val="2"/>
    </font>
    <font>
      <sz val="12"/>
      <color indexed="10"/>
      <name val="AzL Arial"/>
      <family val="2"/>
      <charset val="204"/>
    </font>
    <font>
      <b/>
      <sz val="12"/>
      <color indexed="10"/>
      <name val="Times New Roman"/>
      <family val="1"/>
      <charset val="204"/>
    </font>
    <font>
      <b/>
      <sz val="12"/>
      <color indexed="10"/>
      <name val="AzL Arial"/>
      <family val="2"/>
      <charset val="204"/>
    </font>
    <font>
      <sz val="12"/>
      <color indexed="10"/>
      <name val="Times New Roman"/>
      <family val="1"/>
      <charset val="204"/>
    </font>
    <font>
      <sz val="12"/>
      <name val="Times New Roman"/>
      <family val="1"/>
      <charset val="204"/>
    </font>
    <font>
      <sz val="11"/>
      <name val="Times New Roman"/>
      <family val="1"/>
      <charset val="204"/>
    </font>
    <font>
      <b/>
      <u/>
      <sz val="11"/>
      <name val="Times New Roman"/>
      <family val="1"/>
      <charset val="204"/>
    </font>
    <font>
      <b/>
      <sz val="10"/>
      <name val="Times New Roman"/>
      <family val="1"/>
      <charset val="204"/>
    </font>
    <font>
      <u/>
      <sz val="11"/>
      <name val="Times New Roman"/>
      <family val="1"/>
      <charset val="204"/>
    </font>
    <font>
      <u/>
      <sz val="10"/>
      <name val="Times New Roman"/>
      <family val="1"/>
      <charset val="204"/>
    </font>
    <font>
      <sz val="8"/>
      <name val="Times New Roman"/>
      <family val="1"/>
      <charset val="204"/>
    </font>
    <font>
      <sz val="10"/>
      <name val="Arial Cyr"/>
      <charset val="186"/>
    </font>
    <font>
      <sz val="10"/>
      <color indexed="10"/>
      <name val="A3 Arial AzLat"/>
      <family val="2"/>
      <charset val="204"/>
    </font>
    <font>
      <b/>
      <sz val="12"/>
      <name val="Times New Roman"/>
      <family val="1"/>
      <charset val="204"/>
    </font>
    <font>
      <b/>
      <i/>
      <sz val="12"/>
      <name val="Times New Roman"/>
      <family val="1"/>
      <charset val="204"/>
    </font>
    <font>
      <b/>
      <i/>
      <sz val="10"/>
      <name val="Times New Roman"/>
      <family val="1"/>
      <charset val="204"/>
    </font>
    <font>
      <b/>
      <i/>
      <sz val="11"/>
      <name val="Times New Roman"/>
      <family val="1"/>
      <charset val="204"/>
    </font>
    <font>
      <b/>
      <i/>
      <sz val="14"/>
      <name val="Times New Roman"/>
      <family val="1"/>
      <charset val="204"/>
    </font>
    <font>
      <i/>
      <sz val="11"/>
      <name val="Times New Roman"/>
      <family val="1"/>
      <charset val="204"/>
    </font>
    <font>
      <b/>
      <sz val="8"/>
      <name val="Times New Roman"/>
      <family val="1"/>
      <charset val="204"/>
    </font>
    <font>
      <b/>
      <sz val="14"/>
      <color indexed="8"/>
      <name val="Times New Roman"/>
      <family val="1"/>
      <charset val="204"/>
    </font>
    <font>
      <b/>
      <i/>
      <sz val="10"/>
      <color indexed="8"/>
      <name val="Arial"/>
      <family val="2"/>
      <charset val="204"/>
    </font>
    <font>
      <b/>
      <sz val="20"/>
      <name val="Times New Roman"/>
      <family val="1"/>
      <charset val="204"/>
    </font>
    <font>
      <b/>
      <sz val="16"/>
      <name val="Times New Roman"/>
      <family val="1"/>
      <charset val="204"/>
    </font>
    <font>
      <sz val="14"/>
      <color indexed="8"/>
      <name val="Times New Roman"/>
      <family val="1"/>
      <charset val="204"/>
    </font>
    <font>
      <b/>
      <sz val="13"/>
      <name val="Times New Roman"/>
      <family val="1"/>
      <charset val="204"/>
    </font>
    <font>
      <b/>
      <u/>
      <sz val="14"/>
      <name val="Times New Roman"/>
      <family val="1"/>
      <charset val="204"/>
    </font>
    <font>
      <b/>
      <u/>
      <sz val="11"/>
      <color indexed="30"/>
      <name val="Times New Roman"/>
      <family val="1"/>
      <charset val="204"/>
    </font>
    <font>
      <u/>
      <sz val="11"/>
      <color indexed="12"/>
      <name val="Arial"/>
      <family val="2"/>
      <charset val="204"/>
    </font>
    <font>
      <sz val="11"/>
      <color theme="1"/>
      <name val="Calibri"/>
      <family val="2"/>
      <charset val="204"/>
      <scheme val="minor"/>
    </font>
    <font>
      <sz val="12"/>
      <color rgb="FFFF0000"/>
      <name val="AzL Arial"/>
      <family val="2"/>
      <charset val="204"/>
    </font>
    <font>
      <sz val="12"/>
      <color rgb="FF000000"/>
      <name val="Times New Roman"/>
      <family val="1"/>
      <charset val="204"/>
    </font>
    <font>
      <sz val="11"/>
      <color rgb="FF000000"/>
      <name val="Calibri"/>
      <family val="2"/>
      <charset val="204"/>
      <scheme val="minor"/>
    </font>
    <font>
      <b/>
      <sz val="11"/>
      <color theme="1"/>
      <name val="Times New Roman"/>
      <family val="1"/>
      <charset val="204"/>
    </font>
    <font>
      <b/>
      <u/>
      <sz val="12"/>
      <color theme="1"/>
      <name val="Times New Roman"/>
      <family val="1"/>
      <charset val="204"/>
    </font>
    <font>
      <b/>
      <sz val="11"/>
      <color theme="0"/>
      <name val="Times New Roman"/>
      <family val="1"/>
      <charset val="204"/>
    </font>
    <font>
      <sz val="14"/>
      <color rgb="FF000000"/>
      <name val="Times New Roman"/>
      <family val="1"/>
      <charset val="204"/>
    </font>
    <font>
      <b/>
      <sz val="11"/>
      <color theme="0"/>
      <name val="Arial"/>
      <family val="2"/>
      <charset val="204"/>
    </font>
    <font>
      <b/>
      <sz val="14"/>
      <color rgb="FF000000"/>
      <name val="Times New Roman"/>
      <family val="1"/>
      <charset val="204"/>
    </font>
    <font>
      <b/>
      <sz val="14"/>
      <color theme="1"/>
      <name val="Times New Roman"/>
      <family val="1"/>
      <charset val="204"/>
    </font>
    <font>
      <sz val="12"/>
      <color theme="1"/>
      <name val="Times New Roman"/>
      <family val="1"/>
      <charset val="204"/>
    </font>
    <font>
      <b/>
      <sz val="12"/>
      <color theme="1"/>
      <name val="Times New Roman"/>
      <family val="1"/>
      <charset val="204"/>
    </font>
    <font>
      <sz val="12"/>
      <color rgb="FFFF0000"/>
      <name val="Times New Roman"/>
      <family val="1"/>
      <charset val="204"/>
    </font>
    <font>
      <b/>
      <i/>
      <sz val="10"/>
      <color rgb="FFFF0000"/>
      <name val="Arial"/>
      <family val="2"/>
      <charset val="204"/>
    </font>
    <font>
      <b/>
      <i/>
      <sz val="11"/>
      <color theme="0"/>
      <name val="Arial"/>
      <family val="2"/>
      <charset val="204"/>
    </font>
    <font>
      <b/>
      <sz val="10"/>
      <name val="Times New Roman"/>
      <family val="1"/>
    </font>
    <font>
      <sz val="12"/>
      <name val="Times New Roman"/>
      <family val="1"/>
    </font>
    <font>
      <b/>
      <sz val="14"/>
      <name val="Times New Roman"/>
      <family val="1"/>
    </font>
    <font>
      <b/>
      <sz val="12"/>
      <name val="Times New Roman"/>
      <family val="1"/>
    </font>
    <font>
      <sz val="14"/>
      <name val="Times New Roman"/>
      <family val="1"/>
    </font>
    <font>
      <i/>
      <sz val="10"/>
      <name val="Times New Roman"/>
      <family val="1"/>
    </font>
    <font>
      <b/>
      <i/>
      <sz val="10"/>
      <name val="Times New Roman"/>
      <family val="1"/>
    </font>
    <font>
      <b/>
      <sz val="10"/>
      <color indexed="10"/>
      <name val="Times New Roman"/>
      <family val="1"/>
    </font>
    <font>
      <sz val="11"/>
      <name val="Times New Roman"/>
      <family val="1"/>
    </font>
    <font>
      <b/>
      <sz val="11"/>
      <name val="Times New Roman"/>
      <family val="1"/>
    </font>
    <font>
      <b/>
      <i/>
      <sz val="10"/>
      <color rgb="FFCCFFFF"/>
      <name val="Arial"/>
      <family val="2"/>
      <charset val="204"/>
    </font>
  </fonts>
  <fills count="38">
    <fill>
      <patternFill patternType="none"/>
    </fill>
    <fill>
      <patternFill patternType="gray125"/>
    </fill>
    <fill>
      <patternFill patternType="solid">
        <fgColor indexed="52"/>
        <bgColor indexed="64"/>
      </patternFill>
    </fill>
    <fill>
      <patternFill patternType="solid">
        <fgColor indexed="11"/>
        <bgColor indexed="64"/>
      </patternFill>
    </fill>
    <fill>
      <patternFill patternType="solid">
        <fgColor indexed="35"/>
        <bgColor indexed="64"/>
      </patternFill>
    </fill>
    <fill>
      <patternFill patternType="solid">
        <fgColor indexed="13"/>
        <bgColor indexed="64"/>
      </patternFill>
    </fill>
    <fill>
      <patternFill patternType="solid">
        <fgColor indexed="15"/>
        <bgColor indexed="64"/>
      </patternFill>
    </fill>
    <fill>
      <patternFill patternType="solid">
        <fgColor indexed="43"/>
        <bgColor indexed="64"/>
      </patternFill>
    </fill>
    <fill>
      <patternFill patternType="solid">
        <fgColor indexed="29"/>
        <bgColor indexed="64"/>
      </patternFill>
    </fill>
    <fill>
      <patternFill patternType="solid">
        <fgColor indexed="26"/>
        <bgColor indexed="64"/>
      </patternFill>
    </fill>
    <fill>
      <patternFill patternType="solid">
        <fgColor indexed="14"/>
        <bgColor indexed="64"/>
      </patternFill>
    </fill>
    <fill>
      <patternFill patternType="solid">
        <fgColor indexed="33"/>
        <bgColor indexed="64"/>
      </patternFill>
    </fill>
    <fill>
      <patternFill patternType="solid">
        <fgColor indexed="42"/>
        <bgColor indexed="64"/>
      </patternFill>
    </fill>
    <fill>
      <patternFill patternType="solid">
        <fgColor indexed="22"/>
        <bgColor indexed="64"/>
      </patternFill>
    </fill>
    <fill>
      <patternFill patternType="solid">
        <fgColor indexed="10"/>
        <bgColor indexed="64"/>
      </patternFill>
    </fill>
    <fill>
      <patternFill patternType="solid">
        <fgColor indexed="41"/>
        <bgColor indexed="64"/>
      </patternFill>
    </fill>
    <fill>
      <patternFill patternType="solid">
        <fgColor indexed="9"/>
        <bgColor indexed="64"/>
      </patternFill>
    </fill>
    <fill>
      <patternFill patternType="solid">
        <fgColor indexed="8"/>
        <bgColor indexed="64"/>
      </patternFill>
    </fill>
    <fill>
      <patternFill patternType="gray0625">
        <bgColor indexed="9"/>
      </patternFill>
    </fill>
    <fill>
      <patternFill patternType="gray0625"/>
    </fill>
    <fill>
      <patternFill patternType="solid">
        <fgColor indexed="41"/>
        <bgColor indexed="9"/>
      </patternFill>
    </fill>
    <fill>
      <patternFill patternType="solid">
        <fgColor indexed="12"/>
        <bgColor indexed="64"/>
      </patternFill>
    </fill>
    <fill>
      <patternFill patternType="gray0625">
        <bgColor indexed="13"/>
      </patternFill>
    </fill>
    <fill>
      <patternFill patternType="solid">
        <fgColor theme="0"/>
        <bgColor indexed="64"/>
      </patternFill>
    </fill>
    <fill>
      <patternFill patternType="solid">
        <fgColor rgb="FFFFFF00"/>
        <bgColor indexed="64"/>
      </patternFill>
    </fill>
    <fill>
      <patternFill patternType="solid">
        <fgColor rgb="FF92D050"/>
        <bgColor indexed="64"/>
      </patternFill>
    </fill>
    <fill>
      <patternFill patternType="solid">
        <fgColor theme="1"/>
        <bgColor indexed="64"/>
      </patternFill>
    </fill>
    <fill>
      <patternFill patternType="solid">
        <fgColor theme="8" tint="0.79998168889431442"/>
        <bgColor indexed="64"/>
      </patternFill>
    </fill>
    <fill>
      <patternFill patternType="solid">
        <fgColor theme="2" tint="-9.9978637043366805E-2"/>
        <bgColor indexed="64"/>
      </patternFill>
    </fill>
    <fill>
      <patternFill patternType="solid">
        <fgColor theme="0" tint="-0.249977111117893"/>
        <bgColor indexed="64"/>
      </patternFill>
    </fill>
    <fill>
      <patternFill patternType="solid">
        <fgColor theme="5" tint="0.79998168889431442"/>
        <bgColor indexed="64"/>
      </patternFill>
    </fill>
    <fill>
      <patternFill patternType="solid">
        <fgColor rgb="FFDBE5F1"/>
        <bgColor indexed="64"/>
      </patternFill>
    </fill>
    <fill>
      <patternFill patternType="solid">
        <fgColor theme="4" tint="0.79998168889431442"/>
        <bgColor indexed="64"/>
      </patternFill>
    </fill>
    <fill>
      <patternFill patternType="solid">
        <fgColor theme="3" tint="0.79998168889431442"/>
        <bgColor indexed="64"/>
      </patternFill>
    </fill>
    <fill>
      <patternFill patternType="solid">
        <fgColor rgb="FFFF0000"/>
        <bgColor indexed="64"/>
      </patternFill>
    </fill>
    <fill>
      <patternFill patternType="solid">
        <fgColor rgb="FFBEBEBE"/>
      </patternFill>
    </fill>
    <fill>
      <patternFill patternType="solid">
        <fgColor rgb="FFD9D9D9"/>
      </patternFill>
    </fill>
    <fill>
      <patternFill patternType="solid">
        <fgColor rgb="FFCCFFFF"/>
        <bgColor indexed="64"/>
      </patternFill>
    </fill>
  </fills>
  <borders count="99">
    <border>
      <left/>
      <right/>
      <top/>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style="thin">
        <color indexed="64"/>
      </left>
      <right style="medium">
        <color indexed="64"/>
      </right>
      <top/>
      <bottom style="medium">
        <color indexed="64"/>
      </bottom>
      <diagonal/>
    </border>
    <border>
      <left/>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bottom/>
      <diagonal/>
    </border>
    <border>
      <left style="thin">
        <color indexed="64"/>
      </left>
      <right style="medium">
        <color indexed="64"/>
      </right>
      <top/>
      <bottom/>
      <diagonal/>
    </border>
    <border>
      <left style="thin">
        <color indexed="64"/>
      </left>
      <right style="thin">
        <color indexed="64"/>
      </right>
      <top/>
      <bottom/>
      <diagonal/>
    </border>
    <border>
      <left/>
      <right style="medium">
        <color indexed="64"/>
      </right>
      <top/>
      <bottom/>
      <diagonal/>
    </border>
    <border>
      <left/>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right/>
      <top style="thin">
        <color indexed="8"/>
      </top>
      <bottom style="thin">
        <color indexed="8"/>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thin">
        <color indexed="64"/>
      </top>
      <bottom style="thin">
        <color indexed="64"/>
      </bottom>
      <diagonal/>
    </border>
    <border>
      <left/>
      <right style="medium">
        <color indexed="64"/>
      </right>
      <top style="medium">
        <color indexed="64"/>
      </top>
      <bottom style="thin">
        <color indexed="8"/>
      </bottom>
      <diagonal/>
    </border>
    <border>
      <left/>
      <right style="medium">
        <color indexed="64"/>
      </right>
      <top/>
      <bottom style="medium">
        <color indexed="64"/>
      </bottom>
      <diagonal/>
    </border>
    <border>
      <left style="medium">
        <color indexed="64"/>
      </left>
      <right style="medium">
        <color indexed="64"/>
      </right>
      <top style="medium">
        <color indexed="64"/>
      </top>
      <bottom style="thin">
        <color indexed="64"/>
      </bottom>
      <diagonal/>
    </border>
    <border>
      <left style="thin">
        <color indexed="64"/>
      </left>
      <right style="medium">
        <color indexed="64"/>
      </right>
      <top style="medium">
        <color indexed="64"/>
      </top>
      <bottom style="medium">
        <color indexed="64"/>
      </bottom>
      <diagonal/>
    </border>
    <border>
      <left/>
      <right/>
      <top style="medium">
        <color indexed="64"/>
      </top>
      <bottom/>
      <diagonal/>
    </border>
    <border>
      <left style="thin">
        <color indexed="64"/>
      </left>
      <right style="medium">
        <color indexed="64"/>
      </right>
      <top style="medium">
        <color indexed="64"/>
      </top>
      <bottom style="medium">
        <color indexed="8"/>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9"/>
      </left>
      <right style="medium">
        <color indexed="9"/>
      </right>
      <top style="medium">
        <color indexed="9"/>
      </top>
      <bottom style="medium">
        <color indexed="9"/>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bottom/>
      <diagonal/>
    </border>
    <border>
      <left/>
      <right/>
      <top style="thin">
        <color indexed="64"/>
      </top>
      <bottom style="thin">
        <color indexed="64"/>
      </bottom>
      <diagonal/>
    </border>
    <border>
      <left/>
      <right/>
      <top style="dashDot">
        <color indexed="64"/>
      </top>
      <bottom/>
      <diagonal/>
    </border>
    <border>
      <left style="medium">
        <color indexed="64"/>
      </left>
      <right style="medium">
        <color indexed="64"/>
      </right>
      <top style="medium">
        <color indexed="64"/>
      </top>
      <bottom/>
      <diagonal/>
    </border>
    <border>
      <left style="medium">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style="thin">
        <color indexed="64"/>
      </top>
      <bottom style="thin">
        <color indexed="64"/>
      </bottom>
      <diagonal/>
    </border>
    <border>
      <left/>
      <right style="medium">
        <color indexed="64"/>
      </right>
      <top style="thin">
        <color indexed="64"/>
      </top>
      <bottom/>
      <diagonal/>
    </border>
    <border>
      <left/>
      <right style="medium">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medium">
        <color indexed="64"/>
      </right>
      <top/>
      <bottom style="dotted">
        <color indexed="64"/>
      </bottom>
      <diagonal/>
    </border>
    <border>
      <left/>
      <right style="medium">
        <color indexed="64"/>
      </right>
      <top/>
      <bottom style="dotted">
        <color indexed="64"/>
      </bottom>
      <diagonal/>
    </border>
    <border>
      <left style="medium">
        <color indexed="64"/>
      </left>
      <right style="medium">
        <color indexed="64"/>
      </right>
      <top/>
      <bottom style="medium">
        <color indexed="64"/>
      </bottom>
      <diagonal/>
    </border>
    <border>
      <left/>
      <right/>
      <top style="medium">
        <color indexed="9"/>
      </top>
      <bottom/>
      <diagonal/>
    </border>
    <border>
      <left style="medium">
        <color indexed="64"/>
      </left>
      <right style="medium">
        <color indexed="8"/>
      </right>
      <top/>
      <bottom style="medium">
        <color indexed="64"/>
      </bottom>
      <diagonal/>
    </border>
    <border>
      <left style="medium">
        <color indexed="8"/>
      </left>
      <right/>
      <top style="medium">
        <color indexed="8"/>
      </top>
      <bottom style="medium">
        <color indexed="8"/>
      </bottom>
      <diagonal/>
    </border>
    <border>
      <left style="medium">
        <color indexed="9"/>
      </left>
      <right/>
      <top style="medium">
        <color indexed="9"/>
      </top>
      <bottom style="medium">
        <color indexed="9"/>
      </bottom>
      <diagonal/>
    </border>
    <border>
      <left/>
      <right/>
      <top style="medium">
        <color indexed="9"/>
      </top>
      <bottom style="medium">
        <color indexed="9"/>
      </bottom>
      <diagonal/>
    </border>
    <border>
      <left/>
      <right style="medium">
        <color indexed="9"/>
      </right>
      <top style="medium">
        <color indexed="9"/>
      </top>
      <bottom style="medium">
        <color indexed="9"/>
      </bottom>
      <diagonal/>
    </border>
    <border>
      <left style="medium">
        <color indexed="9"/>
      </left>
      <right/>
      <top style="medium">
        <color indexed="9"/>
      </top>
      <bottom/>
      <diagonal/>
    </border>
    <border>
      <left/>
      <right style="medium">
        <color indexed="9"/>
      </right>
      <top style="medium">
        <color indexed="9"/>
      </top>
      <bottom/>
      <diagonal/>
    </border>
    <border>
      <left style="medium">
        <color indexed="64"/>
      </left>
      <right/>
      <top style="medium">
        <color indexed="64"/>
      </top>
      <bottom style="medium">
        <color indexed="8"/>
      </bottom>
      <diagonal/>
    </border>
    <border>
      <left/>
      <right/>
      <top style="medium">
        <color indexed="64"/>
      </top>
      <bottom style="medium">
        <color indexed="8"/>
      </bottom>
      <diagonal/>
    </border>
    <border>
      <left/>
      <right style="medium">
        <color indexed="8"/>
      </right>
      <top style="medium">
        <color indexed="64"/>
      </top>
      <bottom style="medium">
        <color indexed="8"/>
      </bottom>
      <diagonal/>
    </border>
    <border>
      <left style="medium">
        <color indexed="64"/>
      </left>
      <right style="thin">
        <color indexed="64"/>
      </right>
      <top style="medium">
        <color indexed="64"/>
      </top>
      <bottom style="medium">
        <color indexed="64"/>
      </bottom>
      <diagonal/>
    </border>
    <border>
      <left style="thin">
        <color indexed="64"/>
      </left>
      <right style="medium">
        <color indexed="8"/>
      </right>
      <top style="medium">
        <color indexed="64"/>
      </top>
      <bottom style="medium">
        <color indexed="64"/>
      </bottom>
      <diagonal/>
    </border>
    <border>
      <left/>
      <right style="medium">
        <color indexed="8"/>
      </right>
      <top style="medium">
        <color indexed="64"/>
      </top>
      <bottom style="medium">
        <color indexed="64"/>
      </bottom>
      <diagonal/>
    </border>
    <border>
      <left style="medium">
        <color indexed="64"/>
      </left>
      <right style="thin">
        <color indexed="64"/>
      </right>
      <top style="thin">
        <color indexed="64"/>
      </top>
      <bottom/>
      <diagonal/>
    </border>
    <border>
      <left style="medium">
        <color indexed="64"/>
      </left>
      <right style="thin">
        <color indexed="64"/>
      </right>
      <top/>
      <bottom style="medium">
        <color indexed="64"/>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bottom style="thin">
        <color indexed="64"/>
      </bottom>
      <diagonal/>
    </border>
    <border>
      <left/>
      <right style="thin">
        <color indexed="64"/>
      </right>
      <top style="medium">
        <color indexed="64"/>
      </top>
      <bottom style="thin">
        <color indexed="64"/>
      </bottom>
      <diagonal/>
    </border>
    <border>
      <left/>
      <right style="thin">
        <color indexed="64"/>
      </right>
      <top style="medium">
        <color indexed="64"/>
      </top>
      <bottom/>
      <diagonal/>
    </border>
    <border>
      <left style="thin">
        <color indexed="64"/>
      </left>
      <right/>
      <top style="thin">
        <color rgb="FF000000"/>
      </top>
      <bottom/>
      <diagonal/>
    </border>
    <border>
      <left/>
      <right/>
      <top style="thin">
        <color rgb="FF000000"/>
      </top>
      <bottom/>
      <diagonal/>
    </border>
    <border>
      <left/>
      <right style="thin">
        <color indexed="64"/>
      </right>
      <top style="thin">
        <color rgb="FF000000"/>
      </top>
      <bottom/>
      <diagonal/>
    </border>
    <border>
      <left style="thin">
        <color indexed="64"/>
      </left>
      <right/>
      <top/>
      <bottom style="thin">
        <color rgb="FF000000"/>
      </bottom>
      <diagonal/>
    </border>
    <border>
      <left/>
      <right/>
      <top/>
      <bottom style="thin">
        <color rgb="FF000000"/>
      </bottom>
      <diagonal/>
    </border>
    <border>
      <left style="thin">
        <color indexed="64"/>
      </left>
      <right/>
      <top style="thin">
        <color rgb="FF000000"/>
      </top>
      <bottom style="thin">
        <color rgb="FF000000"/>
      </bottom>
      <diagonal/>
    </border>
    <border>
      <left/>
      <right/>
      <top style="thin">
        <color rgb="FF000000"/>
      </top>
      <bottom style="thin">
        <color rgb="FF000000"/>
      </bottom>
      <diagonal/>
    </border>
    <border>
      <left/>
      <right style="thin">
        <color rgb="FF000000"/>
      </right>
      <top/>
      <bottom style="thin">
        <color rgb="FF000000"/>
      </bottom>
      <diagonal/>
    </border>
    <border>
      <left style="thin">
        <color rgb="FF000000"/>
      </left>
      <right/>
      <top/>
      <bottom style="thin">
        <color rgb="FF000000"/>
      </bottom>
      <diagonal/>
    </border>
    <border>
      <left/>
      <right style="thin">
        <color indexed="64"/>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indexed="64"/>
      </left>
      <right/>
      <top style="thin">
        <color rgb="FF000000"/>
      </top>
      <bottom style="thin">
        <color indexed="64"/>
      </bottom>
      <diagonal/>
    </border>
    <border>
      <left/>
      <right/>
      <top style="thin">
        <color rgb="FF000000"/>
      </top>
      <bottom style="thin">
        <color indexed="64"/>
      </bottom>
      <diagonal/>
    </border>
    <border>
      <left/>
      <right style="thin">
        <color rgb="FF000000"/>
      </right>
      <top style="thin">
        <color rgb="FF000000"/>
      </top>
      <bottom style="thin">
        <color indexed="64"/>
      </bottom>
      <diagonal/>
    </border>
    <border>
      <left style="thin">
        <color rgb="FF000000"/>
      </left>
      <right/>
      <top style="thin">
        <color rgb="FF000000"/>
      </top>
      <bottom style="thin">
        <color indexed="64"/>
      </bottom>
      <diagonal/>
    </border>
    <border>
      <left/>
      <right style="thin">
        <color indexed="64"/>
      </right>
      <top style="thin">
        <color rgb="FF000000"/>
      </top>
      <bottom style="thin">
        <color indexed="64"/>
      </bottom>
      <diagonal/>
    </border>
    <border>
      <left/>
      <right/>
      <top style="thin">
        <color indexed="64"/>
      </top>
      <bottom style="thin">
        <color rgb="FF000000"/>
      </bottom>
      <diagonal/>
    </border>
    <border>
      <left/>
      <right style="thin">
        <color indexed="64"/>
      </right>
      <top/>
      <bottom style="thin">
        <color rgb="FF000000"/>
      </bottom>
      <diagonal/>
    </border>
  </borders>
  <cellStyleXfs count="12">
    <xf numFmtId="0" fontId="0" fillId="0" borderId="0"/>
    <xf numFmtId="0" fontId="4" fillId="0" borderId="0" applyNumberFormat="0" applyFill="0" applyBorder="0" applyAlignment="0" applyProtection="0">
      <alignment vertical="top"/>
      <protection locked="0"/>
    </xf>
    <xf numFmtId="0" fontId="5" fillId="0" borderId="0"/>
    <xf numFmtId="0" fontId="1" fillId="0" borderId="0"/>
    <xf numFmtId="9" fontId="1" fillId="0" borderId="0" applyFont="0" applyFill="0" applyBorder="0" applyAlignment="0" applyProtection="0"/>
    <xf numFmtId="0" fontId="2" fillId="0" borderId="0"/>
    <xf numFmtId="0" fontId="102" fillId="0" borderId="0"/>
    <xf numFmtId="0" fontId="5" fillId="0" borderId="0"/>
    <xf numFmtId="0" fontId="12" fillId="0" borderId="0"/>
    <xf numFmtId="0" fontId="2" fillId="0" borderId="0"/>
    <xf numFmtId="0" fontId="6" fillId="0" borderId="0"/>
    <xf numFmtId="43" fontId="12" fillId="0" borderId="0" applyFont="0" applyFill="0" applyBorder="0" applyAlignment="0" applyProtection="0"/>
  </cellStyleXfs>
  <cellXfs count="1320">
    <xf numFmtId="0" fontId="0" fillId="0" borderId="0" xfId="0"/>
    <xf numFmtId="0" fontId="2" fillId="0" borderId="0" xfId="0" applyFont="1" applyAlignment="1">
      <alignment vertical="center"/>
    </xf>
    <xf numFmtId="1" fontId="5" fillId="0" borderId="1" xfId="7" applyNumberFormat="1" applyBorder="1" applyProtection="1">
      <protection hidden="1"/>
    </xf>
    <xf numFmtId="1" fontId="5" fillId="2" borderId="0" xfId="7" applyNumberFormat="1" applyFill="1" applyProtection="1">
      <protection hidden="1"/>
    </xf>
    <xf numFmtId="0" fontId="5" fillId="2" borderId="0" xfId="7" applyFill="1" applyProtection="1">
      <protection hidden="1"/>
    </xf>
    <xf numFmtId="0" fontId="7" fillId="2" borderId="0" xfId="7" applyFont="1" applyFill="1" applyProtection="1">
      <protection hidden="1"/>
    </xf>
    <xf numFmtId="0" fontId="5" fillId="0" borderId="0" xfId="7" applyProtection="1">
      <protection hidden="1"/>
    </xf>
    <xf numFmtId="1" fontId="5" fillId="3" borderId="2" xfId="7" applyNumberFormat="1" applyFill="1" applyBorder="1" applyProtection="1">
      <protection hidden="1"/>
    </xf>
    <xf numFmtId="0" fontId="5" fillId="4" borderId="2" xfId="7" applyFill="1" applyBorder="1" applyProtection="1">
      <protection hidden="1"/>
    </xf>
    <xf numFmtId="1" fontId="5" fillId="4" borderId="2" xfId="7" applyNumberFormat="1" applyFill="1" applyBorder="1" applyProtection="1">
      <protection hidden="1"/>
    </xf>
    <xf numFmtId="0" fontId="5" fillId="0" borderId="2" xfId="7" applyBorder="1" applyProtection="1">
      <protection hidden="1"/>
    </xf>
    <xf numFmtId="0" fontId="5" fillId="5" borderId="2" xfId="7" applyFill="1" applyBorder="1" applyProtection="1">
      <protection hidden="1"/>
    </xf>
    <xf numFmtId="172" fontId="5" fillId="0" borderId="0" xfId="7" applyNumberFormat="1" applyProtection="1">
      <protection hidden="1"/>
    </xf>
    <xf numFmtId="49" fontId="5" fillId="0" borderId="0" xfId="7" applyNumberFormat="1" applyProtection="1">
      <protection hidden="1"/>
    </xf>
    <xf numFmtId="0" fontId="5" fillId="6" borderId="2" xfId="7" applyFill="1" applyBorder="1" applyProtection="1">
      <protection hidden="1"/>
    </xf>
    <xf numFmtId="173" fontId="5" fillId="0" borderId="0" xfId="7" applyNumberFormat="1" applyAlignment="1" applyProtection="1">
      <alignment horizontal="left"/>
      <protection hidden="1"/>
    </xf>
    <xf numFmtId="49" fontId="5" fillId="0" borderId="0" xfId="7" applyNumberFormat="1" applyAlignment="1" applyProtection="1">
      <alignment horizontal="left"/>
      <protection hidden="1"/>
    </xf>
    <xf numFmtId="174" fontId="5" fillId="0" borderId="0" xfId="7" applyNumberFormat="1" applyAlignment="1" applyProtection="1">
      <alignment horizontal="center"/>
      <protection hidden="1"/>
    </xf>
    <xf numFmtId="49" fontId="5" fillId="0" borderId="0" xfId="7" quotePrefix="1" applyNumberFormat="1" applyAlignment="1" applyProtection="1">
      <alignment horizontal="center"/>
      <protection hidden="1"/>
    </xf>
    <xf numFmtId="175" fontId="5" fillId="0" borderId="0" xfId="7" applyNumberFormat="1" applyProtection="1">
      <protection hidden="1"/>
    </xf>
    <xf numFmtId="176" fontId="5" fillId="0" borderId="0" xfId="7" applyNumberFormat="1" applyProtection="1">
      <protection hidden="1"/>
    </xf>
    <xf numFmtId="2" fontId="5" fillId="0" borderId="0" xfId="7" applyNumberFormat="1" applyAlignment="1" applyProtection="1">
      <alignment horizontal="left"/>
      <protection hidden="1"/>
    </xf>
    <xf numFmtId="177" fontId="5" fillId="0" borderId="0" xfId="7" applyNumberFormat="1" applyProtection="1">
      <protection hidden="1"/>
    </xf>
    <xf numFmtId="178" fontId="5" fillId="0" borderId="0" xfId="7" applyNumberFormat="1" applyProtection="1">
      <protection hidden="1"/>
    </xf>
    <xf numFmtId="179" fontId="5" fillId="0" borderId="0" xfId="7" applyNumberFormat="1" applyProtection="1">
      <protection hidden="1"/>
    </xf>
    <xf numFmtId="0" fontId="5" fillId="7" borderId="2" xfId="7" applyFill="1" applyBorder="1" applyProtection="1">
      <protection hidden="1"/>
    </xf>
    <xf numFmtId="0" fontId="1" fillId="7" borderId="2" xfId="7" applyFont="1" applyFill="1" applyBorder="1" applyProtection="1">
      <protection hidden="1"/>
    </xf>
    <xf numFmtId="0" fontId="5" fillId="7" borderId="2" xfId="7" applyFill="1" applyBorder="1" applyAlignment="1" applyProtection="1">
      <alignment horizontal="left"/>
      <protection hidden="1"/>
    </xf>
    <xf numFmtId="1" fontId="5" fillId="5" borderId="2" xfId="7" applyNumberFormat="1" applyFill="1" applyBorder="1" applyProtection="1">
      <protection hidden="1"/>
    </xf>
    <xf numFmtId="1" fontId="5" fillId="6" borderId="2" xfId="7" applyNumberFormat="1" applyFill="1" applyBorder="1" applyProtection="1">
      <protection hidden="1"/>
    </xf>
    <xf numFmtId="0" fontId="5" fillId="8" borderId="2" xfId="7" applyFill="1" applyBorder="1" applyProtection="1">
      <protection hidden="1"/>
    </xf>
    <xf numFmtId="0" fontId="5" fillId="9" borderId="2" xfId="7" applyFill="1" applyBorder="1" applyProtection="1">
      <protection hidden="1"/>
    </xf>
    <xf numFmtId="0" fontId="5" fillId="10" borderId="2" xfId="7" applyFill="1" applyBorder="1" applyProtection="1">
      <protection hidden="1"/>
    </xf>
    <xf numFmtId="0" fontId="5" fillId="3" borderId="2" xfId="7" applyFill="1" applyBorder="1" applyProtection="1">
      <protection hidden="1"/>
    </xf>
    <xf numFmtId="0" fontId="5" fillId="11" borderId="2" xfId="7" applyFill="1" applyBorder="1" applyProtection="1">
      <protection hidden="1"/>
    </xf>
    <xf numFmtId="0" fontId="5" fillId="3" borderId="3" xfId="7" applyFill="1" applyBorder="1" applyProtection="1">
      <protection hidden="1"/>
    </xf>
    <xf numFmtId="180" fontId="8" fillId="0" borderId="0" xfId="10" applyNumberFormat="1" applyFont="1" applyProtection="1">
      <protection hidden="1"/>
    </xf>
    <xf numFmtId="181" fontId="5" fillId="0" borderId="0" xfId="7" applyNumberFormat="1" applyProtection="1">
      <protection hidden="1"/>
    </xf>
    <xf numFmtId="182" fontId="9" fillId="0" borderId="0" xfId="7" applyNumberFormat="1" applyFont="1" applyAlignment="1" applyProtection="1">
      <alignment shrinkToFit="1"/>
      <protection hidden="1"/>
    </xf>
    <xf numFmtId="0" fontId="7" fillId="0" borderId="0" xfId="7" applyFont="1" applyProtection="1">
      <protection hidden="1"/>
    </xf>
    <xf numFmtId="2" fontId="5" fillId="0" borderId="0" xfId="7" applyNumberFormat="1" applyProtection="1">
      <protection hidden="1"/>
    </xf>
    <xf numFmtId="0" fontId="9" fillId="0" borderId="0" xfId="2" applyFont="1" applyAlignment="1">
      <alignment horizontal="center"/>
    </xf>
    <xf numFmtId="43" fontId="9" fillId="0" borderId="0" xfId="2" applyNumberFormat="1" applyFont="1" applyProtection="1">
      <protection locked="0"/>
    </xf>
    <xf numFmtId="3" fontId="9" fillId="0" borderId="0" xfId="2" applyNumberFormat="1" applyFont="1"/>
    <xf numFmtId="4" fontId="9" fillId="0" borderId="0" xfId="2" applyNumberFormat="1" applyFont="1"/>
    <xf numFmtId="0" fontId="9" fillId="0" borderId="0" xfId="2" applyFont="1"/>
    <xf numFmtId="43" fontId="9" fillId="0" borderId="0" xfId="2" applyNumberFormat="1" applyFont="1"/>
    <xf numFmtId="43" fontId="9" fillId="12" borderId="0" xfId="2" applyNumberFormat="1" applyFont="1" applyFill="1" applyProtection="1">
      <protection locked="0"/>
    </xf>
    <xf numFmtId="168" fontId="9" fillId="0" borderId="0" xfId="2" applyNumberFormat="1" applyFont="1"/>
    <xf numFmtId="169" fontId="9" fillId="0" borderId="0" xfId="2" applyNumberFormat="1" applyFont="1"/>
    <xf numFmtId="43" fontId="9" fillId="0" borderId="0" xfId="2" applyNumberFormat="1" applyFont="1" applyAlignment="1">
      <alignment horizontal="left"/>
    </xf>
    <xf numFmtId="168" fontId="17" fillId="0" borderId="0" xfId="2" applyNumberFormat="1" applyFont="1"/>
    <xf numFmtId="0" fontId="19" fillId="0" borderId="0" xfId="2" applyFont="1" applyAlignment="1">
      <alignment horizontal="left"/>
    </xf>
    <xf numFmtId="0" fontId="19" fillId="0" borderId="0" xfId="2" applyFont="1" applyAlignment="1">
      <alignment horizontal="center"/>
    </xf>
    <xf numFmtId="10" fontId="19" fillId="0" borderId="0" xfId="4" applyNumberFormat="1" applyFont="1" applyAlignment="1" applyProtection="1">
      <alignment horizontal="left"/>
    </xf>
    <xf numFmtId="169" fontId="16" fillId="0" borderId="1" xfId="2" applyNumberFormat="1" applyFont="1" applyBorder="1"/>
    <xf numFmtId="43" fontId="9" fillId="5" borderId="4" xfId="2" applyNumberFormat="1" applyFont="1" applyFill="1" applyBorder="1" applyAlignment="1">
      <alignment horizontal="center"/>
    </xf>
    <xf numFmtId="0" fontId="9" fillId="5" borderId="5" xfId="2" applyFont="1" applyFill="1" applyBorder="1"/>
    <xf numFmtId="0" fontId="9" fillId="5" borderId="6" xfId="2" applyFont="1" applyFill="1" applyBorder="1" applyAlignment="1">
      <alignment horizontal="center"/>
    </xf>
    <xf numFmtId="41" fontId="9" fillId="5" borderId="6" xfId="2" applyNumberFormat="1" applyFont="1" applyFill="1" applyBorder="1" applyAlignment="1">
      <alignment horizontal="center"/>
    </xf>
    <xf numFmtId="43" fontId="9" fillId="5" borderId="7" xfId="2" applyNumberFormat="1" applyFont="1" applyFill="1" applyBorder="1" applyAlignment="1">
      <alignment horizontal="center"/>
    </xf>
    <xf numFmtId="43" fontId="9" fillId="5" borderId="8" xfId="2" applyNumberFormat="1" applyFont="1" applyFill="1" applyBorder="1" applyAlignment="1">
      <alignment horizontal="center"/>
    </xf>
    <xf numFmtId="43" fontId="9" fillId="5" borderId="9" xfId="2" applyNumberFormat="1" applyFont="1" applyFill="1" applyBorder="1" applyAlignment="1">
      <alignment horizontal="center"/>
    </xf>
    <xf numFmtId="43" fontId="9" fillId="5" borderId="10" xfId="2" applyNumberFormat="1" applyFont="1" applyFill="1" applyBorder="1" applyAlignment="1">
      <alignment horizontal="center"/>
    </xf>
    <xf numFmtId="0" fontId="9" fillId="0" borderId="11" xfId="2" applyFont="1" applyBorder="1" applyAlignment="1">
      <alignment horizontal="center"/>
    </xf>
    <xf numFmtId="41" fontId="9" fillId="0" borderId="0" xfId="2" applyNumberFormat="1" applyFont="1" applyAlignment="1">
      <alignment horizontal="center"/>
    </xf>
    <xf numFmtId="43" fontId="9" fillId="0" borderId="12" xfId="2" applyNumberFormat="1" applyFont="1" applyBorder="1"/>
    <xf numFmtId="43" fontId="9" fillId="13" borderId="13" xfId="2" applyNumberFormat="1" applyFont="1" applyFill="1" applyBorder="1" applyProtection="1">
      <protection locked="0"/>
    </xf>
    <xf numFmtId="43" fontId="9" fillId="0" borderId="14" xfId="2" applyNumberFormat="1" applyFont="1" applyBorder="1" applyAlignment="1">
      <alignment horizontal="right"/>
    </xf>
    <xf numFmtId="43" fontId="9" fillId="13" borderId="13" xfId="2" applyNumberFormat="1" applyFont="1" applyFill="1" applyBorder="1" applyAlignment="1" applyProtection="1">
      <alignment horizontal="left"/>
      <protection locked="0"/>
    </xf>
    <xf numFmtId="0" fontId="9" fillId="0" borderId="5" xfId="2" applyFont="1" applyBorder="1"/>
    <xf numFmtId="0" fontId="9" fillId="0" borderId="6" xfId="2" applyFont="1" applyBorder="1"/>
    <xf numFmtId="41" fontId="9" fillId="0" borderId="6" xfId="2" applyNumberFormat="1" applyFont="1" applyBorder="1" applyAlignment="1">
      <alignment horizontal="center"/>
    </xf>
    <xf numFmtId="43" fontId="16" fillId="0" borderId="1" xfId="2" applyNumberFormat="1" applyFont="1" applyBorder="1"/>
    <xf numFmtId="43" fontId="9" fillId="0" borderId="15" xfId="2" applyNumberFormat="1" applyFont="1" applyBorder="1"/>
    <xf numFmtId="43" fontId="9" fillId="0" borderId="16" xfId="2" applyNumberFormat="1" applyFont="1" applyBorder="1"/>
    <xf numFmtId="0" fontId="12" fillId="0" borderId="0" xfId="8" applyAlignment="1">
      <alignment vertical="center"/>
    </xf>
    <xf numFmtId="0" fontId="12" fillId="0" borderId="0" xfId="8" applyAlignment="1">
      <alignment vertical="center" wrapText="1"/>
    </xf>
    <xf numFmtId="0" fontId="12" fillId="13" borderId="0" xfId="8" applyFill="1" applyAlignment="1">
      <alignment vertical="center"/>
    </xf>
    <xf numFmtId="0" fontId="23" fillId="13" borderId="0" xfId="8" applyFont="1" applyFill="1" applyAlignment="1">
      <alignment vertical="center"/>
    </xf>
    <xf numFmtId="0" fontId="12" fillId="14" borderId="0" xfId="8" applyFill="1" applyAlignment="1">
      <alignment vertical="center"/>
    </xf>
    <xf numFmtId="0" fontId="12" fillId="14" borderId="0" xfId="8" applyFill="1" applyAlignment="1">
      <alignment vertical="center" wrapText="1"/>
    </xf>
    <xf numFmtId="0" fontId="0" fillId="0" borderId="0" xfId="0" applyAlignment="1">
      <alignment horizontal="center"/>
    </xf>
    <xf numFmtId="0" fontId="45" fillId="16" borderId="0" xfId="0" applyFont="1" applyFill="1"/>
    <xf numFmtId="0" fontId="0" fillId="18" borderId="0" xfId="0" applyFill="1" applyAlignment="1">
      <alignment vertical="center" shrinkToFit="1"/>
    </xf>
    <xf numFmtId="49" fontId="0" fillId="0" borderId="0" xfId="0" applyNumberFormat="1"/>
    <xf numFmtId="185" fontId="0" fillId="0" borderId="0" xfId="0" applyNumberFormat="1"/>
    <xf numFmtId="49" fontId="25" fillId="0" borderId="0" xfId="0" applyNumberFormat="1" applyFont="1"/>
    <xf numFmtId="0" fontId="25" fillId="0" borderId="0" xfId="0" applyFont="1"/>
    <xf numFmtId="0" fontId="0" fillId="0" borderId="0" xfId="0" applyAlignment="1">
      <alignment horizontal="left"/>
    </xf>
    <xf numFmtId="4" fontId="53" fillId="5" borderId="0" xfId="0" applyNumberFormat="1" applyFont="1" applyFill="1" applyAlignment="1">
      <alignment horizontal="right"/>
    </xf>
    <xf numFmtId="2" fontId="34" fillId="5" borderId="0" xfId="0" applyNumberFormat="1" applyFont="1" applyFill="1"/>
    <xf numFmtId="0" fontId="54" fillId="0" borderId="0" xfId="0" applyFont="1"/>
    <xf numFmtId="0" fontId="34" fillId="0" borderId="0" xfId="0" applyFont="1"/>
    <xf numFmtId="4" fontId="53" fillId="0" borderId="0" xfId="0" applyNumberFormat="1" applyFont="1" applyAlignment="1">
      <alignment horizontal="right"/>
    </xf>
    <xf numFmtId="0" fontId="55" fillId="0" borderId="0" xfId="0" applyFont="1"/>
    <xf numFmtId="0" fontId="0" fillId="0" borderId="0" xfId="0" applyAlignment="1">
      <alignment horizontal="right"/>
    </xf>
    <xf numFmtId="0" fontId="55" fillId="0" borderId="0" xfId="0" applyFont="1" applyProtection="1">
      <protection hidden="1"/>
    </xf>
    <xf numFmtId="0" fontId="57" fillId="0" borderId="0" xfId="0" applyFont="1"/>
    <xf numFmtId="187" fontId="58" fillId="0" borderId="0" xfId="0" applyNumberFormat="1" applyFont="1" applyAlignment="1">
      <alignment horizontal="left"/>
    </xf>
    <xf numFmtId="0" fontId="59" fillId="0" borderId="0" xfId="0" applyFont="1"/>
    <xf numFmtId="0" fontId="57" fillId="0" borderId="0" xfId="0" applyFont="1" applyAlignment="1">
      <alignment horizontal="right"/>
    </xf>
    <xf numFmtId="0" fontId="61" fillId="0" borderId="0" xfId="0" applyFont="1"/>
    <xf numFmtId="0" fontId="57" fillId="0" borderId="0" xfId="0" applyFont="1" applyAlignment="1">
      <alignment horizontal="center"/>
    </xf>
    <xf numFmtId="0" fontId="62" fillId="0" borderId="0" xfId="0" applyFont="1"/>
    <xf numFmtId="0" fontId="63" fillId="0" borderId="0" xfId="0" applyFont="1"/>
    <xf numFmtId="188" fontId="0" fillId="0" borderId="0" xfId="0" applyNumberFormat="1"/>
    <xf numFmtId="2" fontId="0" fillId="0" borderId="0" xfId="0" applyNumberFormat="1" applyAlignment="1">
      <alignment horizontal="right"/>
    </xf>
    <xf numFmtId="22" fontId="0" fillId="0" borderId="0" xfId="0" applyNumberFormat="1"/>
    <xf numFmtId="0" fontId="63" fillId="0" borderId="0" xfId="0" applyFont="1" applyAlignment="1">
      <alignment horizontal="right"/>
    </xf>
    <xf numFmtId="0" fontId="64" fillId="0" borderId="0" xfId="0" applyFont="1" applyAlignment="1">
      <alignment shrinkToFit="1"/>
    </xf>
    <xf numFmtId="0" fontId="63" fillId="0" borderId="0" xfId="0" applyFont="1" applyAlignment="1">
      <alignment horizontal="left"/>
    </xf>
    <xf numFmtId="14" fontId="63" fillId="0" borderId="0" xfId="0" applyNumberFormat="1" applyFont="1"/>
    <xf numFmtId="0" fontId="58" fillId="0" borderId="0" xfId="0" applyFont="1"/>
    <xf numFmtId="4" fontId="58" fillId="0" borderId="0" xfId="0" applyNumberFormat="1" applyFont="1" applyAlignment="1">
      <alignment horizontal="right"/>
    </xf>
    <xf numFmtId="22" fontId="63" fillId="0" borderId="0" xfId="0" applyNumberFormat="1" applyFont="1"/>
    <xf numFmtId="4" fontId="63" fillId="0" borderId="0" xfId="0" applyNumberFormat="1" applyFont="1" applyAlignment="1">
      <alignment horizontal="left"/>
    </xf>
    <xf numFmtId="0" fontId="65" fillId="0" borderId="0" xfId="0" applyFont="1"/>
    <xf numFmtId="0" fontId="65" fillId="0" borderId="0" xfId="0" applyFont="1" applyAlignment="1">
      <alignment shrinkToFit="1"/>
    </xf>
    <xf numFmtId="0" fontId="66" fillId="0" borderId="0" xfId="0" applyFont="1" applyAlignment="1">
      <alignment shrinkToFit="1"/>
    </xf>
    <xf numFmtId="3" fontId="63" fillId="0" borderId="0" xfId="0" applyNumberFormat="1" applyFont="1"/>
    <xf numFmtId="0" fontId="58" fillId="0" borderId="0" xfId="0" applyFont="1" applyAlignment="1">
      <alignment horizontal="right"/>
    </xf>
    <xf numFmtId="1" fontId="63" fillId="0" borderId="0" xfId="0" applyNumberFormat="1" applyFont="1" applyAlignment="1">
      <alignment horizontal="right"/>
    </xf>
    <xf numFmtId="0" fontId="67" fillId="0" borderId="0" xfId="0" applyFont="1"/>
    <xf numFmtId="0" fontId="4" fillId="0" borderId="0" xfId="1" applyNumberFormat="1" applyAlignment="1" applyProtection="1"/>
    <xf numFmtId="0" fontId="0" fillId="0" borderId="30" xfId="0" applyBorder="1"/>
    <xf numFmtId="0" fontId="0" fillId="0" borderId="28" xfId="0" applyBorder="1"/>
    <xf numFmtId="0" fontId="0" fillId="0" borderId="31" xfId="0" applyBorder="1"/>
    <xf numFmtId="0" fontId="0" fillId="0" borderId="11" xfId="0" applyBorder="1"/>
    <xf numFmtId="0" fontId="0" fillId="0" borderId="14" xfId="0" applyBorder="1"/>
    <xf numFmtId="0" fontId="69" fillId="0" borderId="11" xfId="0" applyFont="1" applyBorder="1"/>
    <xf numFmtId="0" fontId="69" fillId="0" borderId="0" xfId="0" applyFont="1"/>
    <xf numFmtId="0" fontId="69" fillId="0" borderId="14" xfId="0" applyFont="1" applyBorder="1"/>
    <xf numFmtId="0" fontId="3" fillId="0" borderId="5" xfId="0" applyFont="1" applyBorder="1"/>
    <xf numFmtId="0" fontId="0" fillId="0" borderId="6" xfId="0" applyBorder="1"/>
    <xf numFmtId="0" fontId="0" fillId="0" borderId="25" xfId="0" applyBorder="1"/>
    <xf numFmtId="0" fontId="70" fillId="0" borderId="0" xfId="0" applyFont="1"/>
    <xf numFmtId="49" fontId="70" fillId="0" borderId="0" xfId="0" applyNumberFormat="1" applyFont="1" applyAlignment="1">
      <alignment horizontal="right"/>
    </xf>
    <xf numFmtId="0" fontId="3" fillId="0" borderId="0" xfId="0" applyFont="1"/>
    <xf numFmtId="49" fontId="73" fillId="0" borderId="0" xfId="0" applyNumberFormat="1" applyFont="1"/>
    <xf numFmtId="49" fontId="0" fillId="0" borderId="0" xfId="0" applyNumberFormat="1" applyAlignment="1">
      <alignment horizontal="left"/>
    </xf>
    <xf numFmtId="0" fontId="76" fillId="0" borderId="0" xfId="0" applyFont="1" applyAlignment="1">
      <alignment horizontal="center"/>
    </xf>
    <xf numFmtId="0" fontId="10" fillId="0" borderId="0" xfId="0" applyFont="1"/>
    <xf numFmtId="0" fontId="77" fillId="0" borderId="0" xfId="0" applyFont="1"/>
    <xf numFmtId="0" fontId="78" fillId="0" borderId="0" xfId="0" applyFont="1"/>
    <xf numFmtId="0" fontId="51" fillId="0" borderId="0" xfId="0" applyFont="1"/>
    <xf numFmtId="0" fontId="11" fillId="0" borderId="0" xfId="0" applyFont="1"/>
    <xf numFmtId="0" fontId="79" fillId="0" borderId="0" xfId="0" applyFont="1"/>
    <xf numFmtId="0" fontId="79" fillId="0" borderId="2" xfId="0" applyFont="1" applyBorder="1"/>
    <xf numFmtId="0" fontId="79" fillId="0" borderId="23" xfId="0" applyFont="1" applyBorder="1"/>
    <xf numFmtId="0" fontId="0" fillId="0" borderId="18" xfId="0" applyBorder="1"/>
    <xf numFmtId="0" fontId="80" fillId="0" borderId="3" xfId="0" applyFont="1" applyBorder="1"/>
    <xf numFmtId="0" fontId="80" fillId="0" borderId="33" xfId="0" applyFont="1" applyBorder="1"/>
    <xf numFmtId="0" fontId="0" fillId="0" borderId="34" xfId="0" applyBorder="1"/>
    <xf numFmtId="0" fontId="0" fillId="0" borderId="3" xfId="0" applyBorder="1"/>
    <xf numFmtId="0" fontId="80" fillId="0" borderId="34" xfId="0" applyFont="1" applyBorder="1"/>
    <xf numFmtId="0" fontId="0" fillId="0" borderId="35" xfId="0" applyBorder="1"/>
    <xf numFmtId="0" fontId="80" fillId="0" borderId="17" xfId="0" applyFont="1" applyBorder="1"/>
    <xf numFmtId="0" fontId="0" fillId="0" borderId="17" xfId="0" applyBorder="1"/>
    <xf numFmtId="0" fontId="80" fillId="0" borderId="18" xfId="0" applyFont="1" applyBorder="1"/>
    <xf numFmtId="0" fontId="0" fillId="0" borderId="13" xfId="0" applyBorder="1"/>
    <xf numFmtId="1" fontId="81" fillId="0" borderId="0" xfId="0" applyNumberFormat="1" applyFont="1"/>
    <xf numFmtId="0" fontId="0" fillId="0" borderId="36" xfId="0" applyBorder="1"/>
    <xf numFmtId="0" fontId="83" fillId="0" borderId="17" xfId="0" applyFont="1" applyBorder="1"/>
    <xf numFmtId="0" fontId="80" fillId="0" borderId="0" xfId="0" applyFont="1"/>
    <xf numFmtId="0" fontId="0" fillId="0" borderId="37" xfId="0" applyBorder="1"/>
    <xf numFmtId="0" fontId="0" fillId="0" borderId="33" xfId="0" applyBorder="1"/>
    <xf numFmtId="0" fontId="74" fillId="0" borderId="0" xfId="0" applyFont="1"/>
    <xf numFmtId="190" fontId="0" fillId="0" borderId="0" xfId="0" applyNumberFormat="1" applyAlignment="1">
      <alignment horizontal="center"/>
    </xf>
    <xf numFmtId="0" fontId="85" fillId="0" borderId="0" xfId="0" applyFont="1"/>
    <xf numFmtId="1" fontId="0" fillId="0" borderId="13" xfId="0" applyNumberFormat="1" applyBorder="1"/>
    <xf numFmtId="49" fontId="0" fillId="0" borderId="17" xfId="0" applyNumberFormat="1" applyBorder="1"/>
    <xf numFmtId="0" fontId="86" fillId="0" borderId="0" xfId="3" applyFont="1"/>
    <xf numFmtId="0" fontId="86" fillId="0" borderId="0" xfId="3" applyFont="1" applyAlignment="1">
      <alignment horizontal="right"/>
    </xf>
    <xf numFmtId="0" fontId="86" fillId="0" borderId="0" xfId="3" applyFont="1" applyAlignment="1">
      <alignment horizontal="center"/>
    </xf>
    <xf numFmtId="16" fontId="86" fillId="0" borderId="0" xfId="3" applyNumberFormat="1" applyFont="1"/>
    <xf numFmtId="0" fontId="86" fillId="0" borderId="0" xfId="3" applyFont="1" applyAlignment="1">
      <alignment horizontal="left"/>
    </xf>
    <xf numFmtId="0" fontId="86" fillId="0" borderId="17" xfId="3" applyFont="1" applyBorder="1" applyAlignment="1">
      <alignment horizontal="right"/>
    </xf>
    <xf numFmtId="0" fontId="86" fillId="0" borderId="37" xfId="3" applyFont="1" applyBorder="1"/>
    <xf numFmtId="0" fontId="86" fillId="0" borderId="23" xfId="3" applyFont="1" applyBorder="1"/>
    <xf numFmtId="0" fontId="80" fillId="0" borderId="17" xfId="3" applyFont="1" applyBorder="1"/>
    <xf numFmtId="0" fontId="80" fillId="0" borderId="0" xfId="3" applyFont="1"/>
    <xf numFmtId="0" fontId="86" fillId="0" borderId="17" xfId="3" applyFont="1" applyBorder="1"/>
    <xf numFmtId="0" fontId="86" fillId="0" borderId="38" xfId="3" applyFont="1" applyBorder="1"/>
    <xf numFmtId="0" fontId="86" fillId="0" borderId="6" xfId="3" applyFont="1" applyBorder="1" applyAlignment="1">
      <alignment horizontal="center"/>
    </xf>
    <xf numFmtId="0" fontId="86" fillId="0" borderId="35" xfId="3" applyFont="1" applyBorder="1"/>
    <xf numFmtId="0" fontId="86" fillId="0" borderId="1" xfId="3" applyFont="1" applyBorder="1"/>
    <xf numFmtId="4" fontId="86" fillId="0" borderId="0" xfId="3" applyNumberFormat="1" applyFont="1"/>
    <xf numFmtId="0" fontId="86" fillId="0" borderId="30" xfId="3" applyFont="1" applyBorder="1"/>
    <xf numFmtId="0" fontId="86" fillId="0" borderId="21" xfId="3" applyFont="1" applyBorder="1"/>
    <xf numFmtId="0" fontId="86" fillId="0" borderId="39" xfId="3" applyFont="1" applyBorder="1"/>
    <xf numFmtId="0" fontId="86" fillId="0" borderId="40" xfId="3" applyFont="1" applyBorder="1"/>
    <xf numFmtId="0" fontId="86" fillId="0" borderId="41" xfId="3" applyFont="1" applyBorder="1"/>
    <xf numFmtId="0" fontId="86" fillId="0" borderId="42" xfId="3" applyFont="1" applyBorder="1"/>
    <xf numFmtId="0" fontId="86" fillId="0" borderId="43" xfId="3" applyFont="1" applyBorder="1"/>
    <xf numFmtId="0" fontId="80" fillId="0" borderId="42" xfId="0" applyFont="1" applyBorder="1"/>
    <xf numFmtId="0" fontId="86" fillId="0" borderId="10" xfId="3" applyFont="1" applyBorder="1"/>
    <xf numFmtId="0" fontId="86" fillId="0" borderId="28" xfId="3" applyFont="1" applyBorder="1"/>
    <xf numFmtId="0" fontId="86" fillId="0" borderId="36" xfId="3" applyFont="1" applyBorder="1"/>
    <xf numFmtId="0" fontId="86" fillId="0" borderId="6" xfId="3" applyFont="1" applyBorder="1"/>
    <xf numFmtId="0" fontId="86" fillId="0" borderId="33" xfId="3" applyFont="1" applyBorder="1"/>
    <xf numFmtId="0" fontId="87" fillId="0" borderId="0" xfId="0" applyFont="1"/>
    <xf numFmtId="0" fontId="88" fillId="0" borderId="0" xfId="0" applyFont="1"/>
    <xf numFmtId="0" fontId="87" fillId="0" borderId="17" xfId="0" applyFont="1" applyBorder="1"/>
    <xf numFmtId="0" fontId="88" fillId="0" borderId="17" xfId="0" applyFont="1" applyBorder="1"/>
    <xf numFmtId="0" fontId="88" fillId="0" borderId="44" xfId="0" applyFont="1" applyBorder="1"/>
    <xf numFmtId="0" fontId="87" fillId="0" borderId="33" xfId="0" applyFont="1" applyBorder="1"/>
    <xf numFmtId="0" fontId="88" fillId="0" borderId="33" xfId="0" applyFont="1" applyBorder="1"/>
    <xf numFmtId="0" fontId="87" fillId="0" borderId="34" xfId="0" applyFont="1" applyBorder="1"/>
    <xf numFmtId="0" fontId="88" fillId="0" borderId="45" xfId="0" applyFont="1" applyBorder="1"/>
    <xf numFmtId="0" fontId="87" fillId="0" borderId="36" xfId="0" applyFont="1" applyBorder="1"/>
    <xf numFmtId="0" fontId="87" fillId="0" borderId="45" xfId="0" applyFont="1" applyBorder="1"/>
    <xf numFmtId="0" fontId="2" fillId="0" borderId="0" xfId="0" applyFont="1"/>
    <xf numFmtId="49" fontId="10" fillId="0" borderId="0" xfId="0" applyNumberFormat="1" applyFont="1" applyAlignment="1">
      <alignment horizontal="center"/>
    </xf>
    <xf numFmtId="1" fontId="10" fillId="0" borderId="0" xfId="0" applyNumberFormat="1" applyFont="1"/>
    <xf numFmtId="0" fontId="2" fillId="0" borderId="17" xfId="0" applyFont="1" applyBorder="1"/>
    <xf numFmtId="0" fontId="10" fillId="0" borderId="33" xfId="0" applyFont="1" applyBorder="1"/>
    <xf numFmtId="0" fontId="10" fillId="0" borderId="0" xfId="0" applyFont="1" applyAlignment="1">
      <alignment horizontal="center"/>
    </xf>
    <xf numFmtId="0" fontId="2" fillId="0" borderId="45" xfId="0" applyFont="1" applyBorder="1"/>
    <xf numFmtId="0" fontId="2" fillId="0" borderId="36" xfId="0" applyFont="1" applyBorder="1"/>
    <xf numFmtId="0" fontId="2" fillId="0" borderId="42" xfId="0" applyFont="1" applyBorder="1"/>
    <xf numFmtId="0" fontId="2" fillId="0" borderId="18" xfId="0" applyFont="1" applyBorder="1"/>
    <xf numFmtId="0" fontId="0" fillId="0" borderId="2" xfId="0" applyBorder="1"/>
    <xf numFmtId="186" fontId="86" fillId="0" borderId="0" xfId="3" applyNumberFormat="1" applyFont="1"/>
    <xf numFmtId="0" fontId="10" fillId="0" borderId="45" xfId="0" applyFont="1" applyBorder="1"/>
    <xf numFmtId="49" fontId="90" fillId="0" borderId="0" xfId="0" applyNumberFormat="1" applyFont="1"/>
    <xf numFmtId="0" fontId="121" fillId="0" borderId="0" xfId="0" applyFont="1"/>
    <xf numFmtId="0" fontId="13" fillId="0" borderId="0" xfId="0" applyFont="1"/>
    <xf numFmtId="0" fontId="10" fillId="0" borderId="36" xfId="0" applyFont="1" applyBorder="1"/>
    <xf numFmtId="0" fontId="13" fillId="0" borderId="17" xfId="3" applyFont="1" applyBorder="1"/>
    <xf numFmtId="0" fontId="13" fillId="0" borderId="0" xfId="3" applyFont="1"/>
    <xf numFmtId="0" fontId="13" fillId="0" borderId="17" xfId="0" applyFont="1" applyBorder="1"/>
    <xf numFmtId="0" fontId="13" fillId="0" borderId="42" xfId="0" applyFont="1" applyBorder="1"/>
    <xf numFmtId="0" fontId="120" fillId="0" borderId="0" xfId="0" applyFont="1"/>
    <xf numFmtId="0" fontId="122" fillId="0" borderId="49" xfId="0" applyFont="1" applyBorder="1"/>
    <xf numFmtId="14" fontId="122" fillId="0" borderId="50" xfId="0" applyNumberFormat="1" applyFont="1" applyBorder="1" applyAlignment="1">
      <alignment horizontal="center"/>
    </xf>
    <xf numFmtId="0" fontId="122" fillId="0" borderId="51" xfId="0" applyFont="1" applyBorder="1"/>
    <xf numFmtId="0" fontId="122" fillId="0" borderId="50" xfId="0" applyFont="1" applyBorder="1" applyAlignment="1">
      <alignment horizontal="right"/>
    </xf>
    <xf numFmtId="0" fontId="123" fillId="0" borderId="0" xfId="0" applyFont="1"/>
    <xf numFmtId="0" fontId="124" fillId="0" borderId="0" xfId="0" applyFont="1"/>
    <xf numFmtId="0" fontId="122" fillId="0" borderId="14" xfId="0" applyFont="1" applyBorder="1" applyAlignment="1">
      <alignment horizontal="right"/>
    </xf>
    <xf numFmtId="49" fontId="122" fillId="0" borderId="50" xfId="0" applyNumberFormat="1" applyFont="1" applyBorder="1" applyAlignment="1">
      <alignment horizontal="right"/>
    </xf>
    <xf numFmtId="192" fontId="122" fillId="0" borderId="50" xfId="0" applyNumberFormat="1" applyFont="1" applyBorder="1" applyAlignment="1">
      <alignment horizontal="right"/>
    </xf>
    <xf numFmtId="192" fontId="122" fillId="0" borderId="50" xfId="0" applyNumberFormat="1" applyFont="1" applyBorder="1" applyAlignment="1">
      <alignment horizontal="right" wrapText="1"/>
    </xf>
    <xf numFmtId="1" fontId="122" fillId="0" borderId="50" xfId="0" applyNumberFormat="1" applyFont="1" applyBorder="1" applyAlignment="1">
      <alignment horizontal="right"/>
    </xf>
    <xf numFmtId="0" fontId="125" fillId="0" borderId="0" xfId="0" applyFont="1"/>
    <xf numFmtId="14" fontId="96" fillId="0" borderId="0" xfId="8" applyNumberFormat="1" applyFont="1" applyAlignment="1" applyProtection="1">
      <alignment horizontal="center" vertical="center"/>
      <protection hidden="1"/>
    </xf>
    <xf numFmtId="170" fontId="96" fillId="0" borderId="0" xfId="8" applyNumberFormat="1" applyFont="1" applyAlignment="1" applyProtection="1">
      <alignment horizontal="center" vertical="center"/>
      <protection hidden="1"/>
    </xf>
    <xf numFmtId="0" fontId="96" fillId="0" borderId="0" xfId="8" applyFont="1" applyAlignment="1" applyProtection="1">
      <alignment vertical="center"/>
      <protection hidden="1"/>
    </xf>
    <xf numFmtId="0" fontId="45" fillId="0" borderId="0" xfId="8" applyFont="1" applyAlignment="1" applyProtection="1">
      <alignment horizontal="right" vertical="center"/>
      <protection hidden="1"/>
    </xf>
    <xf numFmtId="0" fontId="45" fillId="0" borderId="0" xfId="8" applyFont="1" applyAlignment="1" applyProtection="1">
      <alignment vertical="center"/>
      <protection hidden="1"/>
    </xf>
    <xf numFmtId="0" fontId="96" fillId="0" borderId="0" xfId="8" applyFont="1" applyAlignment="1" applyProtection="1">
      <alignment horizontal="center" vertical="center"/>
      <protection hidden="1"/>
    </xf>
    <xf numFmtId="0" fontId="77" fillId="0" borderId="0" xfId="0" applyFont="1" applyAlignment="1">
      <alignment vertical="center"/>
    </xf>
    <xf numFmtId="0" fontId="96" fillId="0" borderId="0" xfId="8" applyFont="1" applyAlignment="1" applyProtection="1">
      <alignment horizontal="right" vertical="center"/>
      <protection hidden="1"/>
    </xf>
    <xf numFmtId="0" fontId="96" fillId="23" borderId="0" xfId="8" applyFont="1" applyFill="1" applyAlignment="1" applyProtection="1">
      <alignment horizontal="right" vertical="center"/>
      <protection hidden="1"/>
    </xf>
    <xf numFmtId="14" fontId="96" fillId="0" borderId="0" xfId="8" applyNumberFormat="1" applyFont="1" applyAlignment="1" applyProtection="1">
      <alignment vertical="center"/>
      <protection hidden="1"/>
    </xf>
    <xf numFmtId="14" fontId="45" fillId="0" borderId="0" xfId="8" applyNumberFormat="1" applyFont="1" applyAlignment="1" applyProtection="1">
      <alignment horizontal="center" vertical="center"/>
      <protection hidden="1"/>
    </xf>
    <xf numFmtId="0" fontId="45" fillId="0" borderId="0" xfId="8" applyFont="1" applyAlignment="1" applyProtection="1">
      <alignment horizontal="center" vertical="center"/>
      <protection hidden="1"/>
    </xf>
    <xf numFmtId="170" fontId="96" fillId="0" borderId="2" xfId="8" applyNumberFormat="1" applyFont="1" applyBorder="1" applyAlignment="1" applyProtection="1">
      <alignment horizontal="center" vertical="center"/>
      <protection hidden="1"/>
    </xf>
    <xf numFmtId="3" fontId="96" fillId="0" borderId="2" xfId="8" applyNumberFormat="1" applyFont="1" applyBorder="1" applyAlignment="1" applyProtection="1">
      <alignment horizontal="center" vertical="center"/>
      <protection hidden="1"/>
    </xf>
    <xf numFmtId="1" fontId="45" fillId="0" borderId="2" xfId="8" applyNumberFormat="1" applyFont="1" applyBorder="1" applyAlignment="1" applyProtection="1">
      <alignment horizontal="center" vertical="center"/>
      <protection hidden="1"/>
    </xf>
    <xf numFmtId="14" fontId="96" fillId="0" borderId="2" xfId="8" applyNumberFormat="1" applyFont="1" applyBorder="1" applyAlignment="1" applyProtection="1">
      <alignment horizontal="center" vertical="center"/>
      <protection hidden="1"/>
    </xf>
    <xf numFmtId="3" fontId="96" fillId="0" borderId="0" xfId="8" applyNumberFormat="1" applyFont="1" applyAlignment="1" applyProtection="1">
      <alignment horizontal="center" vertical="center"/>
      <protection hidden="1"/>
    </xf>
    <xf numFmtId="14" fontId="45" fillId="0" borderId="0" xfId="8" applyNumberFormat="1" applyFont="1" applyAlignment="1" applyProtection="1">
      <alignment vertical="center"/>
      <protection hidden="1"/>
    </xf>
    <xf numFmtId="171" fontId="96" fillId="0" borderId="0" xfId="8" applyNumberFormat="1" applyFont="1" applyAlignment="1" applyProtection="1">
      <alignment vertical="center"/>
      <protection hidden="1"/>
    </xf>
    <xf numFmtId="0" fontId="100" fillId="0" borderId="45" xfId="0" applyFont="1" applyBorder="1" applyAlignment="1">
      <alignment horizontal="center"/>
    </xf>
    <xf numFmtId="0" fontId="100" fillId="0" borderId="0" xfId="0" applyFont="1"/>
    <xf numFmtId="0" fontId="100" fillId="0" borderId="36" xfId="0" applyFont="1" applyBorder="1"/>
    <xf numFmtId="0" fontId="101" fillId="0" borderId="45" xfId="0" applyFont="1" applyBorder="1"/>
    <xf numFmtId="0" fontId="101" fillId="0" borderId="0" xfId="0" applyFont="1"/>
    <xf numFmtId="0" fontId="101" fillId="0" borderId="36" xfId="0" applyFont="1" applyBorder="1"/>
    <xf numFmtId="0" fontId="45" fillId="0" borderId="44" xfId="0" applyFont="1" applyBorder="1" applyAlignment="1">
      <alignment vertical="center"/>
    </xf>
    <xf numFmtId="0" fontId="45" fillId="0" borderId="33" xfId="0" applyFont="1" applyBorder="1" applyAlignment="1">
      <alignment vertical="center"/>
    </xf>
    <xf numFmtId="0" fontId="45" fillId="0" borderId="34" xfId="0" applyFont="1" applyBorder="1" applyAlignment="1">
      <alignment vertical="center"/>
    </xf>
    <xf numFmtId="0" fontId="96" fillId="0" borderId="0" xfId="0" applyFont="1" applyAlignment="1">
      <alignment vertical="center"/>
    </xf>
    <xf numFmtId="0" fontId="77" fillId="0" borderId="45" xfId="0" applyFont="1" applyBorder="1" applyAlignment="1">
      <alignment vertical="center"/>
    </xf>
    <xf numFmtId="0" fontId="77" fillId="0" borderId="0" xfId="0" applyFont="1" applyAlignment="1">
      <alignment horizontal="left" vertical="center"/>
    </xf>
    <xf numFmtId="0" fontId="77" fillId="0" borderId="36" xfId="0" applyFont="1" applyBorder="1" applyAlignment="1">
      <alignment vertical="center"/>
    </xf>
    <xf numFmtId="1" fontId="77" fillId="0" borderId="0" xfId="0" applyNumberFormat="1" applyFont="1" applyAlignment="1">
      <alignment vertical="center"/>
    </xf>
    <xf numFmtId="1" fontId="77" fillId="0" borderId="36" xfId="0" applyNumberFormat="1" applyFont="1" applyBorder="1" applyAlignment="1">
      <alignment horizontal="left" vertical="center" wrapText="1"/>
    </xf>
    <xf numFmtId="1" fontId="77" fillId="0" borderId="45" xfId="0" applyNumberFormat="1" applyFont="1" applyBorder="1" applyAlignment="1">
      <alignment horizontal="left" vertical="center" wrapText="1"/>
    </xf>
    <xf numFmtId="0" fontId="77" fillId="0" borderId="42" xfId="0" applyFont="1" applyBorder="1" applyAlignment="1">
      <alignment vertical="center"/>
    </xf>
    <xf numFmtId="0" fontId="77" fillId="0" borderId="17" xfId="0" applyFont="1" applyBorder="1" applyAlignment="1">
      <alignment vertical="center"/>
    </xf>
    <xf numFmtId="0" fontId="77" fillId="0" borderId="18" xfId="0" applyFont="1" applyBorder="1" applyAlignment="1">
      <alignment vertical="center"/>
    </xf>
    <xf numFmtId="0" fontId="45" fillId="0" borderId="33" xfId="0" applyFont="1" applyBorder="1" applyAlignment="1">
      <alignment horizontal="left" vertical="center"/>
    </xf>
    <xf numFmtId="0" fontId="45" fillId="0" borderId="34" xfId="0" applyFont="1" applyBorder="1" applyAlignment="1">
      <alignment horizontal="left" vertical="center"/>
    </xf>
    <xf numFmtId="0" fontId="77" fillId="0" borderId="17" xfId="0" applyFont="1" applyBorder="1" applyAlignment="1">
      <alignment horizontal="left" vertical="center"/>
    </xf>
    <xf numFmtId="0" fontId="77" fillId="0" borderId="36" xfId="0" applyFont="1" applyBorder="1" applyAlignment="1">
      <alignment horizontal="left" vertical="center"/>
    </xf>
    <xf numFmtId="0" fontId="45" fillId="0" borderId="46" xfId="0" applyFont="1" applyBorder="1" applyAlignment="1">
      <alignment vertical="center"/>
    </xf>
    <xf numFmtId="0" fontId="45" fillId="0" borderId="37" xfId="0" applyFont="1" applyBorder="1" applyAlignment="1">
      <alignment vertical="center"/>
    </xf>
    <xf numFmtId="0" fontId="45" fillId="0" borderId="23" xfId="0" applyFont="1" applyBorder="1" applyAlignment="1">
      <alignment vertical="center"/>
    </xf>
    <xf numFmtId="0" fontId="45" fillId="0" borderId="45" xfId="0" applyFont="1" applyBorder="1" applyAlignment="1">
      <alignment vertical="center"/>
    </xf>
    <xf numFmtId="0" fontId="45" fillId="0" borderId="0" xfId="0" applyFont="1" applyAlignment="1">
      <alignment vertical="center"/>
    </xf>
    <xf numFmtId="0" fontId="45" fillId="0" borderId="36" xfId="0" applyFont="1" applyBorder="1" applyAlignment="1">
      <alignment vertical="center"/>
    </xf>
    <xf numFmtId="1" fontId="98" fillId="16" borderId="0" xfId="0" applyNumberFormat="1" applyFont="1" applyFill="1" applyAlignment="1">
      <alignment horizontal="center" vertical="center"/>
    </xf>
    <xf numFmtId="0" fontId="98" fillId="16" borderId="0" xfId="0" applyFont="1" applyFill="1" applyAlignment="1">
      <alignment horizontal="left" vertical="center"/>
    </xf>
    <xf numFmtId="0" fontId="77" fillId="16" borderId="0" xfId="0" applyFont="1" applyFill="1" applyAlignment="1">
      <alignment horizontal="left" vertical="center"/>
    </xf>
    <xf numFmtId="0" fontId="77" fillId="16" borderId="0" xfId="0" applyFont="1" applyFill="1" applyAlignment="1">
      <alignment vertical="center"/>
    </xf>
    <xf numFmtId="0" fontId="77" fillId="16" borderId="36" xfId="0" applyFont="1" applyFill="1" applyBorder="1" applyAlignment="1">
      <alignment vertical="center"/>
    </xf>
    <xf numFmtId="0" fontId="77" fillId="16" borderId="36" xfId="0" applyFont="1" applyFill="1" applyBorder="1" applyAlignment="1">
      <alignment horizontal="left" vertical="center"/>
    </xf>
    <xf numFmtId="0" fontId="45" fillId="0" borderId="46" xfId="0" applyFont="1" applyBorder="1" applyAlignment="1">
      <alignment horizontal="left" vertical="center"/>
    </xf>
    <xf numFmtId="0" fontId="45" fillId="16" borderId="37" xfId="0" applyFont="1" applyFill="1" applyBorder="1" applyAlignment="1">
      <alignment horizontal="left" vertical="center"/>
    </xf>
    <xf numFmtId="185" fontId="98" fillId="0" borderId="46" xfId="8" applyNumberFormat="1" applyFont="1" applyBorder="1" applyAlignment="1" applyProtection="1">
      <alignment horizontal="center" vertical="center"/>
      <protection hidden="1"/>
    </xf>
    <xf numFmtId="0" fontId="98" fillId="0" borderId="37" xfId="0" applyFont="1" applyBorder="1" applyAlignment="1">
      <alignment vertical="center"/>
    </xf>
    <xf numFmtId="185" fontId="98" fillId="0" borderId="23" xfId="8" applyNumberFormat="1" applyFont="1" applyBorder="1" applyAlignment="1" applyProtection="1">
      <alignment horizontal="center" vertical="center"/>
      <protection hidden="1"/>
    </xf>
    <xf numFmtId="0" fontId="77" fillId="0" borderId="44" xfId="0" applyFont="1" applyBorder="1" applyAlignment="1">
      <alignment vertical="center"/>
    </xf>
    <xf numFmtId="0" fontId="77" fillId="16" borderId="46" xfId="0" applyFont="1" applyFill="1" applyBorder="1" applyAlignment="1">
      <alignment horizontal="center" vertical="center" wrapText="1"/>
    </xf>
    <xf numFmtId="185" fontId="98" fillId="16" borderId="46" xfId="0" applyNumberFormat="1" applyFont="1" applyFill="1" applyBorder="1" applyAlignment="1">
      <alignment horizontal="center" vertical="center" wrapText="1"/>
    </xf>
    <xf numFmtId="49" fontId="98" fillId="16" borderId="23" xfId="0" applyNumberFormat="1" applyFont="1" applyFill="1" applyBorder="1" applyAlignment="1">
      <alignment horizontal="center" vertical="center" wrapText="1"/>
    </xf>
    <xf numFmtId="0" fontId="77" fillId="0" borderId="44" xfId="0" applyFont="1" applyBorder="1"/>
    <xf numFmtId="0" fontId="77" fillId="0" borderId="33" xfId="0" applyFont="1" applyBorder="1"/>
    <xf numFmtId="0" fontId="77" fillId="0" borderId="0" xfId="0" applyFont="1" applyAlignment="1">
      <alignment horizontal="center"/>
    </xf>
    <xf numFmtId="0" fontId="77" fillId="0" borderId="36" xfId="0" applyFont="1" applyBorder="1"/>
    <xf numFmtId="0" fontId="77" fillId="0" borderId="45" xfId="0" applyFont="1" applyBorder="1"/>
    <xf numFmtId="0" fontId="77" fillId="0" borderId="0" xfId="0" applyFont="1" applyAlignment="1">
      <alignment horizontal="left" vertical="top"/>
    </xf>
    <xf numFmtId="0" fontId="77" fillId="0" borderId="42" xfId="0" applyFont="1" applyBorder="1"/>
    <xf numFmtId="0" fontId="77" fillId="0" borderId="17" xfId="0" applyFont="1" applyBorder="1"/>
    <xf numFmtId="0" fontId="77" fillId="0" borderId="18" xfId="0" applyFont="1" applyBorder="1"/>
    <xf numFmtId="0" fontId="50" fillId="0" borderId="0" xfId="0" applyFont="1"/>
    <xf numFmtId="0" fontId="50" fillId="0" borderId="0" xfId="6" applyFont="1"/>
    <xf numFmtId="14" fontId="50" fillId="0" borderId="0" xfId="6" applyNumberFormat="1" applyFont="1" applyAlignment="1">
      <alignment horizontal="center"/>
    </xf>
    <xf numFmtId="0" fontId="50" fillId="0" borderId="0" xfId="6" applyFont="1" applyAlignment="1">
      <alignment horizontal="center"/>
    </xf>
    <xf numFmtId="0" fontId="50" fillId="0" borderId="0" xfId="5" applyFont="1"/>
    <xf numFmtId="0" fontId="103" fillId="0" borderId="0" xfId="5" applyFont="1"/>
    <xf numFmtId="0" fontId="95" fillId="0" borderId="0" xfId="0" applyFont="1"/>
    <xf numFmtId="0" fontId="96" fillId="16" borderId="0" xfId="0" applyFont="1" applyFill="1"/>
    <xf numFmtId="0" fontId="77" fillId="16" borderId="0" xfId="0" applyFont="1" applyFill="1"/>
    <xf numFmtId="0" fontId="95" fillId="16" borderId="0" xfId="0" applyFont="1" applyFill="1"/>
    <xf numFmtId="0" fontId="96" fillId="0" borderId="0" xfId="0" applyFont="1"/>
    <xf numFmtId="49" fontId="98" fillId="0" borderId="0" xfId="0" applyNumberFormat="1" applyFont="1" applyAlignment="1">
      <alignment horizontal="center"/>
    </xf>
    <xf numFmtId="0" fontId="98" fillId="16" borderId="0" xfId="0" applyFont="1" applyFill="1"/>
    <xf numFmtId="0" fontId="77" fillId="16" borderId="17" xfId="0" applyFont="1" applyFill="1" applyBorder="1"/>
    <xf numFmtId="0" fontId="77" fillId="16" borderId="37" xfId="0" applyFont="1" applyFill="1" applyBorder="1"/>
    <xf numFmtId="0" fontId="77" fillId="16" borderId="18" xfId="0" applyFont="1" applyFill="1" applyBorder="1"/>
    <xf numFmtId="0" fontId="77" fillId="16" borderId="46" xfId="0" applyFont="1" applyFill="1" applyBorder="1"/>
    <xf numFmtId="0" fontId="77" fillId="16" borderId="23" xfId="0" applyFont="1" applyFill="1" applyBorder="1"/>
    <xf numFmtId="0" fontId="77" fillId="16" borderId="42" xfId="0" applyFont="1" applyFill="1" applyBorder="1"/>
    <xf numFmtId="0" fontId="98" fillId="16" borderId="17" xfId="0" applyFont="1" applyFill="1" applyBorder="1"/>
    <xf numFmtId="1" fontId="45" fillId="0" borderId="0" xfId="8" applyNumberFormat="1" applyFont="1" applyAlignment="1" applyProtection="1">
      <alignment horizontal="center" vertical="center"/>
      <protection hidden="1"/>
    </xf>
    <xf numFmtId="49" fontId="36" fillId="0" borderId="0" xfId="0" applyNumberFormat="1" applyFont="1"/>
    <xf numFmtId="49" fontId="10" fillId="0" borderId="0" xfId="0" applyNumberFormat="1" applyFont="1"/>
    <xf numFmtId="0" fontId="45" fillId="0" borderId="0" xfId="8" applyFont="1" applyAlignment="1" applyProtection="1">
      <alignment vertical="center" shrinkToFit="1"/>
      <protection hidden="1"/>
    </xf>
    <xf numFmtId="0" fontId="97" fillId="0" borderId="0" xfId="8" applyFont="1" applyAlignment="1" applyProtection="1">
      <alignment horizontal="center" vertical="center"/>
      <protection hidden="1"/>
    </xf>
    <xf numFmtId="0" fontId="45" fillId="0" borderId="0" xfId="8" applyFont="1" applyAlignment="1" applyProtection="1">
      <alignment horizontal="right" vertical="center" shrinkToFit="1"/>
      <protection hidden="1"/>
    </xf>
    <xf numFmtId="14" fontId="45" fillId="0" borderId="0" xfId="8" applyNumberFormat="1" applyFont="1" applyAlignment="1" applyProtection="1">
      <alignment horizontal="right" vertical="center"/>
      <protection hidden="1"/>
    </xf>
    <xf numFmtId="0" fontId="45" fillId="23" borderId="0" xfId="8" applyFont="1" applyFill="1" applyAlignment="1" applyProtection="1">
      <alignment horizontal="left" vertical="center"/>
      <protection hidden="1"/>
    </xf>
    <xf numFmtId="14" fontId="96" fillId="0" borderId="0" xfId="8" applyNumberFormat="1" applyFont="1" applyAlignment="1" applyProtection="1">
      <alignment horizontal="right" vertical="center"/>
      <protection hidden="1"/>
    </xf>
    <xf numFmtId="0" fontId="45" fillId="0" borderId="0" xfId="8" applyFont="1" applyAlignment="1" applyProtection="1">
      <alignment horizontal="left" vertical="center"/>
      <protection hidden="1"/>
    </xf>
    <xf numFmtId="0" fontId="45" fillId="23" borderId="0" xfId="8" applyFont="1" applyFill="1" applyAlignment="1" applyProtection="1">
      <alignment vertical="center"/>
      <protection hidden="1"/>
    </xf>
    <xf numFmtId="170" fontId="104" fillId="0" borderId="0" xfId="8" applyNumberFormat="1" applyFont="1" applyAlignment="1" applyProtection="1">
      <alignment horizontal="left" shrinkToFit="1"/>
      <protection hidden="1"/>
    </xf>
    <xf numFmtId="1" fontId="96" fillId="0" borderId="0" xfId="8" applyNumberFormat="1" applyFont="1" applyAlignment="1" applyProtection="1">
      <alignment horizontal="center" vertical="center"/>
      <protection hidden="1"/>
    </xf>
    <xf numFmtId="0" fontId="108" fillId="0" borderId="0" xfId="8" applyFont="1" applyAlignment="1" applyProtection="1">
      <alignment vertical="center"/>
      <protection hidden="1"/>
    </xf>
    <xf numFmtId="0" fontId="96" fillId="0" borderId="30" xfId="8" applyFont="1" applyBorder="1" applyAlignment="1" applyProtection="1">
      <alignment horizontal="center" vertical="center"/>
      <protection hidden="1"/>
    </xf>
    <xf numFmtId="0" fontId="96" fillId="0" borderId="11" xfId="8" applyFont="1" applyBorder="1" applyAlignment="1" applyProtection="1">
      <alignment horizontal="center" vertical="center"/>
      <protection hidden="1"/>
    </xf>
    <xf numFmtId="0" fontId="104" fillId="0" borderId="30" xfId="8" applyFont="1" applyBorder="1" applyAlignment="1" applyProtection="1">
      <alignment horizontal="left" vertical="center"/>
      <protection hidden="1"/>
    </xf>
    <xf numFmtId="0" fontId="104" fillId="0" borderId="28" xfId="8" applyFont="1" applyBorder="1" applyAlignment="1" applyProtection="1">
      <alignment horizontal="center" vertical="center"/>
      <protection hidden="1"/>
    </xf>
    <xf numFmtId="0" fontId="104" fillId="0" borderId="31" xfId="8" applyFont="1" applyBorder="1" applyAlignment="1" applyProtection="1">
      <alignment horizontal="center" vertical="center"/>
      <protection hidden="1"/>
    </xf>
    <xf numFmtId="0" fontId="95" fillId="0" borderId="5" xfId="8" applyFont="1" applyBorder="1" applyAlignment="1" applyProtection="1">
      <alignment vertical="center"/>
      <protection hidden="1"/>
    </xf>
    <xf numFmtId="0" fontId="95" fillId="0" borderId="6" xfId="8" applyFont="1" applyBorder="1" applyAlignment="1" applyProtection="1">
      <alignment vertical="center"/>
      <protection hidden="1"/>
    </xf>
    <xf numFmtId="0" fontId="95" fillId="0" borderId="25" xfId="8" applyFont="1" applyBorder="1" applyAlignment="1" applyProtection="1">
      <alignment vertical="center"/>
      <protection hidden="1"/>
    </xf>
    <xf numFmtId="0" fontId="98" fillId="0" borderId="0" xfId="8" applyFont="1" applyAlignment="1" applyProtection="1">
      <alignment vertical="center"/>
      <protection hidden="1"/>
    </xf>
    <xf numFmtId="0" fontId="104" fillId="0" borderId="30" xfId="8" applyFont="1" applyBorder="1" applyAlignment="1" applyProtection="1">
      <alignment vertical="center"/>
      <protection hidden="1"/>
    </xf>
    <xf numFmtId="0" fontId="95" fillId="0" borderId="28" xfId="8" applyFont="1" applyBorder="1" applyAlignment="1" applyProtection="1">
      <alignment vertical="center"/>
      <protection hidden="1"/>
    </xf>
    <xf numFmtId="0" fontId="95" fillId="0" borderId="31" xfId="8" applyFont="1" applyBorder="1" applyAlignment="1" applyProtection="1">
      <alignment vertical="center"/>
      <protection hidden="1"/>
    </xf>
    <xf numFmtId="0" fontId="95" fillId="0" borderId="0" xfId="8" applyFont="1" applyAlignment="1" applyProtection="1">
      <alignment horizontal="center" vertical="center"/>
      <protection hidden="1"/>
    </xf>
    <xf numFmtId="0" fontId="104" fillId="0" borderId="0" xfId="8" applyFont="1" applyAlignment="1" applyProtection="1">
      <alignment horizontal="center" vertical="center"/>
      <protection hidden="1"/>
    </xf>
    <xf numFmtId="0" fontId="95" fillId="0" borderId="0" xfId="8" applyFont="1" applyAlignment="1" applyProtection="1">
      <alignment vertical="center"/>
      <protection hidden="1"/>
    </xf>
    <xf numFmtId="14" fontId="104" fillId="0" borderId="0" xfId="8" applyNumberFormat="1" applyFont="1" applyAlignment="1" applyProtection="1">
      <alignment horizontal="left" vertical="center"/>
      <protection hidden="1"/>
    </xf>
    <xf numFmtId="14" fontId="98" fillId="0" borderId="0" xfId="8" applyNumberFormat="1" applyFont="1" applyAlignment="1" applyProtection="1">
      <alignment horizontal="left" vertical="center"/>
      <protection hidden="1"/>
    </xf>
    <xf numFmtId="14" fontId="45" fillId="0" borderId="0" xfId="8" applyNumberFormat="1" applyFont="1" applyAlignment="1" applyProtection="1">
      <alignment horizontal="left" vertical="center"/>
      <protection hidden="1"/>
    </xf>
    <xf numFmtId="14" fontId="98" fillId="0" borderId="0" xfId="8" applyNumberFormat="1" applyFont="1" applyAlignment="1" applyProtection="1">
      <alignment vertical="center"/>
      <protection hidden="1"/>
    </xf>
    <xf numFmtId="0" fontId="45" fillId="0" borderId="0" xfId="8" applyFont="1" applyAlignment="1" applyProtection="1">
      <alignment horizontal="center" vertical="center" shrinkToFit="1"/>
      <protection hidden="1"/>
    </xf>
    <xf numFmtId="14" fontId="98" fillId="0" borderId="2" xfId="8" applyNumberFormat="1" applyFont="1" applyBorder="1" applyAlignment="1" applyProtection="1">
      <alignment horizontal="center" vertical="center"/>
      <protection hidden="1"/>
    </xf>
    <xf numFmtId="170" fontId="98" fillId="0" borderId="2" xfId="8" applyNumberFormat="1" applyFont="1" applyBorder="1" applyAlignment="1" applyProtection="1">
      <alignment horizontal="center" vertical="center"/>
      <protection hidden="1"/>
    </xf>
    <xf numFmtId="0" fontId="98" fillId="0" borderId="2" xfId="8" applyFont="1" applyBorder="1" applyAlignment="1" applyProtection="1">
      <alignment horizontal="center" vertical="center"/>
      <protection hidden="1"/>
    </xf>
    <xf numFmtId="185" fontId="77" fillId="0" borderId="2" xfId="8" applyNumberFormat="1" applyFont="1" applyBorder="1" applyAlignment="1" applyProtection="1">
      <alignment horizontal="center" vertical="center"/>
      <protection hidden="1"/>
    </xf>
    <xf numFmtId="170" fontId="77" fillId="0" borderId="2" xfId="8" applyNumberFormat="1" applyFont="1" applyBorder="1" applyAlignment="1" applyProtection="1">
      <alignment horizontal="center" vertical="center"/>
      <protection hidden="1"/>
    </xf>
    <xf numFmtId="3" fontId="77" fillId="0" borderId="2" xfId="8" applyNumberFormat="1" applyFont="1" applyBorder="1" applyAlignment="1" applyProtection="1">
      <alignment horizontal="center" vertical="center"/>
      <protection hidden="1"/>
    </xf>
    <xf numFmtId="1" fontId="98" fillId="0" borderId="2" xfId="8" applyNumberFormat="1" applyFont="1" applyBorder="1" applyAlignment="1" applyProtection="1">
      <alignment horizontal="center" vertical="center"/>
      <protection hidden="1"/>
    </xf>
    <xf numFmtId="1" fontId="77" fillId="0" borderId="2" xfId="8" applyNumberFormat="1" applyFont="1" applyBorder="1" applyAlignment="1" applyProtection="1">
      <alignment horizontal="center" vertical="center"/>
      <protection hidden="1"/>
    </xf>
    <xf numFmtId="3" fontId="98" fillId="0" borderId="2" xfId="8" applyNumberFormat="1" applyFont="1" applyBorder="1" applyAlignment="1" applyProtection="1">
      <alignment horizontal="center" vertical="center"/>
      <protection hidden="1"/>
    </xf>
    <xf numFmtId="14" fontId="77" fillId="0" borderId="2" xfId="8" applyNumberFormat="1" applyFont="1" applyBorder="1" applyAlignment="1" applyProtection="1">
      <alignment horizontal="center" vertical="center"/>
      <protection hidden="1"/>
    </xf>
    <xf numFmtId="0" fontId="96" fillId="0" borderId="5" xfId="8" applyFont="1" applyBorder="1" applyAlignment="1" applyProtection="1">
      <alignment vertical="center"/>
      <protection hidden="1"/>
    </xf>
    <xf numFmtId="0" fontId="96" fillId="0" borderId="6" xfId="8" applyFont="1" applyBorder="1" applyAlignment="1" applyProtection="1">
      <alignment vertical="center"/>
      <protection hidden="1"/>
    </xf>
    <xf numFmtId="0" fontId="96" fillId="0" borderId="25" xfId="8" applyFont="1" applyBorder="1" applyAlignment="1" applyProtection="1">
      <alignment vertical="center"/>
      <protection hidden="1"/>
    </xf>
    <xf numFmtId="14" fontId="45" fillId="0" borderId="17" xfId="8" applyNumberFormat="1" applyFont="1" applyBorder="1" applyAlignment="1" applyProtection="1">
      <alignment horizontal="center" vertical="center"/>
      <protection hidden="1"/>
    </xf>
    <xf numFmtId="0" fontId="45" fillId="0" borderId="17" xfId="8" applyFont="1" applyBorder="1" applyAlignment="1" applyProtection="1">
      <alignment horizontal="center" vertical="center" shrinkToFit="1"/>
      <protection hidden="1"/>
    </xf>
    <xf numFmtId="14" fontId="45" fillId="0" borderId="0" xfId="8" applyNumberFormat="1" applyFont="1" applyAlignment="1" applyProtection="1">
      <alignment horizontal="right" vertical="top" shrinkToFit="1"/>
      <protection hidden="1"/>
    </xf>
    <xf numFmtId="0" fontId="98" fillId="0" borderId="0" xfId="0" applyFont="1" applyAlignment="1">
      <alignment horizontal="right"/>
    </xf>
    <xf numFmtId="0" fontId="96" fillId="0" borderId="0" xfId="0" applyFont="1" applyAlignment="1">
      <alignment horizontal="left"/>
    </xf>
    <xf numFmtId="0" fontId="96" fillId="0" borderId="1" xfId="0" applyFont="1" applyBorder="1" applyAlignment="1">
      <alignment horizontal="center" vertical="center" wrapText="1"/>
    </xf>
    <xf numFmtId="0" fontId="96" fillId="0" borderId="21" xfId="0" applyFont="1" applyBorder="1" applyAlignment="1">
      <alignment horizontal="center" vertical="center" wrapText="1"/>
    </xf>
    <xf numFmtId="0" fontId="96" fillId="0" borderId="52" xfId="0" applyFont="1" applyBorder="1" applyAlignment="1">
      <alignment vertical="center" wrapText="1"/>
    </xf>
    <xf numFmtId="0" fontId="96" fillId="0" borderId="53" xfId="0" applyFont="1" applyBorder="1" applyAlignment="1">
      <alignment horizontal="center" vertical="center" wrapText="1"/>
    </xf>
    <xf numFmtId="0" fontId="96" fillId="0" borderId="54" xfId="0" applyFont="1" applyBorder="1" applyAlignment="1">
      <alignment vertical="center" wrapText="1"/>
    </xf>
    <xf numFmtId="0" fontId="96" fillId="0" borderId="25" xfId="0" applyFont="1" applyBorder="1" applyAlignment="1">
      <alignment horizontal="center" vertical="center" wrapText="1"/>
    </xf>
    <xf numFmtId="0" fontId="45" fillId="0" borderId="54" xfId="0" applyFont="1" applyBorder="1" applyAlignment="1">
      <alignment horizontal="center" vertical="center" wrapText="1"/>
    </xf>
    <xf numFmtId="0" fontId="109" fillId="0" borderId="0" xfId="0" applyFont="1" applyAlignment="1">
      <alignment vertical="center"/>
    </xf>
    <xf numFmtId="0" fontId="96" fillId="0" borderId="17" xfId="0" applyFont="1" applyBorder="1"/>
    <xf numFmtId="189" fontId="95" fillId="0" borderId="0" xfId="0" applyNumberFormat="1" applyFont="1" applyAlignment="1">
      <alignment horizontal="center"/>
    </xf>
    <xf numFmtId="14" fontId="106" fillId="0" borderId="0" xfId="0" applyNumberFormat="1" applyFont="1" applyAlignment="1">
      <alignment horizontal="center" shrinkToFit="1"/>
    </xf>
    <xf numFmtId="0" fontId="107" fillId="0" borderId="0" xfId="0" applyFont="1" applyAlignment="1">
      <alignment horizontal="right" vertical="center"/>
    </xf>
    <xf numFmtId="0" fontId="76" fillId="0" borderId="0" xfId="0" applyFont="1"/>
    <xf numFmtId="49" fontId="76" fillId="0" borderId="0" xfId="0" applyNumberFormat="1" applyFont="1" applyAlignment="1">
      <alignment horizontal="right"/>
    </xf>
    <xf numFmtId="186" fontId="10" fillId="0" borderId="0" xfId="0" applyNumberFormat="1" applyFont="1" applyAlignment="1">
      <alignment horizontal="center"/>
    </xf>
    <xf numFmtId="186" fontId="10" fillId="0" borderId="0" xfId="0" applyNumberFormat="1" applyFont="1" applyAlignment="1">
      <alignment horizontal="left"/>
    </xf>
    <xf numFmtId="0" fontId="96" fillId="0" borderId="28" xfId="8" applyFont="1" applyBorder="1" applyAlignment="1" applyProtection="1">
      <alignment horizontal="center" vertical="center"/>
      <protection hidden="1"/>
    </xf>
    <xf numFmtId="0" fontId="96" fillId="0" borderId="11" xfId="8" applyFont="1" applyBorder="1" applyAlignment="1" applyProtection="1">
      <alignment vertical="center"/>
      <protection hidden="1"/>
    </xf>
    <xf numFmtId="0" fontId="96" fillId="0" borderId="14" xfId="8" applyFont="1" applyBorder="1" applyAlignment="1" applyProtection="1">
      <alignment vertical="center"/>
      <protection hidden="1"/>
    </xf>
    <xf numFmtId="0" fontId="10" fillId="0" borderId="0" xfId="0" applyFont="1" applyAlignment="1">
      <alignment shrinkToFit="1"/>
    </xf>
    <xf numFmtId="1" fontId="45" fillId="25" borderId="0" xfId="8" applyNumberFormat="1" applyFont="1" applyFill="1" applyAlignment="1" applyProtection="1">
      <alignment horizontal="center" vertical="center"/>
      <protection hidden="1"/>
    </xf>
    <xf numFmtId="1" fontId="126" fillId="25" borderId="0" xfId="8" applyNumberFormat="1" applyFont="1" applyFill="1" applyAlignment="1" applyProtection="1">
      <alignment horizontal="center" vertical="center"/>
      <protection hidden="1"/>
    </xf>
    <xf numFmtId="1" fontId="96" fillId="16" borderId="0" xfId="0" applyNumberFormat="1" applyFont="1" applyFill="1"/>
    <xf numFmtId="0" fontId="77" fillId="23" borderId="0" xfId="0" applyFont="1" applyFill="1"/>
    <xf numFmtId="193" fontId="63" fillId="0" borderId="0" xfId="0" applyNumberFormat="1" applyFont="1"/>
    <xf numFmtId="0" fontId="98" fillId="16" borderId="37" xfId="0" applyFont="1" applyFill="1" applyBorder="1"/>
    <xf numFmtId="49" fontId="98" fillId="16" borderId="17" xfId="0" applyNumberFormat="1" applyFont="1" applyFill="1" applyBorder="1"/>
    <xf numFmtId="49" fontId="98" fillId="16" borderId="37" xfId="0" applyNumberFormat="1" applyFont="1" applyFill="1" applyBorder="1"/>
    <xf numFmtId="0" fontId="96" fillId="16" borderId="0" xfId="0" applyFont="1" applyFill="1" applyAlignment="1">
      <alignment horizontal="left"/>
    </xf>
    <xf numFmtId="164" fontId="98" fillId="16" borderId="37" xfId="0" applyNumberFormat="1" applyFont="1" applyFill="1" applyBorder="1"/>
    <xf numFmtId="0" fontId="100" fillId="16" borderId="17" xfId="0" applyFont="1" applyFill="1" applyBorder="1"/>
    <xf numFmtId="0" fontId="100" fillId="16" borderId="0" xfId="0" applyFont="1" applyFill="1"/>
    <xf numFmtId="0" fontId="77" fillId="16" borderId="0" xfId="0" applyFont="1" applyFill="1" applyAlignment="1">
      <alignment horizontal="left"/>
    </xf>
    <xf numFmtId="0" fontId="77" fillId="23" borderId="37" xfId="0" applyFont="1" applyFill="1" applyBorder="1"/>
    <xf numFmtId="49" fontId="77" fillId="23" borderId="37" xfId="0" applyNumberFormat="1" applyFont="1" applyFill="1" applyBorder="1"/>
    <xf numFmtId="0" fontId="77" fillId="23" borderId="17" xfId="0" applyFont="1" applyFill="1" applyBorder="1"/>
    <xf numFmtId="49" fontId="98" fillId="23" borderId="17" xfId="0" applyNumberFormat="1" applyFont="1" applyFill="1" applyBorder="1"/>
    <xf numFmtId="49" fontId="98" fillId="16" borderId="0" xfId="0" applyNumberFormat="1" applyFont="1" applyFill="1"/>
    <xf numFmtId="0" fontId="77" fillId="16" borderId="0" xfId="0" applyFont="1" applyFill="1" applyAlignment="1">
      <alignment wrapText="1"/>
    </xf>
    <xf numFmtId="0" fontId="110" fillId="16" borderId="0" xfId="0" applyFont="1" applyFill="1"/>
    <xf numFmtId="0" fontId="104" fillId="16" borderId="0" xfId="0" applyFont="1" applyFill="1"/>
    <xf numFmtId="49" fontId="45" fillId="16" borderId="0" xfId="0" applyNumberFormat="1" applyFont="1" applyFill="1"/>
    <xf numFmtId="49" fontId="96" fillId="16" borderId="0" xfId="0" applyNumberFormat="1" applyFont="1" applyFill="1"/>
    <xf numFmtId="164" fontId="98" fillId="16" borderId="17" xfId="0" applyNumberFormat="1" applyFont="1" applyFill="1" applyBorder="1"/>
    <xf numFmtId="0" fontId="77" fillId="16" borderId="0" xfId="0" applyFont="1" applyFill="1" applyAlignment="1">
      <alignment vertical="top"/>
    </xf>
    <xf numFmtId="0" fontId="10" fillId="0" borderId="53" xfId="0" applyFont="1" applyBorder="1" applyAlignment="1">
      <alignment horizontal="center" vertical="center" wrapText="1"/>
    </xf>
    <xf numFmtId="0" fontId="96" fillId="0" borderId="0" xfId="0" applyFont="1" applyProtection="1">
      <protection hidden="1"/>
    </xf>
    <xf numFmtId="0" fontId="50" fillId="0" borderId="0" xfId="6" applyFont="1" applyProtection="1">
      <protection hidden="1"/>
    </xf>
    <xf numFmtId="14" fontId="50" fillId="0" borderId="0" xfId="6" applyNumberFormat="1" applyFont="1" applyAlignment="1" applyProtection="1">
      <alignment horizontal="center"/>
      <protection hidden="1"/>
    </xf>
    <xf numFmtId="0" fontId="50" fillId="0" borderId="0" xfId="6" applyFont="1" applyAlignment="1" applyProtection="1">
      <alignment horizontal="center"/>
      <protection hidden="1"/>
    </xf>
    <xf numFmtId="0" fontId="77" fillId="0" borderId="0" xfId="0" applyFont="1" applyAlignment="1" applyProtection="1">
      <alignment vertical="center"/>
      <protection hidden="1"/>
    </xf>
    <xf numFmtId="0" fontId="50" fillId="0" borderId="0" xfId="5" applyFont="1" applyProtection="1">
      <protection hidden="1"/>
    </xf>
    <xf numFmtId="0" fontId="103" fillId="0" borderId="0" xfId="5" applyFont="1" applyProtection="1">
      <protection hidden="1"/>
    </xf>
    <xf numFmtId="0" fontId="77" fillId="0" borderId="0" xfId="0" applyFont="1" applyAlignment="1" applyProtection="1">
      <alignment vertical="center" wrapText="1"/>
      <protection hidden="1"/>
    </xf>
    <xf numFmtId="0" fontId="104" fillId="0" borderId="6" xfId="8" applyFont="1" applyBorder="1" applyAlignment="1" applyProtection="1">
      <alignment horizontal="center" vertical="center"/>
      <protection hidden="1"/>
    </xf>
    <xf numFmtId="171" fontId="96" fillId="0" borderId="17" xfId="8" applyNumberFormat="1" applyFont="1" applyBorder="1" applyAlignment="1" applyProtection="1">
      <alignment vertical="center"/>
      <protection hidden="1"/>
    </xf>
    <xf numFmtId="0" fontId="104" fillId="0" borderId="0" xfId="0" applyFont="1" applyAlignment="1">
      <alignment horizontal="center"/>
    </xf>
    <xf numFmtId="195" fontId="45" fillId="16" borderId="0" xfId="0" applyNumberFormat="1" applyFont="1" applyFill="1" applyAlignment="1">
      <alignment shrinkToFit="1"/>
    </xf>
    <xf numFmtId="0" fontId="77" fillId="16" borderId="0" xfId="0" applyFont="1" applyFill="1" applyAlignment="1">
      <alignment horizontal="right"/>
    </xf>
    <xf numFmtId="0" fontId="96" fillId="16" borderId="0" xfId="0" applyFont="1" applyFill="1" applyAlignment="1">
      <alignment horizontal="left" shrinkToFit="1"/>
    </xf>
    <xf numFmtId="0" fontId="95" fillId="0" borderId="0" xfId="0" applyFont="1" applyAlignment="1">
      <alignment horizontal="center"/>
    </xf>
    <xf numFmtId="0" fontId="76" fillId="0" borderId="0" xfId="0" applyFont="1" applyAlignment="1">
      <alignment wrapText="1"/>
    </xf>
    <xf numFmtId="49" fontId="45" fillId="0" borderId="0" xfId="0" applyNumberFormat="1" applyFont="1" applyAlignment="1">
      <alignment horizontal="center" shrinkToFit="1"/>
    </xf>
    <xf numFmtId="0" fontId="45" fillId="0" borderId="0" xfId="0" applyFont="1" applyAlignment="1">
      <alignment wrapText="1"/>
    </xf>
    <xf numFmtId="193" fontId="104" fillId="0" borderId="0" xfId="0" applyNumberFormat="1" applyFont="1"/>
    <xf numFmtId="193" fontId="104" fillId="0" borderId="0" xfId="0" applyNumberFormat="1" applyFont="1" applyAlignment="1">
      <alignment horizontal="right"/>
    </xf>
    <xf numFmtId="0" fontId="127" fillId="0" borderId="0" xfId="0" applyFont="1"/>
    <xf numFmtId="0" fontId="44" fillId="0" borderId="0" xfId="0" applyFont="1"/>
    <xf numFmtId="49" fontId="76" fillId="0" borderId="0" xfId="0" applyNumberFormat="1" applyFont="1" applyAlignment="1">
      <alignment horizontal="center" shrinkToFit="1"/>
    </xf>
    <xf numFmtId="0" fontId="44" fillId="0" borderId="0" xfId="0" applyFont="1" applyAlignment="1">
      <alignment horizontal="center"/>
    </xf>
    <xf numFmtId="49" fontId="76" fillId="0" borderId="0" xfId="0" applyNumberFormat="1" applyFont="1"/>
    <xf numFmtId="49" fontId="104" fillId="0" borderId="0" xfId="0" applyNumberFormat="1" applyFont="1" applyAlignment="1">
      <alignment horizontal="left"/>
    </xf>
    <xf numFmtId="49" fontId="104" fillId="0" borderId="0" xfId="0" applyNumberFormat="1" applyFont="1"/>
    <xf numFmtId="0" fontId="104" fillId="0" borderId="0" xfId="0" applyFont="1"/>
    <xf numFmtId="0" fontId="116" fillId="0" borderId="0" xfId="0" applyFont="1" applyAlignment="1">
      <alignment horizontal="left"/>
    </xf>
    <xf numFmtId="49" fontId="76" fillId="0" borderId="0" xfId="0" applyNumberFormat="1" applyFont="1" applyAlignment="1">
      <alignment horizontal="left"/>
    </xf>
    <xf numFmtId="49" fontId="44" fillId="0" borderId="0" xfId="0" applyNumberFormat="1" applyFont="1"/>
    <xf numFmtId="0" fontId="117" fillId="0" borderId="0" xfId="0" applyFont="1"/>
    <xf numFmtId="0" fontId="95" fillId="0" borderId="0" xfId="0" applyFont="1" applyAlignment="1">
      <alignment vertical="center" wrapText="1"/>
    </xf>
    <xf numFmtId="0" fontId="95" fillId="0" borderId="0" xfId="0" applyFont="1" applyAlignment="1">
      <alignment vertical="center"/>
    </xf>
    <xf numFmtId="0" fontId="95" fillId="0" borderId="0" xfId="0" applyFont="1" applyAlignment="1">
      <alignment horizontal="center" vertical="center" wrapText="1"/>
    </xf>
    <xf numFmtId="0" fontId="95" fillId="0" borderId="0" xfId="0" applyFont="1" applyAlignment="1">
      <alignment horizontal="right"/>
    </xf>
    <xf numFmtId="49" fontId="95" fillId="0" borderId="0" xfId="0" applyNumberFormat="1" applyFont="1" applyAlignment="1">
      <alignment horizontal="left"/>
    </xf>
    <xf numFmtId="0" fontId="95" fillId="0" borderId="0" xfId="0" applyFont="1" applyAlignment="1">
      <alignment horizontal="left"/>
    </xf>
    <xf numFmtId="0" fontId="95" fillId="0" borderId="17" xfId="0" applyFont="1" applyBorder="1"/>
    <xf numFmtId="0" fontId="95" fillId="0" borderId="17" xfId="0" applyFont="1" applyBorder="1" applyAlignment="1">
      <alignment horizontal="center"/>
    </xf>
    <xf numFmtId="0" fontId="95" fillId="0" borderId="0" xfId="0" applyFont="1" applyAlignment="1">
      <alignment vertical="top"/>
    </xf>
    <xf numFmtId="0" fontId="10" fillId="0" borderId="0" xfId="8" applyFont="1" applyAlignment="1">
      <alignment vertical="center"/>
    </xf>
    <xf numFmtId="195" fontId="105" fillId="0" borderId="17" xfId="0" applyNumberFormat="1" applyFont="1" applyBorder="1" applyAlignment="1">
      <alignment shrinkToFit="1"/>
    </xf>
    <xf numFmtId="0" fontId="45" fillId="0" borderId="25" xfId="0" applyFont="1" applyBorder="1" applyAlignment="1">
      <alignment horizontal="center" vertical="center" wrapText="1"/>
    </xf>
    <xf numFmtId="0" fontId="45" fillId="0" borderId="0" xfId="0" applyFont="1" applyAlignment="1">
      <alignment horizontal="center" vertical="center" wrapText="1"/>
    </xf>
    <xf numFmtId="0" fontId="96" fillId="0" borderId="0" xfId="0" applyFont="1" applyAlignment="1">
      <alignment horizontal="center" vertical="center" wrapText="1"/>
    </xf>
    <xf numFmtId="0" fontId="96" fillId="0" borderId="0" xfId="0" applyFont="1" applyAlignment="1">
      <alignment vertical="center" wrapText="1"/>
    </xf>
    <xf numFmtId="0" fontId="45" fillId="0" borderId="0" xfId="0" applyFont="1"/>
    <xf numFmtId="1" fontId="10" fillId="0" borderId="0" xfId="0" applyNumberFormat="1" applyFont="1" applyAlignment="1">
      <alignment horizontal="center"/>
    </xf>
    <xf numFmtId="1" fontId="96" fillId="0" borderId="0" xfId="8" applyNumberFormat="1" applyFont="1" applyAlignment="1" applyProtection="1">
      <alignment vertical="center"/>
      <protection hidden="1"/>
    </xf>
    <xf numFmtId="2" fontId="96" fillId="0" borderId="0" xfId="8" applyNumberFormat="1" applyFont="1" applyAlignment="1" applyProtection="1">
      <alignment vertical="center"/>
      <protection hidden="1"/>
    </xf>
    <xf numFmtId="10" fontId="77" fillId="0" borderId="0" xfId="0" applyNumberFormat="1" applyFont="1" applyAlignment="1" applyProtection="1">
      <alignment vertical="center"/>
      <protection hidden="1"/>
    </xf>
    <xf numFmtId="0" fontId="2" fillId="14" borderId="0" xfId="9" applyFill="1" applyAlignment="1">
      <alignment vertical="center"/>
    </xf>
    <xf numFmtId="0" fontId="96" fillId="0" borderId="0" xfId="0" applyFont="1" applyProtection="1">
      <protection locked="0"/>
    </xf>
    <xf numFmtId="0" fontId="45" fillId="0" borderId="2" xfId="0" applyFont="1" applyBorder="1" applyAlignment="1" applyProtection="1">
      <alignment horizontal="center" vertical="center" wrapText="1"/>
      <protection locked="0"/>
    </xf>
    <xf numFmtId="0" fontId="45" fillId="0" borderId="2" xfId="0" applyFont="1" applyBorder="1" applyAlignment="1" applyProtection="1">
      <alignment horizontal="left" vertical="center" wrapText="1"/>
      <protection locked="0"/>
    </xf>
    <xf numFmtId="0" fontId="45" fillId="0" borderId="46" xfId="0" applyFont="1" applyBorder="1" applyAlignment="1" applyProtection="1">
      <alignment horizontal="left" vertical="center" wrapText="1"/>
      <protection locked="0"/>
    </xf>
    <xf numFmtId="1" fontId="96" fillId="0" borderId="0" xfId="0" applyNumberFormat="1" applyFont="1" applyProtection="1">
      <protection locked="0"/>
    </xf>
    <xf numFmtId="0" fontId="45" fillId="0" borderId="3" xfId="0" applyFont="1" applyBorder="1" applyAlignment="1" applyProtection="1">
      <alignment horizontal="center" vertical="center" wrapText="1"/>
      <protection locked="0"/>
    </xf>
    <xf numFmtId="0" fontId="45" fillId="0" borderId="3" xfId="0" applyFont="1" applyBorder="1" applyAlignment="1" applyProtection="1">
      <alignment horizontal="left" vertical="center" wrapText="1"/>
      <protection locked="0"/>
    </xf>
    <xf numFmtId="0" fontId="45" fillId="0" borderId="35" xfId="0" applyFont="1" applyBorder="1" applyAlignment="1" applyProtection="1">
      <alignment horizontal="left" vertical="center" wrapText="1"/>
      <protection locked="0"/>
    </xf>
    <xf numFmtId="0" fontId="45" fillId="0" borderId="46" xfId="0" applyFont="1" applyBorder="1" applyAlignment="1" applyProtection="1">
      <alignment horizontal="left" vertical="top" wrapText="1"/>
      <protection locked="0"/>
    </xf>
    <xf numFmtId="0" fontId="45" fillId="0" borderId="44" xfId="0" applyFont="1" applyBorder="1" applyAlignment="1" applyProtection="1">
      <alignment vertical="center"/>
      <protection locked="0"/>
    </xf>
    <xf numFmtId="0" fontId="96" fillId="0" borderId="33" xfId="0" applyFont="1" applyBorder="1" applyAlignment="1" applyProtection="1">
      <alignment vertical="center" wrapText="1"/>
      <protection locked="0"/>
    </xf>
    <xf numFmtId="0" fontId="96" fillId="0" borderId="34" xfId="0" applyFont="1" applyBorder="1" applyAlignment="1" applyProtection="1">
      <alignment vertical="center" wrapText="1"/>
      <protection locked="0"/>
    </xf>
    <xf numFmtId="0" fontId="45" fillId="0" borderId="13" xfId="0" applyFont="1" applyBorder="1" applyAlignment="1" applyProtection="1">
      <alignment horizontal="left" vertical="center" wrapText="1"/>
      <protection locked="0"/>
    </xf>
    <xf numFmtId="0" fontId="45" fillId="0" borderId="45" xfId="0" applyFont="1" applyBorder="1" applyAlignment="1" applyProtection="1">
      <alignment vertical="center" wrapText="1"/>
      <protection locked="0"/>
    </xf>
    <xf numFmtId="0" fontId="96" fillId="0" borderId="0" xfId="0" applyFont="1" applyAlignment="1" applyProtection="1">
      <alignment vertical="center" wrapText="1"/>
      <protection locked="0"/>
    </xf>
    <xf numFmtId="0" fontId="96" fillId="0" borderId="36" xfId="0" applyFont="1" applyBorder="1" applyAlignment="1" applyProtection="1">
      <alignment vertical="center" wrapText="1"/>
      <protection locked="0"/>
    </xf>
    <xf numFmtId="0" fontId="96" fillId="0" borderId="45" xfId="0" applyFont="1" applyBorder="1" applyAlignment="1" applyProtection="1">
      <alignment vertical="center" wrapText="1"/>
      <protection locked="0"/>
    </xf>
    <xf numFmtId="0" fontId="96" fillId="0" borderId="46" xfId="0" applyFont="1" applyBorder="1" applyAlignment="1" applyProtection="1">
      <alignment vertical="center"/>
      <protection locked="0"/>
    </xf>
    <xf numFmtId="0" fontId="96" fillId="0" borderId="37" xfId="0" applyFont="1" applyBorder="1" applyAlignment="1" applyProtection="1">
      <alignment vertical="center"/>
      <protection locked="0"/>
    </xf>
    <xf numFmtId="0" fontId="96" fillId="0" borderId="23" xfId="0" applyFont="1" applyBorder="1" applyAlignment="1" applyProtection="1">
      <alignment vertical="center"/>
      <protection locked="0"/>
    </xf>
    <xf numFmtId="0" fontId="96" fillId="0" borderId="46" xfId="0" applyFont="1" applyBorder="1" applyAlignment="1" applyProtection="1">
      <alignment vertical="top"/>
      <protection locked="0"/>
    </xf>
    <xf numFmtId="0" fontId="45" fillId="0" borderId="46" xfId="0" applyFont="1" applyBorder="1" applyAlignment="1" applyProtection="1">
      <alignment vertical="center"/>
      <protection locked="0"/>
    </xf>
    <xf numFmtId="0" fontId="96" fillId="0" borderId="0" xfId="0" applyFont="1" applyAlignment="1" applyProtection="1">
      <alignment horizontal="left"/>
      <protection locked="0"/>
    </xf>
    <xf numFmtId="0" fontId="45" fillId="0" borderId="46" xfId="0" applyFont="1" applyBorder="1" applyAlignment="1" applyProtection="1">
      <alignment vertical="center" wrapText="1"/>
      <protection locked="0"/>
    </xf>
    <xf numFmtId="14" fontId="45" fillId="0" borderId="37" xfId="0" applyNumberFormat="1" applyFont="1" applyBorder="1" applyAlignment="1" applyProtection="1">
      <alignment horizontal="center" vertical="center" wrapText="1"/>
      <protection locked="0"/>
    </xf>
    <xf numFmtId="0" fontId="45" fillId="0" borderId="37" xfId="0" applyFont="1" applyBorder="1" applyAlignment="1" applyProtection="1">
      <alignment vertical="center"/>
      <protection locked="0"/>
    </xf>
    <xf numFmtId="0" fontId="45" fillId="0" borderId="37" xfId="0" applyFont="1" applyBorder="1" applyAlignment="1" applyProtection="1">
      <alignment horizontal="left" vertical="center"/>
      <protection locked="0"/>
    </xf>
    <xf numFmtId="0" fontId="45" fillId="0" borderId="23" xfId="0" applyFont="1" applyBorder="1" applyAlignment="1" applyProtection="1">
      <alignment vertical="center"/>
      <protection locked="0"/>
    </xf>
    <xf numFmtId="0" fontId="45" fillId="0" borderId="45" xfId="1" applyFont="1" applyBorder="1" applyAlignment="1" applyProtection="1">
      <alignment vertical="center"/>
      <protection locked="0"/>
    </xf>
    <xf numFmtId="0" fontId="119" fillId="0" borderId="0" xfId="1" applyFont="1" applyBorder="1" applyAlignment="1" applyProtection="1">
      <alignment vertical="center"/>
      <protection locked="0"/>
    </xf>
    <xf numFmtId="0" fontId="45" fillId="0" borderId="0" xfId="1" applyFont="1" applyBorder="1" applyAlignment="1" applyProtection="1">
      <alignment vertical="center" wrapText="1"/>
      <protection locked="0"/>
    </xf>
    <xf numFmtId="0" fontId="45" fillId="0" borderId="36" xfId="1" applyFont="1" applyBorder="1" applyAlignment="1" applyProtection="1">
      <alignment vertical="center" wrapText="1"/>
      <protection locked="0"/>
    </xf>
    <xf numFmtId="0" fontId="45" fillId="0" borderId="2" xfId="0" applyFont="1" applyBorder="1" applyAlignment="1" applyProtection="1">
      <alignment vertical="center" wrapText="1"/>
      <protection locked="0"/>
    </xf>
    <xf numFmtId="0" fontId="96" fillId="0" borderId="2" xfId="0" applyFont="1" applyBorder="1" applyAlignment="1" applyProtection="1">
      <alignment horizontal="left" vertical="center" wrapText="1"/>
      <protection locked="0"/>
    </xf>
    <xf numFmtId="0" fontId="96" fillId="0" borderId="0" xfId="0" applyFont="1" applyAlignment="1" applyProtection="1">
      <alignment horizontal="center"/>
      <protection locked="0"/>
    </xf>
    <xf numFmtId="0" fontId="96" fillId="28" borderId="0" xfId="0" applyFont="1" applyFill="1" applyProtection="1">
      <protection locked="0"/>
    </xf>
    <xf numFmtId="2" fontId="96" fillId="28" borderId="0" xfId="0" applyNumberFormat="1" applyFont="1" applyFill="1" applyAlignment="1" applyProtection="1">
      <alignment horizontal="left"/>
      <protection locked="0"/>
    </xf>
    <xf numFmtId="0" fontId="96" fillId="28" borderId="0" xfId="0" applyFont="1" applyFill="1" applyAlignment="1" applyProtection="1">
      <alignment horizontal="left"/>
      <protection locked="0"/>
    </xf>
    <xf numFmtId="3" fontId="96" fillId="28" borderId="0" xfId="0" applyNumberFormat="1" applyFont="1" applyFill="1" applyAlignment="1" applyProtection="1">
      <alignment horizontal="left"/>
      <protection locked="0"/>
    </xf>
    <xf numFmtId="0" fontId="45" fillId="28" borderId="0" xfId="0" applyFont="1" applyFill="1" applyAlignment="1" applyProtection="1">
      <alignment vertical="center"/>
      <protection locked="0"/>
    </xf>
    <xf numFmtId="0" fontId="45" fillId="28" borderId="0" xfId="0" applyFont="1" applyFill="1" applyProtection="1">
      <protection locked="0"/>
    </xf>
    <xf numFmtId="1" fontId="96" fillId="28" borderId="0" xfId="0" applyNumberFormat="1" applyFont="1" applyFill="1" applyProtection="1">
      <protection locked="0"/>
    </xf>
    <xf numFmtId="2" fontId="96" fillId="28" borderId="0" xfId="0" applyNumberFormat="1" applyFont="1" applyFill="1" applyProtection="1">
      <protection locked="0"/>
    </xf>
    <xf numFmtId="14" fontId="96" fillId="0" borderId="0" xfId="0" applyNumberFormat="1" applyFont="1" applyAlignment="1" applyProtection="1">
      <alignment horizontal="left"/>
      <protection locked="0"/>
    </xf>
    <xf numFmtId="0" fontId="88" fillId="0" borderId="0" xfId="0" applyFont="1" applyProtection="1">
      <protection locked="0"/>
    </xf>
    <xf numFmtId="0" fontId="2" fillId="0" borderId="0" xfId="0" applyFont="1" applyProtection="1">
      <protection locked="0"/>
    </xf>
    <xf numFmtId="49" fontId="2" fillId="0" borderId="0" xfId="0" applyNumberFormat="1" applyFont="1" applyProtection="1">
      <protection locked="0"/>
    </xf>
    <xf numFmtId="0" fontId="131" fillId="0" borderId="0" xfId="0" applyFont="1" applyProtection="1">
      <protection hidden="1"/>
    </xf>
    <xf numFmtId="0" fontId="132" fillId="32" borderId="2" xfId="0" applyFont="1" applyFill="1" applyBorder="1" applyAlignment="1" applyProtection="1">
      <alignment horizontal="center"/>
      <protection hidden="1"/>
    </xf>
    <xf numFmtId="14" fontId="132" fillId="32" borderId="2" xfId="0" applyNumberFormat="1" applyFont="1" applyFill="1" applyBorder="1" applyAlignment="1" applyProtection="1">
      <alignment horizontal="center"/>
      <protection hidden="1"/>
    </xf>
    <xf numFmtId="14" fontId="132" fillId="32" borderId="2" xfId="0" applyNumberFormat="1" applyFont="1" applyFill="1" applyBorder="1" applyAlignment="1" applyProtection="1">
      <alignment horizontal="center" wrapText="1"/>
      <protection hidden="1"/>
    </xf>
    <xf numFmtId="0" fontId="132" fillId="32" borderId="2" xfId="0" applyFont="1" applyFill="1" applyBorder="1" applyAlignment="1" applyProtection="1">
      <alignment horizontal="center" wrapText="1"/>
      <protection hidden="1"/>
    </xf>
    <xf numFmtId="49" fontId="132" fillId="32" borderId="2" xfId="0" applyNumberFormat="1" applyFont="1" applyFill="1" applyBorder="1" applyAlignment="1" applyProtection="1">
      <alignment horizontal="center"/>
      <protection hidden="1"/>
    </xf>
    <xf numFmtId="0" fontId="131" fillId="0" borderId="2" xfId="0" applyFont="1" applyBorder="1" applyAlignment="1" applyProtection="1">
      <alignment horizontal="center" vertical="center" wrapText="1"/>
      <protection hidden="1"/>
    </xf>
    <xf numFmtId="0" fontId="131" fillId="0" borderId="35" xfId="0" applyFont="1" applyBorder="1" applyAlignment="1" applyProtection="1">
      <alignment horizontal="center"/>
      <protection hidden="1"/>
    </xf>
    <xf numFmtId="14" fontId="131" fillId="0" borderId="35" xfId="0" applyNumberFormat="1" applyFont="1" applyBorder="1" applyAlignment="1" applyProtection="1">
      <alignment horizontal="center"/>
      <protection hidden="1"/>
    </xf>
    <xf numFmtId="0" fontId="131" fillId="33" borderId="35" xfId="0" applyFont="1" applyFill="1" applyBorder="1" applyAlignment="1" applyProtection="1">
      <alignment horizontal="center"/>
      <protection hidden="1"/>
    </xf>
    <xf numFmtId="49" fontId="131" fillId="30" borderId="35" xfId="0" applyNumberFormat="1" applyFont="1" applyFill="1" applyBorder="1" applyAlignment="1" applyProtection="1">
      <alignment horizontal="center"/>
      <protection hidden="1"/>
    </xf>
    <xf numFmtId="10" fontId="131" fillId="0" borderId="35" xfId="0" applyNumberFormat="1" applyFont="1" applyBorder="1" applyAlignment="1" applyProtection="1">
      <alignment horizontal="center"/>
      <protection hidden="1"/>
    </xf>
    <xf numFmtId="2" fontId="131" fillId="0" borderId="35" xfId="0" applyNumberFormat="1" applyFont="1" applyBorder="1" applyAlignment="1" applyProtection="1">
      <alignment horizontal="center"/>
      <protection hidden="1"/>
    </xf>
    <xf numFmtId="197" fontId="131" fillId="0" borderId="35" xfId="0" applyNumberFormat="1" applyFont="1" applyBorder="1" applyAlignment="1" applyProtection="1">
      <alignment horizontal="center"/>
      <protection hidden="1"/>
    </xf>
    <xf numFmtId="49" fontId="131" fillId="0" borderId="35" xfId="0" applyNumberFormat="1" applyFont="1" applyBorder="1" applyProtection="1">
      <protection hidden="1"/>
    </xf>
    <xf numFmtId="10" fontId="131" fillId="0" borderId="35" xfId="0" applyNumberFormat="1" applyFont="1" applyBorder="1" applyProtection="1">
      <protection hidden="1"/>
    </xf>
    <xf numFmtId="0" fontId="131" fillId="0" borderId="2" xfId="0" applyFont="1" applyBorder="1" applyAlignment="1" applyProtection="1">
      <alignment horizontal="center"/>
      <protection hidden="1"/>
    </xf>
    <xf numFmtId="0" fontId="95" fillId="0" borderId="2" xfId="0" applyFont="1" applyBorder="1" applyAlignment="1" applyProtection="1">
      <alignment horizontal="left"/>
      <protection hidden="1"/>
    </xf>
    <xf numFmtId="14" fontId="131" fillId="0" borderId="2" xfId="0" applyNumberFormat="1" applyFont="1" applyBorder="1" applyAlignment="1" applyProtection="1">
      <alignment horizontal="center"/>
      <protection hidden="1"/>
    </xf>
    <xf numFmtId="0" fontId="131" fillId="33" borderId="2" xfId="0" applyFont="1" applyFill="1" applyBorder="1" applyAlignment="1" applyProtection="1">
      <alignment horizontal="center"/>
      <protection hidden="1"/>
    </xf>
    <xf numFmtId="49" fontId="131" fillId="0" borderId="2" xfId="0" applyNumberFormat="1" applyFont="1" applyBorder="1" applyAlignment="1" applyProtection="1">
      <alignment horizontal="center"/>
      <protection hidden="1"/>
    </xf>
    <xf numFmtId="49" fontId="131" fillId="0" borderId="2" xfId="0" applyNumberFormat="1" applyFont="1" applyBorder="1" applyProtection="1">
      <protection hidden="1"/>
    </xf>
    <xf numFmtId="10" fontId="131" fillId="0" borderId="2" xfId="0" applyNumberFormat="1" applyFont="1" applyBorder="1" applyProtection="1">
      <protection hidden="1"/>
    </xf>
    <xf numFmtId="0" fontId="133" fillId="0" borderId="2" xfId="0" applyFont="1" applyBorder="1" applyAlignment="1" applyProtection="1">
      <alignment horizontal="left"/>
      <protection hidden="1"/>
    </xf>
    <xf numFmtId="0" fontId="131" fillId="0" borderId="2" xfId="0" applyFont="1" applyBorder="1" applyAlignment="1" applyProtection="1">
      <alignment horizontal="left"/>
      <protection hidden="1"/>
    </xf>
    <xf numFmtId="9" fontId="131" fillId="0" borderId="2" xfId="0" applyNumberFormat="1" applyFont="1" applyBorder="1" applyProtection="1">
      <protection hidden="1"/>
    </xf>
    <xf numFmtId="9" fontId="131" fillId="0" borderId="0" xfId="0" applyNumberFormat="1" applyFont="1" applyProtection="1">
      <protection hidden="1"/>
    </xf>
    <xf numFmtId="0" fontId="131" fillId="0" borderId="0" xfId="0" applyFont="1" applyAlignment="1" applyProtection="1">
      <alignment horizontal="left"/>
      <protection hidden="1"/>
    </xf>
    <xf numFmtId="14" fontId="131" fillId="0" borderId="0" xfId="0" applyNumberFormat="1" applyFont="1" applyAlignment="1" applyProtection="1">
      <alignment horizontal="center"/>
      <protection hidden="1"/>
    </xf>
    <xf numFmtId="0" fontId="131" fillId="0" borderId="0" xfId="0" applyFont="1" applyAlignment="1" applyProtection="1">
      <alignment horizontal="center"/>
      <protection hidden="1"/>
    </xf>
    <xf numFmtId="49" fontId="131" fillId="0" borderId="0" xfId="0" applyNumberFormat="1" applyFont="1" applyAlignment="1" applyProtection="1">
      <alignment horizontal="center"/>
      <protection hidden="1"/>
    </xf>
    <xf numFmtId="0" fontId="27" fillId="15" borderId="18" xfId="8" applyFont="1" applyFill="1" applyBorder="1" applyAlignment="1" applyProtection="1">
      <alignment horizontal="center" vertical="center" wrapText="1"/>
      <protection locked="0"/>
    </xf>
    <xf numFmtId="185" fontId="31" fillId="13" borderId="23" xfId="8" applyNumberFormat="1" applyFont="1" applyFill="1" applyBorder="1" applyAlignment="1" applyProtection="1">
      <alignment horizontal="center" vertical="center"/>
      <protection locked="0"/>
    </xf>
    <xf numFmtId="0" fontId="27" fillId="15" borderId="23" xfId="8" applyFont="1" applyFill="1" applyBorder="1" applyAlignment="1" applyProtection="1">
      <alignment horizontal="center" vertical="center"/>
      <protection locked="0"/>
    </xf>
    <xf numFmtId="0" fontId="14" fillId="16" borderId="0" xfId="8" applyFont="1" applyFill="1" applyAlignment="1" applyProtection="1">
      <alignment vertical="center"/>
      <protection locked="0"/>
    </xf>
    <xf numFmtId="0" fontId="12" fillId="16" borderId="0" xfId="8" applyFill="1" applyAlignment="1" applyProtection="1">
      <alignment vertical="center"/>
      <protection locked="0"/>
    </xf>
    <xf numFmtId="2" fontId="36" fillId="18" borderId="20" xfId="8" applyNumberFormat="1" applyFont="1" applyFill="1" applyBorder="1" applyAlignment="1" applyProtection="1">
      <alignment horizontal="center" vertical="center"/>
      <protection locked="0"/>
    </xf>
    <xf numFmtId="0" fontId="15" fillId="17" borderId="1" xfId="8" applyFont="1" applyFill="1" applyBorder="1" applyAlignment="1" applyProtection="1">
      <alignment vertical="center"/>
      <protection locked="0"/>
    </xf>
    <xf numFmtId="0" fontId="30" fillId="15" borderId="1" xfId="8" applyFont="1" applyFill="1" applyBorder="1" applyAlignment="1" applyProtection="1">
      <alignment horizontal="center" vertical="center"/>
      <protection locked="0"/>
    </xf>
    <xf numFmtId="0" fontId="11" fillId="15" borderId="22" xfId="8" applyFont="1" applyFill="1" applyBorder="1" applyAlignment="1" applyProtection="1">
      <alignment horizontal="center" vertical="center"/>
      <protection locked="0"/>
    </xf>
    <xf numFmtId="185" fontId="11" fillId="13" borderId="1" xfId="8" applyNumberFormat="1" applyFont="1" applyFill="1" applyBorder="1" applyAlignment="1" applyProtection="1">
      <alignment horizontal="center" vertical="center"/>
      <protection locked="0"/>
    </xf>
    <xf numFmtId="0" fontId="48" fillId="14" borderId="1" xfId="8" applyFont="1" applyFill="1" applyBorder="1" applyAlignment="1" applyProtection="1">
      <alignment vertical="center"/>
      <protection locked="0"/>
    </xf>
    <xf numFmtId="0" fontId="39" fillId="15" borderId="1" xfId="8" applyFont="1" applyFill="1" applyBorder="1" applyAlignment="1" applyProtection="1">
      <alignment vertical="center"/>
      <protection locked="0"/>
    </xf>
    <xf numFmtId="0" fontId="39" fillId="15" borderId="29" xfId="8" applyFont="1" applyFill="1" applyBorder="1" applyAlignment="1" applyProtection="1">
      <alignment horizontal="center" vertical="center"/>
      <protection locked="0"/>
    </xf>
    <xf numFmtId="0" fontId="39" fillId="15" borderId="1" xfId="8" applyFont="1" applyFill="1" applyBorder="1" applyAlignment="1" applyProtection="1">
      <alignment horizontal="center" vertical="center"/>
      <protection locked="0"/>
    </xf>
    <xf numFmtId="0" fontId="39" fillId="15" borderId="7" xfId="8" applyFont="1" applyFill="1" applyBorder="1" applyAlignment="1" applyProtection="1">
      <alignment horizontal="center" vertical="center"/>
      <protection locked="0"/>
    </xf>
    <xf numFmtId="0" fontId="31" fillId="15" borderId="1" xfId="8" applyFont="1" applyFill="1" applyBorder="1" applyAlignment="1" applyProtection="1">
      <alignment horizontal="center" vertical="center"/>
      <protection locked="0"/>
    </xf>
    <xf numFmtId="49" fontId="11" fillId="13" borderId="1" xfId="8" applyNumberFormat="1" applyFont="1" applyFill="1" applyBorder="1" applyAlignment="1" applyProtection="1">
      <alignment horizontal="center" vertical="center"/>
      <protection locked="0"/>
    </xf>
    <xf numFmtId="49" fontId="11" fillId="13" borderId="1" xfId="8" applyNumberFormat="1" applyFont="1" applyFill="1" applyBorder="1" applyAlignment="1" applyProtection="1">
      <alignment vertical="center" shrinkToFit="1"/>
      <protection locked="0"/>
    </xf>
    <xf numFmtId="4" fontId="11" fillId="13" borderId="1" xfId="8" applyNumberFormat="1" applyFont="1" applyFill="1" applyBorder="1" applyAlignment="1" applyProtection="1">
      <alignment horizontal="center" vertical="center"/>
      <protection locked="0"/>
    </xf>
    <xf numFmtId="0" fontId="41" fillId="14" borderId="1" xfId="8" applyFont="1" applyFill="1" applyBorder="1" applyAlignment="1" applyProtection="1">
      <alignment horizontal="center" vertical="center" shrinkToFit="1"/>
      <protection locked="0"/>
    </xf>
    <xf numFmtId="0" fontId="31" fillId="16" borderId="0" xfId="8" applyFont="1" applyFill="1" applyAlignment="1" applyProtection="1">
      <alignment horizontal="center" vertical="center"/>
      <protection locked="0"/>
    </xf>
    <xf numFmtId="49" fontId="11" fillId="16" borderId="0" xfId="8" applyNumberFormat="1" applyFont="1" applyFill="1" applyAlignment="1" applyProtection="1">
      <alignment horizontal="center" vertical="center"/>
      <protection locked="0"/>
    </xf>
    <xf numFmtId="0" fontId="10" fillId="15" borderId="1" xfId="8" applyFont="1" applyFill="1" applyBorder="1" applyAlignment="1" applyProtection="1">
      <alignment horizontal="center" vertical="center"/>
      <protection locked="0"/>
    </xf>
    <xf numFmtId="0" fontId="39" fillId="20" borderId="1" xfId="8" applyFont="1" applyFill="1" applyBorder="1" applyAlignment="1" applyProtection="1">
      <alignment vertical="center"/>
      <protection locked="0"/>
    </xf>
    <xf numFmtId="183" fontId="31" fillId="13" borderId="1" xfId="8" applyNumberFormat="1" applyFont="1" applyFill="1" applyBorder="1" applyAlignment="1" applyProtection="1">
      <alignment horizontal="center" vertical="center"/>
      <protection locked="0"/>
    </xf>
    <xf numFmtId="183" fontId="31" fillId="13" borderId="26" xfId="8" applyNumberFormat="1" applyFont="1" applyFill="1" applyBorder="1" applyAlignment="1" applyProtection="1">
      <alignment horizontal="center" vertical="center"/>
      <protection locked="0"/>
    </xf>
    <xf numFmtId="0" fontId="34" fillId="13" borderId="1" xfId="0" applyFont="1" applyFill="1" applyBorder="1" applyAlignment="1" applyProtection="1">
      <alignment horizontal="center" vertical="center"/>
      <protection locked="0"/>
    </xf>
    <xf numFmtId="183" fontId="31" fillId="13" borderId="1" xfId="8" applyNumberFormat="1" applyFont="1" applyFill="1" applyBorder="1" applyAlignment="1" applyProtection="1">
      <alignment horizontal="left" vertical="center"/>
      <protection locked="0"/>
    </xf>
    <xf numFmtId="0" fontId="39" fillId="15" borderId="20" xfId="8" applyFont="1" applyFill="1" applyBorder="1" applyAlignment="1" applyProtection="1">
      <alignment vertical="center"/>
      <protection locked="0"/>
    </xf>
    <xf numFmtId="1" fontId="31" fillId="13" borderId="1" xfId="8" applyNumberFormat="1" applyFont="1" applyFill="1" applyBorder="1" applyAlignment="1" applyProtection="1">
      <alignment horizontal="center" vertical="center"/>
      <protection locked="0"/>
    </xf>
    <xf numFmtId="0" fontId="37" fillId="15" borderId="1" xfId="8" applyFont="1" applyFill="1" applyBorder="1" applyAlignment="1" applyProtection="1">
      <alignment horizontal="left" vertical="center"/>
      <protection locked="0"/>
    </xf>
    <xf numFmtId="0" fontId="12" fillId="15" borderId="0" xfId="8" applyFill="1" applyAlignment="1" applyProtection="1">
      <alignment vertical="center"/>
      <protection locked="0"/>
    </xf>
    <xf numFmtId="0" fontId="39" fillId="15" borderId="27" xfId="8" applyFont="1" applyFill="1" applyBorder="1" applyAlignment="1" applyProtection="1">
      <alignment vertical="center"/>
      <protection locked="0"/>
    </xf>
    <xf numFmtId="3" fontId="11" fillId="13" borderId="1" xfId="8" applyNumberFormat="1" applyFont="1" applyFill="1" applyBorder="1" applyAlignment="1" applyProtection="1">
      <alignment horizontal="center" vertical="center"/>
      <protection locked="0"/>
    </xf>
    <xf numFmtId="0" fontId="11" fillId="15" borderId="1" xfId="8" applyFont="1" applyFill="1" applyBorder="1" applyAlignment="1" applyProtection="1">
      <alignment horizontal="left" vertical="center"/>
      <protection locked="0"/>
    </xf>
    <xf numFmtId="2" fontId="31" fillId="24" borderId="15" xfId="11" applyNumberFormat="1" applyFont="1" applyFill="1" applyBorder="1" applyAlignment="1" applyProtection="1">
      <alignment horizontal="center" vertical="center" shrinkToFit="1"/>
      <protection locked="0"/>
    </xf>
    <xf numFmtId="184" fontId="31" fillId="24" borderId="15" xfId="11" applyNumberFormat="1" applyFont="1" applyFill="1" applyBorder="1" applyAlignment="1" applyProtection="1">
      <alignment horizontal="center" vertical="center" shrinkToFit="1"/>
      <protection locked="0"/>
    </xf>
    <xf numFmtId="0" fontId="39" fillId="15" borderId="57" xfId="8" applyFont="1" applyFill="1" applyBorder="1" applyAlignment="1" applyProtection="1">
      <alignment vertical="center" shrinkToFit="1"/>
      <protection locked="0"/>
    </xf>
    <xf numFmtId="0" fontId="22" fillId="15" borderId="20" xfId="9" applyFont="1" applyFill="1" applyBorder="1" applyAlignment="1" applyProtection="1">
      <alignment vertical="center"/>
      <protection locked="0"/>
    </xf>
    <xf numFmtId="0" fontId="15" fillId="17" borderId="32" xfId="8" applyFont="1" applyFill="1" applyBorder="1" applyAlignment="1" applyProtection="1">
      <alignment horizontal="left" vertical="center"/>
      <protection locked="0"/>
    </xf>
    <xf numFmtId="0" fontId="27" fillId="15" borderId="27" xfId="8" applyFont="1" applyFill="1" applyBorder="1" applyAlignment="1" applyProtection="1">
      <alignment horizontal="center" vertical="center"/>
      <protection locked="0"/>
    </xf>
    <xf numFmtId="14" fontId="10" fillId="13" borderId="56" xfId="8" applyNumberFormat="1" applyFont="1" applyFill="1" applyBorder="1" applyAlignment="1" applyProtection="1">
      <alignment horizontal="center" vertical="center" shrinkToFit="1"/>
      <protection locked="0"/>
    </xf>
    <xf numFmtId="0" fontId="28" fillId="14" borderId="0" xfId="9" applyFont="1" applyFill="1" applyAlignment="1" applyProtection="1">
      <alignment vertical="center"/>
      <protection locked="0"/>
    </xf>
    <xf numFmtId="0" fontId="2" fillId="14" borderId="0" xfId="9" applyFill="1" applyAlignment="1" applyProtection="1">
      <alignment vertical="center"/>
      <protection locked="0"/>
    </xf>
    <xf numFmtId="1" fontId="11" fillId="13" borderId="21" xfId="8" applyNumberFormat="1" applyFont="1" applyFill="1" applyBorder="1" applyAlignment="1" applyProtection="1">
      <alignment horizontal="center" vertical="center"/>
      <protection hidden="1"/>
    </xf>
    <xf numFmtId="1" fontId="11" fillId="13" borderId="25" xfId="8" applyNumberFormat="1" applyFont="1" applyFill="1" applyBorder="1" applyAlignment="1" applyProtection="1">
      <alignment horizontal="center" vertical="center"/>
      <protection hidden="1"/>
    </xf>
    <xf numFmtId="0" fontId="22" fillId="15" borderId="21" xfId="9" applyFont="1" applyFill="1" applyBorder="1" applyAlignment="1" applyProtection="1">
      <alignment vertical="center"/>
      <protection locked="0"/>
    </xf>
    <xf numFmtId="0" fontId="22" fillId="15" borderId="1" xfId="9" applyFont="1" applyFill="1" applyBorder="1" applyAlignment="1" applyProtection="1">
      <alignment horizontal="center" vertical="center"/>
      <protection locked="0"/>
    </xf>
    <xf numFmtId="0" fontId="131" fillId="24" borderId="35" xfId="0" applyFont="1" applyFill="1" applyBorder="1" applyAlignment="1" applyProtection="1">
      <alignment horizontal="center"/>
      <protection hidden="1"/>
    </xf>
    <xf numFmtId="0" fontId="131" fillId="24" borderId="35" xfId="0" applyFont="1" applyFill="1" applyBorder="1" applyAlignment="1" applyProtection="1">
      <alignment horizontal="left"/>
      <protection hidden="1"/>
    </xf>
    <xf numFmtId="14" fontId="131" fillId="24" borderId="35" xfId="0" applyNumberFormat="1" applyFont="1" applyFill="1" applyBorder="1" applyAlignment="1" applyProtection="1">
      <alignment horizontal="center"/>
      <protection hidden="1"/>
    </xf>
    <xf numFmtId="1" fontId="131" fillId="24" borderId="35" xfId="0" applyNumberFormat="1" applyFont="1" applyFill="1" applyBorder="1" applyAlignment="1" applyProtection="1">
      <alignment horizontal="center"/>
      <protection hidden="1"/>
    </xf>
    <xf numFmtId="49" fontId="131" fillId="24" borderId="35" xfId="0" applyNumberFormat="1" applyFont="1" applyFill="1" applyBorder="1" applyAlignment="1" applyProtection="1">
      <alignment horizontal="center"/>
      <protection hidden="1"/>
    </xf>
    <xf numFmtId="10" fontId="131" fillId="24" borderId="35" xfId="0" applyNumberFormat="1" applyFont="1" applyFill="1" applyBorder="1" applyAlignment="1" applyProtection="1">
      <alignment horizontal="center"/>
      <protection hidden="1"/>
    </xf>
    <xf numFmtId="2" fontId="131" fillId="24" borderId="35" xfId="0" applyNumberFormat="1" applyFont="1" applyFill="1" applyBorder="1" applyAlignment="1" applyProtection="1">
      <alignment horizontal="center"/>
      <protection hidden="1"/>
    </xf>
    <xf numFmtId="197" fontId="131" fillId="24" borderId="35" xfId="0" applyNumberFormat="1" applyFont="1" applyFill="1" applyBorder="1" applyAlignment="1" applyProtection="1">
      <alignment horizontal="center"/>
      <protection hidden="1"/>
    </xf>
    <xf numFmtId="0" fontId="84" fillId="27" borderId="21" xfId="8" applyFont="1" applyFill="1" applyBorder="1" applyAlignment="1" applyProtection="1">
      <alignment horizontal="center" vertical="center"/>
      <protection locked="0"/>
    </xf>
    <xf numFmtId="0" fontId="12" fillId="18" borderId="0" xfId="8" applyFill="1" applyAlignment="1" applyProtection="1">
      <alignment vertical="center"/>
      <protection locked="0"/>
    </xf>
    <xf numFmtId="183" fontId="31" fillId="13" borderId="20" xfId="8" applyNumberFormat="1" applyFont="1" applyFill="1" applyBorder="1" applyAlignment="1" applyProtection="1">
      <alignment horizontal="left" vertical="center"/>
      <protection locked="0"/>
    </xf>
    <xf numFmtId="183" fontId="31" fillId="13" borderId="15" xfId="8" applyNumberFormat="1" applyFont="1" applyFill="1" applyBorder="1" applyAlignment="1" applyProtection="1">
      <alignment horizontal="left" vertical="center"/>
      <protection locked="0"/>
    </xf>
    <xf numFmtId="0" fontId="12" fillId="14" borderId="0" xfId="8" applyFill="1" applyAlignment="1" applyProtection="1">
      <alignment vertical="center"/>
      <protection locked="0"/>
    </xf>
    <xf numFmtId="0" fontId="28" fillId="14" borderId="0" xfId="8" applyFont="1" applyFill="1" applyAlignment="1" applyProtection="1">
      <alignment vertical="center"/>
      <protection locked="0"/>
    </xf>
    <xf numFmtId="0" fontId="12" fillId="14" borderId="0" xfId="8" applyFill="1" applyAlignment="1" applyProtection="1">
      <alignment vertical="center" wrapText="1"/>
      <protection locked="0"/>
    </xf>
    <xf numFmtId="14" fontId="31" fillId="26" borderId="23" xfId="8" applyNumberFormat="1" applyFont="1" applyFill="1" applyBorder="1" applyAlignment="1" applyProtection="1">
      <alignment horizontal="center" vertical="center"/>
      <protection locked="0"/>
    </xf>
    <xf numFmtId="0" fontId="23" fillId="14" borderId="0" xfId="8" applyFont="1" applyFill="1" applyAlignment="1" applyProtection="1">
      <alignment vertical="center"/>
      <protection locked="0"/>
    </xf>
    <xf numFmtId="0" fontId="47" fillId="14" borderId="0" xfId="8" applyFont="1" applyFill="1" applyAlignment="1" applyProtection="1">
      <alignment vertical="center" shrinkToFit="1"/>
      <protection locked="0"/>
    </xf>
    <xf numFmtId="0" fontId="27" fillId="18" borderId="0" xfId="8" applyFont="1" applyFill="1" applyAlignment="1" applyProtection="1">
      <alignment horizontal="center" vertical="center" wrapText="1"/>
      <protection hidden="1"/>
    </xf>
    <xf numFmtId="0" fontId="12" fillId="18" borderId="0" xfId="8" applyFill="1" applyAlignment="1" applyProtection="1">
      <alignment vertical="center"/>
      <protection hidden="1"/>
    </xf>
    <xf numFmtId="0" fontId="37" fillId="18" borderId="0" xfId="8" applyFont="1" applyFill="1" applyAlignment="1" applyProtection="1">
      <alignment horizontal="right" vertical="center"/>
      <protection hidden="1"/>
    </xf>
    <xf numFmtId="0" fontId="0" fillId="18" borderId="17" xfId="0" applyFill="1" applyBorder="1" applyAlignment="1" applyProtection="1">
      <alignment horizontal="right" vertical="center"/>
      <protection hidden="1"/>
    </xf>
    <xf numFmtId="0" fontId="0" fillId="18" borderId="18" xfId="0" applyFill="1" applyBorder="1" applyAlignment="1" applyProtection="1">
      <alignment horizontal="right" vertical="center"/>
      <protection hidden="1"/>
    </xf>
    <xf numFmtId="0" fontId="12" fillId="18" borderId="0" xfId="8" applyFill="1" applyAlignment="1" applyProtection="1">
      <alignment vertical="center" wrapText="1"/>
      <protection hidden="1"/>
    </xf>
    <xf numFmtId="0" fontId="11" fillId="18" borderId="0" xfId="8" applyFont="1" applyFill="1" applyAlignment="1" applyProtection="1">
      <alignment horizontal="right" vertical="center"/>
      <protection hidden="1"/>
    </xf>
    <xf numFmtId="0" fontId="11" fillId="18" borderId="0" xfId="8" quotePrefix="1" applyFont="1" applyFill="1" applyAlignment="1" applyProtection="1">
      <alignment horizontal="center" vertical="center"/>
      <protection hidden="1"/>
    </xf>
    <xf numFmtId="49" fontId="11" fillId="18" borderId="0" xfId="8" applyNumberFormat="1" applyFont="1" applyFill="1" applyAlignment="1" applyProtection="1">
      <alignment horizontal="center" vertical="center"/>
      <protection hidden="1"/>
    </xf>
    <xf numFmtId="1" fontId="11" fillId="18" borderId="0" xfId="8" applyNumberFormat="1" applyFont="1" applyFill="1" applyAlignment="1" applyProtection="1">
      <alignment horizontal="left" vertical="center"/>
      <protection hidden="1"/>
    </xf>
    <xf numFmtId="0" fontId="14" fillId="18" borderId="0" xfId="8" applyFont="1" applyFill="1" applyAlignment="1" applyProtection="1">
      <alignment vertical="center"/>
      <protection hidden="1"/>
    </xf>
    <xf numFmtId="0" fontId="12" fillId="18" borderId="0" xfId="8" applyFill="1" applyAlignment="1" applyProtection="1">
      <alignment horizontal="center" vertical="center"/>
      <protection hidden="1"/>
    </xf>
    <xf numFmtId="0" fontId="38" fillId="18" borderId="0" xfId="8" applyFont="1" applyFill="1" applyAlignment="1" applyProtection="1">
      <alignment vertical="center"/>
      <protection hidden="1"/>
    </xf>
    <xf numFmtId="0" fontId="21" fillId="18" borderId="0" xfId="8" applyFont="1" applyFill="1" applyAlignment="1" applyProtection="1">
      <alignment vertical="center"/>
      <protection hidden="1"/>
    </xf>
    <xf numFmtId="0" fontId="12" fillId="18" borderId="0" xfId="8" applyFill="1" applyAlignment="1" applyProtection="1">
      <alignment horizontal="right" vertical="center"/>
      <protection hidden="1"/>
    </xf>
    <xf numFmtId="0" fontId="24" fillId="18" borderId="0" xfId="8" applyFont="1" applyFill="1" applyAlignment="1" applyProtection="1">
      <alignment horizontal="center" vertical="center"/>
      <protection hidden="1"/>
    </xf>
    <xf numFmtId="0" fontId="26" fillId="18" borderId="21" xfId="0" applyFont="1" applyFill="1" applyBorder="1" applyAlignment="1" applyProtection="1">
      <alignment vertical="center"/>
      <protection hidden="1"/>
    </xf>
    <xf numFmtId="0" fontId="12" fillId="16" borderId="0" xfId="8" applyFill="1" applyAlignment="1" applyProtection="1">
      <alignment vertical="center"/>
      <protection hidden="1"/>
    </xf>
    <xf numFmtId="165" fontId="12" fillId="18" borderId="0" xfId="8" applyNumberFormat="1" applyFill="1" applyAlignment="1" applyProtection="1">
      <alignment vertical="center"/>
      <protection hidden="1"/>
    </xf>
    <xf numFmtId="0" fontId="24" fillId="18" borderId="0" xfId="8" applyFont="1" applyFill="1" applyAlignment="1" applyProtection="1">
      <alignment vertical="center"/>
      <protection hidden="1"/>
    </xf>
    <xf numFmtId="1" fontId="10" fillId="18" borderId="19" xfId="8" applyNumberFormat="1" applyFont="1" applyFill="1" applyBorder="1" applyAlignment="1" applyProtection="1">
      <alignment horizontal="center" vertical="center"/>
      <protection hidden="1"/>
    </xf>
    <xf numFmtId="1" fontId="11" fillId="13" borderId="24" xfId="8" applyNumberFormat="1" applyFont="1" applyFill="1" applyBorder="1" applyAlignment="1" applyProtection="1">
      <alignment horizontal="center" vertical="center"/>
      <protection hidden="1"/>
    </xf>
    <xf numFmtId="183" fontId="2" fillId="18" borderId="6" xfId="8" applyNumberFormat="1" applyFont="1" applyFill="1" applyBorder="1" applyAlignment="1" applyProtection="1">
      <alignment horizontal="center" vertical="center"/>
      <protection hidden="1"/>
    </xf>
    <xf numFmtId="183" fontId="2" fillId="18" borderId="0" xfId="8" applyNumberFormat="1" applyFont="1" applyFill="1" applyAlignment="1" applyProtection="1">
      <alignment horizontal="center" vertical="center"/>
      <protection hidden="1"/>
    </xf>
    <xf numFmtId="183" fontId="2" fillId="18" borderId="28" xfId="8" applyNumberFormat="1" applyFont="1" applyFill="1" applyBorder="1" applyAlignment="1" applyProtection="1">
      <alignment horizontal="center" vertical="center"/>
      <protection hidden="1"/>
    </xf>
    <xf numFmtId="183" fontId="12" fillId="18" borderId="0" xfId="8" applyNumberFormat="1" applyFill="1" applyAlignment="1" applyProtection="1">
      <alignment vertical="center"/>
      <protection hidden="1"/>
    </xf>
    <xf numFmtId="183" fontId="31" fillId="18" borderId="0" xfId="8" applyNumberFormat="1" applyFont="1" applyFill="1" applyAlignment="1" applyProtection="1">
      <alignment horizontal="left" vertical="center"/>
      <protection hidden="1"/>
    </xf>
    <xf numFmtId="0" fontId="12" fillId="19" borderId="0" xfId="8" applyFill="1" applyAlignment="1" applyProtection="1">
      <alignment vertical="center"/>
      <protection hidden="1"/>
    </xf>
    <xf numFmtId="0" fontId="39" fillId="18" borderId="0" xfId="8" applyFont="1" applyFill="1" applyAlignment="1" applyProtection="1">
      <alignment vertical="center"/>
      <protection hidden="1"/>
    </xf>
    <xf numFmtId="0" fontId="48" fillId="18" borderId="0" xfId="8" applyFont="1" applyFill="1" applyAlignment="1" applyProtection="1">
      <alignment horizontal="center" vertical="center"/>
      <protection hidden="1"/>
    </xf>
    <xf numFmtId="0" fontId="11" fillId="18" borderId="0" xfId="8" applyFont="1" applyFill="1" applyAlignment="1" applyProtection="1">
      <alignment horizontal="center" vertical="center" shrinkToFit="1"/>
      <protection hidden="1"/>
    </xf>
    <xf numFmtId="0" fontId="11" fillId="18" borderId="0" xfId="8" applyFont="1" applyFill="1" applyAlignment="1" applyProtection="1">
      <alignment horizontal="center" vertical="center"/>
      <protection hidden="1"/>
    </xf>
    <xf numFmtId="0" fontId="31" fillId="16" borderId="0" xfId="8" applyFont="1" applyFill="1" applyAlignment="1" applyProtection="1">
      <alignment horizontal="center" vertical="center"/>
      <protection hidden="1"/>
    </xf>
    <xf numFmtId="49" fontId="11" fillId="16" borderId="0" xfId="8" applyNumberFormat="1" applyFont="1" applyFill="1" applyAlignment="1" applyProtection="1">
      <alignment horizontal="center" vertical="center"/>
      <protection hidden="1"/>
    </xf>
    <xf numFmtId="0" fontId="31" fillId="15" borderId="6" xfId="8" applyFont="1" applyFill="1" applyBorder="1" applyAlignment="1" applyProtection="1">
      <alignment vertical="center"/>
      <protection hidden="1"/>
    </xf>
    <xf numFmtId="0" fontId="128" fillId="23" borderId="6" xfId="8" applyFont="1" applyFill="1" applyBorder="1" applyAlignment="1" applyProtection="1">
      <alignment vertical="center"/>
      <protection hidden="1"/>
    </xf>
    <xf numFmtId="0" fontId="41" fillId="18" borderId="0" xfId="8" applyFont="1" applyFill="1" applyAlignment="1" applyProtection="1">
      <alignment horizontal="center" vertical="center" shrinkToFit="1"/>
      <protection hidden="1"/>
    </xf>
    <xf numFmtId="183" fontId="31" fillId="18" borderId="0" xfId="8" applyNumberFormat="1" applyFont="1" applyFill="1" applyAlignment="1" applyProtection="1">
      <alignment horizontal="center" vertical="center"/>
      <protection hidden="1"/>
    </xf>
    <xf numFmtId="0" fontId="0" fillId="18" borderId="0" xfId="0" applyFill="1" applyAlignment="1" applyProtection="1">
      <alignment horizontal="center" vertical="center"/>
      <protection hidden="1"/>
    </xf>
    <xf numFmtId="0" fontId="41" fillId="16" borderId="0" xfId="8" applyFont="1" applyFill="1" applyAlignment="1" applyProtection="1">
      <alignment horizontal="center" vertical="center" shrinkToFit="1"/>
      <protection hidden="1"/>
    </xf>
    <xf numFmtId="183" fontId="31" fillId="16" borderId="0" xfId="8" applyNumberFormat="1" applyFont="1" applyFill="1" applyAlignment="1" applyProtection="1">
      <alignment horizontal="center" vertical="center"/>
      <protection hidden="1"/>
    </xf>
    <xf numFmtId="0" fontId="0" fillId="16" borderId="0" xfId="0" applyFill="1" applyAlignment="1" applyProtection="1">
      <alignment horizontal="center" vertical="center"/>
      <protection hidden="1"/>
    </xf>
    <xf numFmtId="0" fontId="41" fillId="18" borderId="0" xfId="8" applyFont="1" applyFill="1" applyAlignment="1" applyProtection="1">
      <alignment vertical="center"/>
      <protection hidden="1"/>
    </xf>
    <xf numFmtId="0" fontId="0" fillId="18" borderId="0" xfId="0" applyFill="1" applyAlignment="1" applyProtection="1">
      <alignment vertical="center"/>
      <protection hidden="1"/>
    </xf>
    <xf numFmtId="0" fontId="15" fillId="18" borderId="0" xfId="8" applyFont="1" applyFill="1" applyAlignment="1" applyProtection="1">
      <alignment vertical="center"/>
      <protection hidden="1"/>
    </xf>
    <xf numFmtId="183" fontId="14" fillId="18" borderId="0" xfId="8" applyNumberFormat="1" applyFont="1" applyFill="1" applyAlignment="1" applyProtection="1">
      <alignment vertical="center"/>
      <protection hidden="1"/>
    </xf>
    <xf numFmtId="0" fontId="21" fillId="15" borderId="0" xfId="8" applyFont="1" applyFill="1" applyAlignment="1" applyProtection="1">
      <alignment vertical="center"/>
      <protection hidden="1"/>
    </xf>
    <xf numFmtId="0" fontId="10" fillId="18" borderId="0" xfId="8" applyFont="1" applyFill="1" applyAlignment="1" applyProtection="1">
      <alignment vertical="center"/>
      <protection hidden="1"/>
    </xf>
    <xf numFmtId="2" fontId="15" fillId="18" borderId="0" xfId="8" applyNumberFormat="1" applyFont="1" applyFill="1" applyAlignment="1" applyProtection="1">
      <alignment vertical="center"/>
      <protection hidden="1"/>
    </xf>
    <xf numFmtId="0" fontId="27" fillId="18" borderId="0" xfId="8" applyFont="1" applyFill="1" applyAlignment="1" applyProtection="1">
      <alignment vertical="center"/>
      <protection hidden="1"/>
    </xf>
    <xf numFmtId="0" fontId="10" fillId="18" borderId="0" xfId="8" applyFont="1" applyFill="1" applyAlignment="1" applyProtection="1">
      <alignment horizontal="center" vertical="center" shrinkToFit="1"/>
      <protection hidden="1"/>
    </xf>
    <xf numFmtId="0" fontId="0" fillId="18" borderId="0" xfId="0" applyFill="1" applyAlignment="1" applyProtection="1">
      <alignment vertical="center" shrinkToFit="1"/>
      <protection hidden="1"/>
    </xf>
    <xf numFmtId="3" fontId="29" fillId="18" borderId="0" xfId="8" applyNumberFormat="1" applyFont="1" applyFill="1" applyAlignment="1" applyProtection="1">
      <alignment horizontal="center" vertical="center" shrinkToFit="1"/>
      <protection hidden="1"/>
    </xf>
    <xf numFmtId="0" fontId="40" fillId="18" borderId="0" xfId="8" applyFont="1" applyFill="1" applyAlignment="1" applyProtection="1">
      <alignment horizontal="center" vertical="center"/>
      <protection hidden="1"/>
    </xf>
    <xf numFmtId="0" fontId="12" fillId="13" borderId="55" xfId="8" applyFill="1" applyBorder="1" applyAlignment="1" applyProtection="1">
      <alignment vertical="center"/>
      <protection hidden="1"/>
    </xf>
    <xf numFmtId="0" fontId="12" fillId="13" borderId="0" xfId="8" applyFill="1" applyAlignment="1" applyProtection="1">
      <alignment vertical="center"/>
      <protection hidden="1"/>
    </xf>
    <xf numFmtId="0" fontId="12" fillId="13" borderId="6" xfId="8" applyFill="1" applyBorder="1" applyAlignment="1" applyProtection="1">
      <alignment vertical="center"/>
      <protection hidden="1"/>
    </xf>
    <xf numFmtId="0" fontId="2" fillId="13" borderId="0" xfId="8" applyFont="1" applyFill="1" applyAlignment="1" applyProtection="1">
      <alignment vertical="center"/>
      <protection hidden="1"/>
    </xf>
    <xf numFmtId="0" fontId="28" fillId="14" borderId="0" xfId="9" applyFont="1" applyFill="1" applyAlignment="1" applyProtection="1">
      <alignment vertical="center"/>
      <protection hidden="1"/>
    </xf>
    <xf numFmtId="0" fontId="2" fillId="14" borderId="0" xfId="9" applyFill="1" applyAlignment="1" applyProtection="1">
      <alignment vertical="center"/>
      <protection hidden="1"/>
    </xf>
    <xf numFmtId="195" fontId="45" fillId="0" borderId="44" xfId="0" applyNumberFormat="1" applyFont="1" applyBorder="1" applyAlignment="1" applyProtection="1">
      <alignment vertical="center" wrapText="1"/>
      <protection locked="0"/>
    </xf>
    <xf numFmtId="0" fontId="96" fillId="0" borderId="45" xfId="0" applyFont="1" applyBorder="1" applyAlignment="1" applyProtection="1">
      <alignment vertical="center"/>
      <protection locked="0"/>
    </xf>
    <xf numFmtId="0" fontId="31" fillId="24" borderId="15" xfId="11" applyNumberFormat="1" applyFont="1" applyFill="1" applyBorder="1" applyAlignment="1" applyProtection="1">
      <alignment horizontal="center" vertical="center" shrinkToFit="1"/>
      <protection hidden="1"/>
    </xf>
    <xf numFmtId="0" fontId="10" fillId="0" borderId="0" xfId="0" applyFont="1" applyProtection="1">
      <protection locked="0"/>
    </xf>
    <xf numFmtId="0" fontId="87" fillId="0" borderId="0" xfId="0" applyFont="1" applyProtection="1">
      <protection locked="0"/>
    </xf>
    <xf numFmtId="195" fontId="45" fillId="0" borderId="0" xfId="0" applyNumberFormat="1" applyFont="1" applyAlignment="1" applyProtection="1">
      <alignment horizontal="center" vertical="center" shrinkToFit="1"/>
      <protection locked="0"/>
    </xf>
    <xf numFmtId="195" fontId="45" fillId="0" borderId="36" xfId="0" applyNumberFormat="1" applyFont="1" applyBorder="1" applyAlignment="1" applyProtection="1">
      <alignment vertical="center" shrinkToFit="1"/>
      <protection locked="0"/>
    </xf>
    <xf numFmtId="49" fontId="36" fillId="0" borderId="0" xfId="0" applyNumberFormat="1" applyFont="1" applyAlignment="1">
      <alignment shrinkToFit="1"/>
    </xf>
    <xf numFmtId="0" fontId="30" fillId="15" borderId="20" xfId="9" applyFont="1" applyFill="1" applyBorder="1" applyAlignment="1" applyProtection="1">
      <alignment horizontal="center" vertical="center"/>
      <protection locked="0"/>
    </xf>
    <xf numFmtId="49" fontId="88" fillId="0" borderId="0" xfId="0" applyNumberFormat="1" applyFont="1" applyAlignment="1" applyProtection="1">
      <alignment horizontal="center"/>
      <protection locked="0"/>
    </xf>
    <xf numFmtId="0" fontId="88" fillId="0" borderId="0" xfId="0" applyFont="1" applyAlignment="1" applyProtection="1">
      <alignment horizontal="right"/>
      <protection locked="0"/>
    </xf>
    <xf numFmtId="49" fontId="88" fillId="0" borderId="0" xfId="0" applyNumberFormat="1" applyFont="1" applyAlignment="1" applyProtection="1">
      <alignment horizontal="left"/>
      <protection locked="0"/>
    </xf>
    <xf numFmtId="0" fontId="88" fillId="0" borderId="0" xfId="0" applyFont="1" applyAlignment="1" applyProtection="1">
      <alignment horizontal="left"/>
      <protection locked="0"/>
    </xf>
    <xf numFmtId="0" fontId="89" fillId="0" borderId="0" xfId="0" applyFont="1" applyAlignment="1" applyProtection="1">
      <alignment horizontal="left"/>
      <protection locked="0"/>
    </xf>
    <xf numFmtId="49" fontId="88" fillId="0" borderId="0" xfId="0" applyNumberFormat="1" applyFont="1" applyAlignment="1" applyProtection="1">
      <alignment horizontal="right"/>
      <protection locked="0"/>
    </xf>
    <xf numFmtId="186" fontId="88" fillId="0" borderId="0" xfId="0" applyNumberFormat="1" applyFont="1" applyAlignment="1" applyProtection="1">
      <alignment horizontal="center"/>
      <protection locked="0"/>
    </xf>
    <xf numFmtId="186" fontId="89" fillId="0" borderId="0" xfId="0" applyNumberFormat="1" applyFont="1" applyAlignment="1" applyProtection="1">
      <alignment horizontal="center"/>
      <protection locked="0"/>
    </xf>
    <xf numFmtId="0" fontId="2" fillId="0" borderId="0" xfId="0" applyFont="1" applyAlignment="1" applyProtection="1">
      <alignment horizontal="left"/>
      <protection locked="0"/>
    </xf>
    <xf numFmtId="0" fontId="10" fillId="0" borderId="0" xfId="0" applyFont="1" applyAlignment="1" applyProtection="1">
      <alignment horizontal="center"/>
      <protection locked="0"/>
    </xf>
    <xf numFmtId="0" fontId="10" fillId="0" borderId="0" xfId="0" applyFont="1" applyAlignment="1" applyProtection="1">
      <alignment horizontal="left"/>
      <protection locked="0"/>
    </xf>
    <xf numFmtId="1" fontId="10" fillId="0" borderId="0" xfId="0" applyNumberFormat="1" applyFont="1" applyAlignment="1" applyProtection="1">
      <alignment horizontal="center" shrinkToFit="1"/>
      <protection locked="0"/>
    </xf>
    <xf numFmtId="0" fontId="2" fillId="0" borderId="0" xfId="0" applyFont="1" applyAlignment="1" applyProtection="1">
      <alignment horizontal="center"/>
      <protection locked="0"/>
    </xf>
    <xf numFmtId="0" fontId="88" fillId="0" borderId="0" xfId="0" applyFont="1" applyAlignment="1" applyProtection="1">
      <alignment vertical="top"/>
      <protection locked="0"/>
    </xf>
    <xf numFmtId="0" fontId="2" fillId="0" borderId="0" xfId="0" applyFont="1" applyAlignment="1" applyProtection="1">
      <alignment vertical="top"/>
      <protection locked="0"/>
    </xf>
    <xf numFmtId="0" fontId="22" fillId="0" borderId="0" xfId="0" applyFont="1" applyAlignment="1" applyProtection="1">
      <alignment vertical="top" wrapText="1" shrinkToFit="1"/>
      <protection locked="0"/>
    </xf>
    <xf numFmtId="0" fontId="22" fillId="0" borderId="0" xfId="0" applyFont="1" applyAlignment="1" applyProtection="1">
      <alignment shrinkToFit="1"/>
      <protection locked="0"/>
    </xf>
    <xf numFmtId="1" fontId="2" fillId="0" borderId="0" xfId="0" applyNumberFormat="1" applyFont="1" applyProtection="1">
      <protection locked="0"/>
    </xf>
    <xf numFmtId="1" fontId="22" fillId="0" borderId="0" xfId="0" applyNumberFormat="1" applyFont="1" applyAlignment="1" applyProtection="1">
      <alignment shrinkToFit="1"/>
      <protection locked="0"/>
    </xf>
    <xf numFmtId="0" fontId="22" fillId="0" borderId="0" xfId="0" applyFont="1" applyAlignment="1" applyProtection="1">
      <alignment vertical="top"/>
      <protection locked="0"/>
    </xf>
    <xf numFmtId="2" fontId="89" fillId="0" borderId="0" xfId="0" applyNumberFormat="1" applyFont="1" applyAlignment="1" applyProtection="1">
      <alignment horizontal="center"/>
      <protection locked="0"/>
    </xf>
    <xf numFmtId="0" fontId="22" fillId="0" borderId="0" xfId="0" applyFont="1" applyAlignment="1" applyProtection="1">
      <alignment horizontal="center"/>
      <protection locked="0"/>
    </xf>
    <xf numFmtId="1" fontId="87" fillId="0" borderId="0" xfId="0" applyNumberFormat="1" applyFont="1" applyProtection="1">
      <protection locked="0"/>
    </xf>
    <xf numFmtId="0" fontId="87" fillId="0" borderId="0" xfId="0" applyFont="1" applyAlignment="1" applyProtection="1">
      <alignment horizontal="center"/>
      <protection locked="0"/>
    </xf>
    <xf numFmtId="49" fontId="87" fillId="0" borderId="0" xfId="0" applyNumberFormat="1" applyFont="1" applyProtection="1">
      <protection locked="0"/>
    </xf>
    <xf numFmtId="49" fontId="87" fillId="0" borderId="0" xfId="0" applyNumberFormat="1" applyFont="1" applyAlignment="1" applyProtection="1">
      <alignment horizontal="center" shrinkToFit="1"/>
      <protection locked="0"/>
    </xf>
    <xf numFmtId="0" fontId="89" fillId="0" borderId="0" xfId="0" applyFont="1" applyProtection="1">
      <protection locked="0"/>
    </xf>
    <xf numFmtId="0" fontId="87" fillId="0" borderId="17" xfId="0" applyFont="1" applyBorder="1" applyProtection="1">
      <protection locked="0"/>
    </xf>
    <xf numFmtId="2" fontId="2" fillId="0" borderId="0" xfId="0" applyNumberFormat="1" applyFont="1" applyAlignment="1" applyProtection="1">
      <alignment horizontal="center"/>
      <protection locked="0"/>
    </xf>
    <xf numFmtId="0" fontId="88" fillId="0" borderId="17" xfId="0" applyFont="1" applyBorder="1" applyProtection="1">
      <protection locked="0"/>
    </xf>
    <xf numFmtId="0" fontId="88" fillId="0" borderId="44" xfId="0" applyFont="1" applyBorder="1" applyProtection="1">
      <protection locked="0"/>
    </xf>
    <xf numFmtId="0" fontId="87" fillId="0" borderId="33" xfId="0" applyFont="1" applyBorder="1" applyProtection="1">
      <protection locked="0"/>
    </xf>
    <xf numFmtId="0" fontId="87" fillId="0" borderId="44" xfId="0" applyFont="1" applyBorder="1" applyProtection="1">
      <protection locked="0"/>
    </xf>
    <xf numFmtId="0" fontId="88" fillId="0" borderId="33" xfId="0" applyFont="1" applyBorder="1" applyProtection="1">
      <protection locked="0"/>
    </xf>
    <xf numFmtId="0" fontId="87" fillId="0" borderId="34" xfId="0" applyFont="1" applyBorder="1" applyProtection="1">
      <protection locked="0"/>
    </xf>
    <xf numFmtId="0" fontId="88" fillId="0" borderId="45" xfId="0" applyFont="1" applyBorder="1" applyProtection="1">
      <protection locked="0"/>
    </xf>
    <xf numFmtId="0" fontId="87" fillId="0" borderId="45" xfId="0" applyFont="1" applyBorder="1" applyProtection="1">
      <protection locked="0"/>
    </xf>
    <xf numFmtId="0" fontId="87" fillId="0" borderId="0" xfId="0" applyFont="1" applyAlignment="1" applyProtection="1">
      <alignment horizontal="left"/>
      <protection locked="0"/>
    </xf>
    <xf numFmtId="0" fontId="87" fillId="0" borderId="36" xfId="0" applyFont="1" applyBorder="1" applyProtection="1">
      <protection locked="0"/>
    </xf>
    <xf numFmtId="0" fontId="2" fillId="0" borderId="45" xfId="0" applyFont="1" applyBorder="1" applyProtection="1">
      <protection locked="0"/>
    </xf>
    <xf numFmtId="0" fontId="10" fillId="0" borderId="45" xfId="0" applyFont="1" applyBorder="1" applyProtection="1">
      <protection locked="0"/>
    </xf>
    <xf numFmtId="49" fontId="90" fillId="0" borderId="0" xfId="0" applyNumberFormat="1" applyFont="1" applyProtection="1">
      <protection locked="0"/>
    </xf>
    <xf numFmtId="0" fontId="87" fillId="0" borderId="42" xfId="0" applyFont="1" applyBorder="1" applyProtection="1">
      <protection locked="0"/>
    </xf>
    <xf numFmtId="0" fontId="87" fillId="0" borderId="18" xfId="0" applyFont="1" applyBorder="1" applyProtection="1">
      <protection locked="0"/>
    </xf>
    <xf numFmtId="1" fontId="31" fillId="24" borderId="1" xfId="8" applyNumberFormat="1" applyFont="1" applyFill="1" applyBorder="1" applyAlignment="1" applyProtection="1">
      <alignment horizontal="center" vertical="center"/>
      <protection locked="0"/>
    </xf>
    <xf numFmtId="0" fontId="31" fillId="13" borderId="15" xfId="11" applyNumberFormat="1" applyFont="1" applyFill="1" applyBorder="1" applyAlignment="1" applyProtection="1">
      <alignment horizontal="center" vertical="center"/>
      <protection locked="0"/>
    </xf>
    <xf numFmtId="0" fontId="22" fillId="15" borderId="1" xfId="9" applyFont="1" applyFill="1" applyBorder="1" applyAlignment="1" applyProtection="1">
      <alignment vertical="center"/>
      <protection locked="0"/>
    </xf>
    <xf numFmtId="0" fontId="0" fillId="0" borderId="0" xfId="0" applyProtection="1">
      <protection hidden="1"/>
    </xf>
    <xf numFmtId="0" fontId="0" fillId="0" borderId="0" xfId="0" applyAlignment="1" applyProtection="1">
      <alignment horizontal="center"/>
      <protection hidden="1"/>
    </xf>
    <xf numFmtId="195" fontId="10" fillId="0" borderId="0" xfId="0" applyNumberFormat="1" applyFont="1" applyAlignment="1" applyProtection="1">
      <alignment horizontal="center" shrinkToFit="1"/>
      <protection locked="0"/>
    </xf>
    <xf numFmtId="10" fontId="10" fillId="0" borderId="0" xfId="0" applyNumberFormat="1" applyFont="1" applyAlignment="1" applyProtection="1">
      <alignment horizontal="center" vertical="top" shrinkToFit="1"/>
      <protection locked="0"/>
    </xf>
    <xf numFmtId="9" fontId="131" fillId="0" borderId="35" xfId="0" applyNumberFormat="1" applyFont="1" applyBorder="1" applyProtection="1">
      <protection hidden="1"/>
    </xf>
    <xf numFmtId="0" fontId="0" fillId="0" borderId="0" xfId="0" applyAlignment="1" applyProtection="1">
      <alignment horizontal="right"/>
      <protection hidden="1"/>
    </xf>
    <xf numFmtId="0" fontId="50" fillId="0" borderId="0" xfId="6" applyFont="1" applyAlignment="1" applyProtection="1">
      <alignment horizontal="right"/>
      <protection hidden="1"/>
    </xf>
    <xf numFmtId="1" fontId="0" fillId="24" borderId="0" xfId="0" applyNumberFormat="1" applyFill="1" applyProtection="1">
      <protection hidden="1"/>
    </xf>
    <xf numFmtId="0" fontId="0" fillId="24" borderId="0" xfId="0" applyFill="1" applyAlignment="1" applyProtection="1">
      <alignment horizontal="right"/>
      <protection hidden="1"/>
    </xf>
    <xf numFmtId="0" fontId="87" fillId="24" borderId="0" xfId="0" applyFont="1" applyFill="1" applyProtection="1">
      <protection locked="0"/>
    </xf>
    <xf numFmtId="2" fontId="89" fillId="0" borderId="0" xfId="0" applyNumberFormat="1" applyFont="1" applyAlignment="1" applyProtection="1">
      <alignment horizontal="center"/>
      <protection hidden="1"/>
    </xf>
    <xf numFmtId="195" fontId="10" fillId="0" borderId="0" xfId="0" applyNumberFormat="1" applyFont="1" applyAlignment="1" applyProtection="1">
      <alignment horizontal="left" vertical="top" shrinkToFit="1"/>
      <protection locked="0"/>
    </xf>
    <xf numFmtId="1" fontId="10" fillId="0" borderId="0" xfId="0" applyNumberFormat="1" applyFont="1" applyAlignment="1" applyProtection="1">
      <alignment shrinkToFit="1"/>
      <protection locked="0"/>
    </xf>
    <xf numFmtId="0" fontId="55" fillId="18" borderId="0" xfId="8" applyFont="1" applyFill="1" applyAlignment="1" applyProtection="1">
      <alignment horizontal="center" vertical="center"/>
      <protection hidden="1"/>
    </xf>
    <xf numFmtId="0" fontId="2" fillId="18" borderId="0" xfId="8" applyFont="1" applyFill="1" applyAlignment="1" applyProtection="1">
      <alignment vertical="center"/>
      <protection hidden="1"/>
    </xf>
    <xf numFmtId="0" fontId="0" fillId="0" borderId="44" xfId="0" applyBorder="1"/>
    <xf numFmtId="0" fontId="137" fillId="0" borderId="0" xfId="0" applyFont="1" applyAlignment="1">
      <alignment horizontal="left" vertical="top"/>
    </xf>
    <xf numFmtId="0" fontId="138" fillId="0" borderId="0" xfId="0" applyFont="1" applyAlignment="1">
      <alignment vertical="top"/>
    </xf>
    <xf numFmtId="0" fontId="137" fillId="0" borderId="0" xfId="0" applyFont="1" applyAlignment="1">
      <alignment vertical="top"/>
    </xf>
    <xf numFmtId="0" fontId="139" fillId="0" borderId="0" xfId="0" applyFont="1" applyAlignment="1">
      <alignment vertical="top"/>
    </xf>
    <xf numFmtId="0" fontId="140" fillId="0" borderId="0" xfId="0" applyFont="1" applyAlignment="1">
      <alignment vertical="top"/>
    </xf>
    <xf numFmtId="14" fontId="140" fillId="0" borderId="0" xfId="0" applyNumberFormat="1" applyFont="1" applyAlignment="1">
      <alignment vertical="top"/>
    </xf>
    <xf numFmtId="0" fontId="140" fillId="0" borderId="0" xfId="0" applyFont="1" applyAlignment="1">
      <alignment horizontal="left" vertical="top"/>
    </xf>
    <xf numFmtId="0" fontId="140" fillId="23" borderId="0" xfId="0" applyFont="1" applyFill="1" applyAlignment="1">
      <alignment vertical="top"/>
    </xf>
    <xf numFmtId="0" fontId="138" fillId="0" borderId="0" xfId="0" applyFont="1" applyAlignment="1">
      <alignment horizontal="left" vertical="top"/>
    </xf>
    <xf numFmtId="0" fontId="140" fillId="0" borderId="0" xfId="0" applyFont="1" applyAlignment="1">
      <alignment vertical="center"/>
    </xf>
    <xf numFmtId="0" fontId="55" fillId="0" borderId="85" xfId="0" applyFont="1" applyBorder="1" applyAlignment="1">
      <alignment horizontal="left" vertical="top"/>
    </xf>
    <xf numFmtId="0" fontId="55" fillId="0" borderId="86" xfId="0" applyFont="1" applyBorder="1" applyAlignment="1">
      <alignment horizontal="left" vertical="top"/>
    </xf>
    <xf numFmtId="0" fontId="55" fillId="0" borderId="90" xfId="0" applyFont="1" applyBorder="1" applyAlignment="1">
      <alignment horizontal="left" vertical="top"/>
    </xf>
    <xf numFmtId="0" fontId="55" fillId="0" borderId="91" xfId="0" applyFont="1" applyBorder="1" applyAlignment="1">
      <alignment horizontal="left" vertical="top"/>
    </xf>
    <xf numFmtId="0" fontId="55" fillId="0" borderId="89" xfId="0" applyFont="1" applyBorder="1" applyAlignment="1">
      <alignment horizontal="left" vertical="top"/>
    </xf>
    <xf numFmtId="0" fontId="55" fillId="0" borderId="0" xfId="0" applyFont="1" applyAlignment="1">
      <alignment horizontal="left" vertical="top"/>
    </xf>
    <xf numFmtId="0" fontId="55" fillId="0" borderId="36" xfId="0" applyFont="1" applyBorder="1" applyAlignment="1">
      <alignment horizontal="left" vertical="top"/>
    </xf>
    <xf numFmtId="0" fontId="55" fillId="23" borderId="88" xfId="0" applyFont="1" applyFill="1" applyBorder="1" applyAlignment="1">
      <alignment vertical="center"/>
    </xf>
    <xf numFmtId="0" fontId="136" fillId="0" borderId="36" xfId="0" applyFont="1" applyBorder="1" applyAlignment="1">
      <alignment vertical="center"/>
    </xf>
    <xf numFmtId="0" fontId="145" fillId="0" borderId="85" xfId="0" applyFont="1" applyBorder="1" applyAlignment="1">
      <alignment vertical="top"/>
    </xf>
    <xf numFmtId="0" fontId="0" fillId="25" borderId="0" xfId="0" applyFill="1" applyProtection="1">
      <protection hidden="1"/>
    </xf>
    <xf numFmtId="0" fontId="0" fillId="25" borderId="0" xfId="0" applyFill="1" applyAlignment="1" applyProtection="1">
      <alignment horizontal="right"/>
      <protection hidden="1"/>
    </xf>
    <xf numFmtId="49" fontId="11" fillId="13" borderId="21" xfId="8" applyNumberFormat="1" applyFont="1" applyFill="1" applyBorder="1" applyAlignment="1" applyProtection="1">
      <alignment vertical="center" wrapText="1" shrinkToFit="1"/>
      <protection locked="0"/>
    </xf>
    <xf numFmtId="0" fontId="89" fillId="0" borderId="0" xfId="0" applyFont="1" applyAlignment="1" applyProtection="1">
      <alignment shrinkToFit="1"/>
      <protection locked="0"/>
    </xf>
    <xf numFmtId="0" fontId="134" fillId="15" borderId="20" xfId="9" applyFont="1" applyFill="1" applyBorder="1" applyAlignment="1" applyProtection="1">
      <alignment horizontal="center" vertical="center"/>
      <protection locked="0"/>
    </xf>
    <xf numFmtId="0" fontId="134" fillId="15" borderId="21" xfId="9" applyFont="1" applyFill="1" applyBorder="1" applyAlignment="1" applyProtection="1">
      <alignment horizontal="center" vertical="center"/>
      <protection locked="0"/>
    </xf>
    <xf numFmtId="0" fontId="22" fillId="15" borderId="20" xfId="9" applyFont="1" applyFill="1" applyBorder="1" applyAlignment="1" applyProtection="1">
      <alignment horizontal="center" vertical="center"/>
      <protection locked="0"/>
    </xf>
    <xf numFmtId="0" fontId="22" fillId="15" borderId="21" xfId="9" applyFont="1" applyFill="1" applyBorder="1" applyAlignment="1" applyProtection="1">
      <alignment horizontal="center" vertical="center"/>
      <protection locked="0"/>
    </xf>
    <xf numFmtId="2" fontId="134" fillId="15" borderId="20" xfId="9" applyNumberFormat="1" applyFont="1" applyFill="1" applyBorder="1" applyAlignment="1" applyProtection="1">
      <alignment horizontal="center" vertical="center"/>
      <protection locked="0"/>
    </xf>
    <xf numFmtId="2" fontId="134" fillId="15" borderId="15" xfId="9" applyNumberFormat="1" applyFont="1" applyFill="1" applyBorder="1" applyAlignment="1" applyProtection="1">
      <alignment horizontal="center" vertical="center"/>
      <protection locked="0"/>
    </xf>
    <xf numFmtId="2" fontId="134" fillId="15" borderId="21" xfId="9" applyNumberFormat="1" applyFont="1" applyFill="1" applyBorder="1" applyAlignment="1" applyProtection="1">
      <alignment horizontal="center" vertical="center"/>
      <protection locked="0"/>
    </xf>
    <xf numFmtId="0" fontId="134" fillId="15" borderId="15" xfId="9" applyFont="1" applyFill="1" applyBorder="1" applyAlignment="1" applyProtection="1">
      <alignment horizontal="center" vertical="center"/>
      <protection locked="0"/>
    </xf>
    <xf numFmtId="0" fontId="22" fillId="15" borderId="15" xfId="9" applyFont="1" applyFill="1" applyBorder="1" applyAlignment="1" applyProtection="1">
      <alignment horizontal="center" vertical="center"/>
      <protection locked="0"/>
    </xf>
    <xf numFmtId="0" fontId="146" fillId="37" borderId="20" xfId="9" applyFont="1" applyFill="1" applyBorder="1" applyAlignment="1" applyProtection="1">
      <alignment horizontal="center" vertical="center"/>
      <protection hidden="1"/>
    </xf>
    <xf numFmtId="0" fontId="146" fillId="37" borderId="21" xfId="9" applyFont="1" applyFill="1" applyBorder="1" applyAlignment="1" applyProtection="1">
      <alignment horizontal="center" vertical="center"/>
      <protection hidden="1"/>
    </xf>
    <xf numFmtId="0" fontId="135" fillId="34" borderId="20" xfId="9" applyFont="1" applyFill="1" applyBorder="1" applyAlignment="1" applyProtection="1">
      <alignment horizontal="center" vertical="center"/>
      <protection hidden="1"/>
    </xf>
    <xf numFmtId="0" fontId="135" fillId="34" borderId="15" xfId="9" applyFont="1" applyFill="1" applyBorder="1" applyAlignment="1" applyProtection="1">
      <alignment horizontal="center" vertical="center"/>
      <protection hidden="1"/>
    </xf>
    <xf numFmtId="0" fontId="135" fillId="34" borderId="21" xfId="9" applyFont="1" applyFill="1" applyBorder="1" applyAlignment="1" applyProtection="1">
      <alignment horizontal="center" vertical="center"/>
      <protection hidden="1"/>
    </xf>
    <xf numFmtId="0" fontId="30" fillId="15" borderId="20" xfId="9" applyFont="1" applyFill="1" applyBorder="1" applyAlignment="1" applyProtection="1">
      <alignment horizontal="center" vertical="center"/>
      <protection locked="0"/>
    </xf>
    <xf numFmtId="0" fontId="30" fillId="15" borderId="21" xfId="9" applyFont="1" applyFill="1" applyBorder="1" applyAlignment="1" applyProtection="1">
      <alignment horizontal="center" vertical="center"/>
      <protection locked="0"/>
    </xf>
    <xf numFmtId="0" fontId="71" fillId="17" borderId="58" xfId="8" applyFont="1" applyFill="1" applyBorder="1" applyAlignment="1" applyProtection="1">
      <alignment horizontal="center" vertical="center"/>
      <protection locked="0"/>
    </xf>
    <xf numFmtId="0" fontId="72" fillId="17" borderId="59" xfId="0" applyFont="1" applyFill="1" applyBorder="1" applyAlignment="1" applyProtection="1">
      <alignment horizontal="center" vertical="center"/>
      <protection locked="0"/>
    </xf>
    <xf numFmtId="0" fontId="72" fillId="17" borderId="60" xfId="0" applyFont="1" applyFill="1" applyBorder="1" applyAlignment="1" applyProtection="1">
      <alignment horizontal="center" vertical="center"/>
      <protection locked="0"/>
    </xf>
    <xf numFmtId="0" fontId="12" fillId="17" borderId="61" xfId="8" applyFill="1" applyBorder="1" applyAlignment="1" applyProtection="1">
      <alignment horizontal="left" vertical="center"/>
      <protection locked="0"/>
    </xf>
    <xf numFmtId="0" fontId="0" fillId="0" borderId="55" xfId="0" applyBorder="1" applyAlignment="1" applyProtection="1">
      <alignment horizontal="left" vertical="center"/>
      <protection locked="0"/>
    </xf>
    <xf numFmtId="0" fontId="0" fillId="0" borderId="62" xfId="0" applyBorder="1" applyAlignment="1" applyProtection="1">
      <alignment horizontal="left" vertical="center"/>
      <protection locked="0"/>
    </xf>
    <xf numFmtId="49" fontId="10" fillId="13" borderId="63" xfId="0" applyNumberFormat="1" applyFont="1" applyFill="1" applyBorder="1" applyAlignment="1" applyProtection="1">
      <alignment horizontal="center" vertical="center" shrinkToFit="1"/>
      <protection locked="0"/>
    </xf>
    <xf numFmtId="49" fontId="32" fillId="13" borderId="64" xfId="0" applyNumberFormat="1" applyFont="1" applyFill="1" applyBorder="1" applyAlignment="1" applyProtection="1">
      <alignment horizontal="center" vertical="center" shrinkToFit="1"/>
      <protection locked="0"/>
    </xf>
    <xf numFmtId="49" fontId="32" fillId="13" borderId="65" xfId="0" applyNumberFormat="1" applyFont="1" applyFill="1" applyBorder="1" applyAlignment="1" applyProtection="1">
      <alignment horizontal="center" vertical="center" shrinkToFit="1"/>
      <protection locked="0"/>
    </xf>
    <xf numFmtId="0" fontId="10" fillId="13" borderId="66" xfId="8" applyFont="1" applyFill="1" applyBorder="1" applyAlignment="1" applyProtection="1">
      <alignment horizontal="center" vertical="center" shrinkToFit="1"/>
      <protection locked="0"/>
    </xf>
    <xf numFmtId="0" fontId="10" fillId="13" borderId="16" xfId="8" applyFont="1" applyFill="1" applyBorder="1" applyAlignment="1" applyProtection="1">
      <alignment horizontal="center" vertical="center" shrinkToFit="1"/>
      <protection locked="0"/>
    </xf>
    <xf numFmtId="0" fontId="10" fillId="13" borderId="67" xfId="8" applyFont="1" applyFill="1" applyBorder="1" applyAlignment="1" applyProtection="1">
      <alignment horizontal="center" vertical="center" shrinkToFit="1"/>
      <protection locked="0"/>
    </xf>
    <xf numFmtId="0" fontId="10" fillId="7" borderId="20" xfId="8" applyFont="1" applyFill="1" applyBorder="1" applyAlignment="1" applyProtection="1">
      <alignment horizontal="center" vertical="center" shrinkToFit="1"/>
      <protection locked="0"/>
    </xf>
    <xf numFmtId="0" fontId="32" fillId="7" borderId="15" xfId="0" applyFont="1" applyFill="1" applyBorder="1" applyAlignment="1" applyProtection="1">
      <alignment horizontal="center" vertical="center" shrinkToFit="1"/>
      <protection locked="0"/>
    </xf>
    <xf numFmtId="0" fontId="32" fillId="7" borderId="68" xfId="0" applyFont="1" applyFill="1" applyBorder="1" applyAlignment="1" applyProtection="1">
      <alignment horizontal="center" vertical="center" shrinkToFit="1"/>
      <protection locked="0"/>
    </xf>
    <xf numFmtId="0" fontId="10" fillId="13" borderId="20" xfId="8" applyFont="1" applyFill="1" applyBorder="1" applyAlignment="1" applyProtection="1">
      <alignment horizontal="center" vertical="center" shrinkToFit="1"/>
      <protection locked="0"/>
    </xf>
    <xf numFmtId="0" fontId="10" fillId="13" borderId="15" xfId="8" applyFont="1" applyFill="1" applyBorder="1" applyAlignment="1" applyProtection="1">
      <alignment horizontal="center" vertical="center" shrinkToFit="1"/>
      <protection locked="0"/>
    </xf>
    <xf numFmtId="0" fontId="10" fillId="13" borderId="68" xfId="8" applyFont="1" applyFill="1" applyBorder="1" applyAlignment="1" applyProtection="1">
      <alignment horizontal="center" vertical="center" shrinkToFit="1"/>
      <protection locked="0"/>
    </xf>
    <xf numFmtId="49" fontId="10" fillId="13" borderId="20" xfId="8" applyNumberFormat="1" applyFont="1" applyFill="1" applyBorder="1" applyAlignment="1" applyProtection="1">
      <alignment horizontal="center" vertical="center" shrinkToFit="1"/>
      <protection locked="0"/>
    </xf>
    <xf numFmtId="49" fontId="10" fillId="13" borderId="21" xfId="8" applyNumberFormat="1" applyFont="1" applyFill="1" applyBorder="1" applyAlignment="1" applyProtection="1">
      <alignment horizontal="center" vertical="center" shrinkToFit="1"/>
      <protection locked="0"/>
    </xf>
    <xf numFmtId="0" fontId="32" fillId="13" borderId="15" xfId="0" applyFont="1" applyFill="1" applyBorder="1" applyAlignment="1" applyProtection="1">
      <alignment horizontal="center" vertical="center" shrinkToFit="1"/>
      <protection locked="0"/>
    </xf>
    <xf numFmtId="0" fontId="32" fillId="13" borderId="68" xfId="0" applyFont="1" applyFill="1" applyBorder="1" applyAlignment="1" applyProtection="1">
      <alignment horizontal="center" vertical="center" shrinkToFit="1"/>
      <protection locked="0"/>
    </xf>
    <xf numFmtId="0" fontId="84" fillId="27" borderId="20" xfId="8" applyFont="1" applyFill="1" applyBorder="1" applyAlignment="1" applyProtection="1">
      <alignment horizontal="center" vertical="center"/>
      <protection locked="0"/>
    </xf>
    <xf numFmtId="0" fontId="84" fillId="27" borderId="21" xfId="8" applyFont="1" applyFill="1" applyBorder="1" applyAlignment="1" applyProtection="1">
      <alignment horizontal="center" vertical="center"/>
      <protection locked="0"/>
    </xf>
    <xf numFmtId="0" fontId="30" fillId="15" borderId="20" xfId="8" applyFont="1" applyFill="1" applyBorder="1" applyAlignment="1" applyProtection="1">
      <alignment horizontal="center" vertical="center"/>
      <protection locked="0"/>
    </xf>
    <xf numFmtId="0" fontId="30" fillId="15" borderId="15" xfId="8" applyFont="1" applyFill="1" applyBorder="1" applyAlignment="1" applyProtection="1">
      <alignment horizontal="center" vertical="center"/>
      <protection locked="0"/>
    </xf>
    <xf numFmtId="0" fontId="30" fillId="15" borderId="21" xfId="8" applyFont="1" applyFill="1" applyBorder="1" applyAlignment="1" applyProtection="1">
      <alignment horizontal="center" vertical="center"/>
      <protection locked="0"/>
    </xf>
    <xf numFmtId="49" fontId="11" fillId="13" borderId="20" xfId="8" applyNumberFormat="1" applyFont="1" applyFill="1" applyBorder="1" applyAlignment="1" applyProtection="1">
      <alignment horizontal="center" vertical="center"/>
      <protection locked="0"/>
    </xf>
    <xf numFmtId="49" fontId="11" fillId="13" borderId="21" xfId="8" applyNumberFormat="1" applyFont="1" applyFill="1" applyBorder="1" applyAlignment="1" applyProtection="1">
      <alignment horizontal="center" vertical="center"/>
      <protection locked="0"/>
    </xf>
    <xf numFmtId="183" fontId="31" fillId="13" borderId="20" xfId="8" applyNumberFormat="1" applyFont="1" applyFill="1" applyBorder="1" applyAlignment="1" applyProtection="1">
      <alignment horizontal="left" vertical="center"/>
      <protection locked="0"/>
    </xf>
    <xf numFmtId="183" fontId="31" fillId="13" borderId="15" xfId="8" applyNumberFormat="1" applyFont="1" applyFill="1" applyBorder="1" applyAlignment="1" applyProtection="1">
      <alignment horizontal="left" vertical="center"/>
      <protection locked="0"/>
    </xf>
    <xf numFmtId="183" fontId="31" fillId="13" borderId="21" xfId="8" applyNumberFormat="1" applyFont="1" applyFill="1" applyBorder="1" applyAlignment="1" applyProtection="1">
      <alignment horizontal="left" vertical="center"/>
      <protection locked="0"/>
    </xf>
    <xf numFmtId="0" fontId="42" fillId="21" borderId="30" xfId="8" applyFont="1" applyFill="1" applyBorder="1" applyAlignment="1" applyProtection="1">
      <alignment horizontal="center" vertical="center"/>
      <protection locked="0"/>
    </xf>
    <xf numFmtId="0" fontId="42" fillId="21" borderId="28" xfId="8" applyFont="1" applyFill="1" applyBorder="1" applyAlignment="1" applyProtection="1">
      <alignment horizontal="center" vertical="center"/>
      <protection locked="0"/>
    </xf>
    <xf numFmtId="0" fontId="42" fillId="21" borderId="15" xfId="8" applyFont="1" applyFill="1" applyBorder="1" applyAlignment="1" applyProtection="1">
      <alignment horizontal="center" vertical="center"/>
      <protection locked="0"/>
    </xf>
    <xf numFmtId="0" fontId="42" fillId="21" borderId="21" xfId="8" applyFont="1" applyFill="1" applyBorder="1" applyAlignment="1" applyProtection="1">
      <alignment horizontal="center" vertical="center"/>
      <protection locked="0"/>
    </xf>
    <xf numFmtId="0" fontId="11" fillId="13" borderId="20" xfId="8" applyFont="1" applyFill="1" applyBorder="1" applyAlignment="1" applyProtection="1">
      <alignment horizontal="center" vertical="center" shrinkToFit="1"/>
      <protection locked="0"/>
    </xf>
    <xf numFmtId="0" fontId="11" fillId="13" borderId="15" xfId="8" applyFont="1" applyFill="1" applyBorder="1" applyAlignment="1" applyProtection="1">
      <alignment horizontal="center" vertical="center" shrinkToFit="1"/>
      <protection locked="0"/>
    </xf>
    <xf numFmtId="0" fontId="25" fillId="0" borderId="21" xfId="0" applyFont="1" applyBorder="1" applyAlignment="1" applyProtection="1">
      <alignment vertical="center" shrinkToFit="1"/>
      <protection locked="0"/>
    </xf>
    <xf numFmtId="184" fontId="10" fillId="13" borderId="20" xfId="8" applyNumberFormat="1" applyFont="1" applyFill="1" applyBorder="1" applyAlignment="1" applyProtection="1">
      <alignment horizontal="center" vertical="center"/>
      <protection hidden="1"/>
    </xf>
    <xf numFmtId="0" fontId="0" fillId="13" borderId="21" xfId="0" applyFill="1" applyBorder="1" applyAlignment="1" applyProtection="1">
      <alignment vertical="center"/>
      <protection hidden="1"/>
    </xf>
    <xf numFmtId="0" fontId="12" fillId="18" borderId="0" xfId="8" applyFill="1" applyAlignment="1" applyProtection="1">
      <alignment vertical="center"/>
      <protection hidden="1"/>
    </xf>
    <xf numFmtId="0" fontId="10" fillId="22" borderId="44" xfId="8" applyFont="1" applyFill="1" applyBorder="1" applyAlignment="1" applyProtection="1">
      <alignment horizontal="center" vertical="center"/>
      <protection locked="0"/>
    </xf>
    <xf numFmtId="0" fontId="0" fillId="0" borderId="33" xfId="0" applyBorder="1" applyAlignment="1" applyProtection="1">
      <alignment vertical="center"/>
      <protection locked="0"/>
    </xf>
    <xf numFmtId="0" fontId="0" fillId="0" borderId="34" xfId="0" applyBorder="1" applyAlignment="1" applyProtection="1">
      <alignment vertical="center"/>
      <protection locked="0"/>
    </xf>
    <xf numFmtId="0" fontId="0" fillId="0" borderId="45" xfId="0" applyBorder="1" applyAlignment="1" applyProtection="1">
      <alignment vertical="center"/>
      <protection locked="0"/>
    </xf>
    <xf numFmtId="0" fontId="0" fillId="0" borderId="0" xfId="0" applyAlignment="1" applyProtection="1">
      <alignment vertical="center"/>
      <protection locked="0"/>
    </xf>
    <xf numFmtId="0" fontId="0" fillId="0" borderId="36" xfId="0" applyBorder="1" applyAlignment="1" applyProtection="1">
      <alignment vertical="center"/>
      <protection locked="0"/>
    </xf>
    <xf numFmtId="0" fontId="0" fillId="0" borderId="42" xfId="0" applyBorder="1" applyAlignment="1" applyProtection="1">
      <alignment vertical="center"/>
      <protection locked="0"/>
    </xf>
    <xf numFmtId="0" fontId="0" fillId="0" borderId="17" xfId="0" applyBorder="1" applyAlignment="1" applyProtection="1">
      <alignment vertical="center"/>
      <protection locked="0"/>
    </xf>
    <xf numFmtId="0" fontId="0" fillId="0" borderId="18" xfId="0" applyBorder="1" applyAlignment="1" applyProtection="1">
      <alignment vertical="center"/>
      <protection locked="0"/>
    </xf>
    <xf numFmtId="0" fontId="12" fillId="18" borderId="45" xfId="8" applyFill="1" applyBorder="1" applyAlignment="1" applyProtection="1">
      <alignment vertical="center"/>
      <protection hidden="1"/>
    </xf>
    <xf numFmtId="0" fontId="12" fillId="18" borderId="36" xfId="8" applyFill="1" applyBorder="1" applyAlignment="1" applyProtection="1">
      <alignment vertical="center"/>
      <protection hidden="1"/>
    </xf>
    <xf numFmtId="49" fontId="11" fillId="13" borderId="44" xfId="8" applyNumberFormat="1" applyFont="1" applyFill="1" applyBorder="1" applyAlignment="1" applyProtection="1">
      <alignment horizontal="center" vertical="center"/>
      <protection locked="0"/>
    </xf>
    <xf numFmtId="49" fontId="25" fillId="13" borderId="33" xfId="0" applyNumberFormat="1" applyFont="1" applyFill="1" applyBorder="1" applyAlignment="1" applyProtection="1">
      <alignment horizontal="center" vertical="center"/>
      <protection locked="0"/>
    </xf>
    <xf numFmtId="49" fontId="25" fillId="13" borderId="34" xfId="0" applyNumberFormat="1" applyFont="1" applyFill="1" applyBorder="1" applyAlignment="1" applyProtection="1">
      <alignment horizontal="center" vertical="center"/>
      <protection locked="0"/>
    </xf>
    <xf numFmtId="49" fontId="25" fillId="13" borderId="45" xfId="0" applyNumberFormat="1" applyFont="1" applyFill="1" applyBorder="1" applyAlignment="1" applyProtection="1">
      <alignment horizontal="center" vertical="center"/>
      <protection locked="0"/>
    </xf>
    <xf numFmtId="49" fontId="25" fillId="13" borderId="0" xfId="0" applyNumberFormat="1" applyFont="1" applyFill="1" applyAlignment="1" applyProtection="1">
      <alignment horizontal="center" vertical="center"/>
      <protection locked="0"/>
    </xf>
    <xf numFmtId="49" fontId="25" fillId="13" borderId="36" xfId="0" applyNumberFormat="1" applyFont="1" applyFill="1" applyBorder="1" applyAlignment="1" applyProtection="1">
      <alignment horizontal="center" vertical="center"/>
      <protection locked="0"/>
    </xf>
    <xf numFmtId="49" fontId="25" fillId="13" borderId="42" xfId="0" applyNumberFormat="1" applyFont="1" applyFill="1" applyBorder="1" applyAlignment="1" applyProtection="1">
      <alignment horizontal="center" vertical="center"/>
      <protection locked="0"/>
    </xf>
    <xf numFmtId="49" fontId="25" fillId="13" borderId="17" xfId="0" applyNumberFormat="1" applyFont="1" applyFill="1" applyBorder="1" applyAlignment="1" applyProtection="1">
      <alignment horizontal="center" vertical="center"/>
      <protection locked="0"/>
    </xf>
    <xf numFmtId="49" fontId="25" fillId="13" borderId="18" xfId="0" applyNumberFormat="1" applyFont="1" applyFill="1" applyBorder="1" applyAlignment="1" applyProtection="1">
      <alignment horizontal="center" vertical="center"/>
      <protection locked="0"/>
    </xf>
    <xf numFmtId="0" fontId="37" fillId="15" borderId="42" xfId="8" applyFont="1" applyFill="1" applyBorder="1" applyAlignment="1" applyProtection="1">
      <alignment horizontal="right" vertical="center"/>
      <protection locked="0"/>
    </xf>
    <xf numFmtId="0" fontId="0" fillId="15" borderId="17" xfId="0" applyFill="1" applyBorder="1" applyAlignment="1" applyProtection="1">
      <alignment horizontal="right" vertical="center"/>
      <protection locked="0"/>
    </xf>
    <xf numFmtId="0" fontId="0" fillId="15" borderId="18" xfId="0" applyFill="1" applyBorder="1" applyAlignment="1" applyProtection="1">
      <alignment horizontal="right" vertical="center"/>
      <protection locked="0"/>
    </xf>
    <xf numFmtId="0" fontId="10" fillId="13" borderId="20" xfId="8" applyFont="1" applyFill="1" applyBorder="1" applyAlignment="1" applyProtection="1">
      <alignment horizontal="center" vertical="center"/>
      <protection hidden="1"/>
    </xf>
    <xf numFmtId="0" fontId="12" fillId="18" borderId="14" xfId="8" applyFill="1" applyBorder="1" applyAlignment="1" applyProtection="1">
      <alignment vertical="center"/>
      <protection hidden="1"/>
    </xf>
    <xf numFmtId="0" fontId="10" fillId="18" borderId="0" xfId="8" applyFont="1" applyFill="1" applyAlignment="1" applyProtection="1">
      <alignment vertical="center"/>
      <protection hidden="1"/>
    </xf>
    <xf numFmtId="0" fontId="0" fillId="0" borderId="0" xfId="0" applyAlignment="1" applyProtection="1">
      <alignment vertical="center"/>
      <protection hidden="1"/>
    </xf>
    <xf numFmtId="0" fontId="10" fillId="29" borderId="20" xfId="8" applyFont="1" applyFill="1" applyBorder="1" applyAlignment="1" applyProtection="1">
      <alignment horizontal="center" vertical="center"/>
      <protection locked="0"/>
    </xf>
    <xf numFmtId="0" fontId="10" fillId="29" borderId="15" xfId="8" applyFont="1" applyFill="1" applyBorder="1" applyAlignment="1" applyProtection="1">
      <alignment horizontal="center" vertical="center"/>
      <protection locked="0"/>
    </xf>
    <xf numFmtId="0" fontId="10" fillId="29" borderId="21" xfId="8" applyFont="1" applyFill="1" applyBorder="1" applyAlignment="1" applyProtection="1">
      <alignment horizontal="center" vertical="center"/>
      <protection locked="0"/>
    </xf>
    <xf numFmtId="2" fontId="86" fillId="13" borderId="20" xfId="8" applyNumberFormat="1" applyFont="1" applyFill="1" applyBorder="1" applyAlignment="1" applyProtection="1">
      <alignment horizontal="center" vertical="center"/>
      <protection hidden="1"/>
    </xf>
    <xf numFmtId="0" fontId="3" fillId="13" borderId="21" xfId="0" applyFont="1" applyFill="1" applyBorder="1" applyAlignment="1" applyProtection="1">
      <alignment vertical="center"/>
      <protection hidden="1"/>
    </xf>
    <xf numFmtId="183" fontId="31" fillId="13" borderId="69" xfId="8" applyNumberFormat="1" applyFont="1" applyFill="1" applyBorder="1" applyAlignment="1" applyProtection="1">
      <alignment horizontal="center" vertical="center" wrapText="1"/>
      <protection locked="0"/>
    </xf>
    <xf numFmtId="183" fontId="31" fillId="13" borderId="70" xfId="8" applyNumberFormat="1" applyFont="1" applyFill="1" applyBorder="1" applyAlignment="1" applyProtection="1">
      <alignment horizontal="center" vertical="center" wrapText="1"/>
      <protection locked="0"/>
    </xf>
    <xf numFmtId="0" fontId="112" fillId="15" borderId="44" xfId="8" applyFont="1" applyFill="1" applyBorder="1" applyAlignment="1" applyProtection="1">
      <alignment horizontal="center" vertical="center" wrapText="1"/>
      <protection locked="0"/>
    </xf>
    <xf numFmtId="0" fontId="49" fillId="15" borderId="47" xfId="0" applyFont="1" applyFill="1" applyBorder="1" applyAlignment="1" applyProtection="1">
      <alignment horizontal="center" vertical="center" wrapText="1"/>
      <protection locked="0"/>
    </xf>
    <xf numFmtId="0" fontId="49" fillId="15" borderId="42" xfId="0" applyFont="1" applyFill="1" applyBorder="1" applyAlignment="1" applyProtection="1">
      <alignment horizontal="center" vertical="center" wrapText="1"/>
      <protection locked="0"/>
    </xf>
    <xf numFmtId="0" fontId="49" fillId="15" borderId="48" xfId="0" applyFont="1" applyFill="1" applyBorder="1" applyAlignment="1" applyProtection="1">
      <alignment horizontal="center" vertical="center" wrapText="1"/>
      <protection locked="0"/>
    </xf>
    <xf numFmtId="0" fontId="11" fillId="13" borderId="21" xfId="8" applyFont="1" applyFill="1" applyBorder="1" applyAlignment="1" applyProtection="1">
      <alignment horizontal="center" vertical="center" shrinkToFit="1"/>
      <protection locked="0"/>
    </xf>
    <xf numFmtId="49" fontId="11" fillId="13" borderId="20" xfId="8" applyNumberFormat="1" applyFont="1" applyFill="1" applyBorder="1" applyAlignment="1" applyProtection="1">
      <alignment horizontal="center" vertical="center" shrinkToFit="1"/>
      <protection locked="0"/>
    </xf>
    <xf numFmtId="0" fontId="32" fillId="13" borderId="15" xfId="0" applyFont="1" applyFill="1" applyBorder="1" applyAlignment="1" applyProtection="1">
      <alignment vertical="center" shrinkToFit="1"/>
      <protection locked="0"/>
    </xf>
    <xf numFmtId="0" fontId="32" fillId="13" borderId="21" xfId="0" applyFont="1" applyFill="1" applyBorder="1" applyAlignment="1" applyProtection="1">
      <alignment vertical="center" shrinkToFit="1"/>
      <protection locked="0"/>
    </xf>
    <xf numFmtId="183" fontId="31" fillId="13" borderId="20" xfId="8" applyNumberFormat="1" applyFont="1" applyFill="1" applyBorder="1" applyAlignment="1" applyProtection="1">
      <alignment horizontal="center" vertical="center"/>
      <protection locked="0"/>
    </xf>
    <xf numFmtId="0" fontId="0" fillId="13" borderId="15" xfId="0" applyFill="1" applyBorder="1" applyAlignment="1" applyProtection="1">
      <alignment horizontal="center" vertical="center"/>
      <protection locked="0"/>
    </xf>
    <xf numFmtId="0" fontId="0" fillId="13" borderId="21" xfId="0" applyFill="1" applyBorder="1" applyAlignment="1" applyProtection="1">
      <alignment horizontal="center" vertical="center"/>
      <protection locked="0"/>
    </xf>
    <xf numFmtId="49" fontId="11" fillId="13" borderId="15" xfId="8" applyNumberFormat="1" applyFont="1" applyFill="1" applyBorder="1" applyAlignment="1" applyProtection="1">
      <alignment horizontal="center" vertical="center" shrinkToFit="1"/>
      <protection locked="0"/>
    </xf>
    <xf numFmtId="49" fontId="11" fillId="13" borderId="21" xfId="8" applyNumberFormat="1" applyFont="1" applyFill="1" applyBorder="1" applyAlignment="1" applyProtection="1">
      <alignment horizontal="center" vertical="center" shrinkToFit="1"/>
      <protection locked="0"/>
    </xf>
    <xf numFmtId="0" fontId="0" fillId="13" borderId="15" xfId="0" applyFill="1" applyBorder="1" applyAlignment="1" applyProtection="1">
      <alignment vertical="center"/>
      <protection locked="0"/>
    </xf>
    <xf numFmtId="0" fontId="0" fillId="13" borderId="21" xfId="0" applyFill="1" applyBorder="1" applyAlignment="1" applyProtection="1">
      <alignment vertical="center"/>
      <protection locked="0"/>
    </xf>
    <xf numFmtId="0" fontId="0" fillId="13" borderId="15" xfId="0" applyFill="1" applyBorder="1" applyAlignment="1" applyProtection="1">
      <alignment vertical="center" shrinkToFit="1"/>
      <protection locked="0"/>
    </xf>
    <xf numFmtId="0" fontId="0" fillId="13" borderId="21" xfId="0" applyFill="1" applyBorder="1" applyAlignment="1" applyProtection="1">
      <alignment vertical="center" shrinkToFit="1"/>
      <protection locked="0"/>
    </xf>
    <xf numFmtId="0" fontId="0" fillId="13" borderId="15" xfId="0" applyFill="1" applyBorder="1" applyAlignment="1" applyProtection="1">
      <alignment horizontal="center" vertical="center" shrinkToFit="1"/>
      <protection locked="0"/>
    </xf>
    <xf numFmtId="0" fontId="0" fillId="13" borderId="21" xfId="0" applyFill="1" applyBorder="1" applyAlignment="1" applyProtection="1">
      <alignment horizontal="center" vertical="center" shrinkToFit="1"/>
      <protection locked="0"/>
    </xf>
    <xf numFmtId="183" fontId="31" fillId="18" borderId="11" xfId="8" applyNumberFormat="1" applyFont="1" applyFill="1" applyBorder="1" applyAlignment="1" applyProtection="1">
      <alignment horizontal="center" vertical="center"/>
      <protection hidden="1"/>
    </xf>
    <xf numFmtId="183" fontId="31" fillId="18" borderId="0" xfId="8" applyNumberFormat="1" applyFont="1" applyFill="1" applyAlignment="1" applyProtection="1">
      <alignment horizontal="center" vertical="center"/>
      <protection hidden="1"/>
    </xf>
    <xf numFmtId="183" fontId="31" fillId="18" borderId="14" xfId="8" applyNumberFormat="1" applyFont="1" applyFill="1" applyBorder="1" applyAlignment="1" applyProtection="1">
      <alignment horizontal="center" vertical="center"/>
      <protection hidden="1"/>
    </xf>
    <xf numFmtId="183" fontId="31" fillId="18" borderId="45" xfId="8" applyNumberFormat="1" applyFont="1" applyFill="1" applyBorder="1" applyAlignment="1" applyProtection="1">
      <alignment horizontal="center" vertical="center"/>
      <protection hidden="1"/>
    </xf>
    <xf numFmtId="49" fontId="10" fillId="13" borderId="15" xfId="8" applyNumberFormat="1" applyFont="1" applyFill="1" applyBorder="1" applyAlignment="1" applyProtection="1">
      <alignment horizontal="center" vertical="center" shrinkToFit="1"/>
      <protection locked="0"/>
    </xf>
    <xf numFmtId="0" fontId="10" fillId="13" borderId="21" xfId="8" applyFont="1" applyFill="1" applyBorder="1" applyAlignment="1" applyProtection="1">
      <alignment horizontal="center" vertical="center" shrinkToFit="1"/>
      <protection locked="0"/>
    </xf>
    <xf numFmtId="183" fontId="10" fillId="7" borderId="20" xfId="8" applyNumberFormat="1" applyFont="1" applyFill="1" applyBorder="1" applyAlignment="1" applyProtection="1">
      <alignment horizontal="center" vertical="center" shrinkToFit="1"/>
      <protection locked="0"/>
    </xf>
    <xf numFmtId="0" fontId="10" fillId="13" borderId="20" xfId="9" applyFont="1" applyFill="1" applyBorder="1" applyAlignment="1" applyProtection="1">
      <alignment horizontal="center" vertical="center" shrinkToFit="1"/>
      <protection locked="0"/>
    </xf>
    <xf numFmtId="0" fontId="10" fillId="13" borderId="15" xfId="9" applyFont="1" applyFill="1" applyBorder="1" applyAlignment="1" applyProtection="1">
      <alignment horizontal="center" vertical="center" shrinkToFit="1"/>
      <protection locked="0"/>
    </xf>
    <xf numFmtId="0" fontId="10" fillId="13" borderId="21" xfId="9" applyFont="1" applyFill="1" applyBorder="1" applyAlignment="1" applyProtection="1">
      <alignment horizontal="center" vertical="center" shrinkToFit="1"/>
      <protection locked="0"/>
    </xf>
    <xf numFmtId="0" fontId="41" fillId="18" borderId="11" xfId="8" applyFont="1" applyFill="1" applyBorder="1" applyAlignment="1" applyProtection="1">
      <alignment horizontal="center" vertical="center"/>
      <protection hidden="1"/>
    </xf>
    <xf numFmtId="0" fontId="0" fillId="18" borderId="0" xfId="0" applyFill="1" applyAlignment="1" applyProtection="1">
      <alignment vertical="center"/>
      <protection hidden="1"/>
    </xf>
    <xf numFmtId="0" fontId="15" fillId="18" borderId="0" xfId="8" applyFont="1" applyFill="1" applyAlignment="1" applyProtection="1">
      <alignment vertical="center"/>
      <protection hidden="1"/>
    </xf>
    <xf numFmtId="0" fontId="46" fillId="0" borderId="0" xfId="0" applyFont="1" applyAlignment="1" applyProtection="1">
      <alignment vertical="center"/>
      <protection hidden="1"/>
    </xf>
    <xf numFmtId="49" fontId="11" fillId="24" borderId="20" xfId="8" applyNumberFormat="1" applyFont="1" applyFill="1" applyBorder="1" applyAlignment="1" applyProtection="1">
      <alignment horizontal="center" vertical="center"/>
      <protection locked="0"/>
    </xf>
    <xf numFmtId="49" fontId="11" fillId="24" borderId="15" xfId="8" applyNumberFormat="1" applyFont="1" applyFill="1" applyBorder="1" applyAlignment="1" applyProtection="1">
      <alignment horizontal="center" vertical="center"/>
      <protection locked="0"/>
    </xf>
    <xf numFmtId="49" fontId="11" fillId="24" borderId="21" xfId="8" applyNumberFormat="1" applyFont="1" applyFill="1" applyBorder="1" applyAlignment="1" applyProtection="1">
      <alignment horizontal="center" vertical="center"/>
      <protection locked="0"/>
    </xf>
    <xf numFmtId="0" fontId="31" fillId="18" borderId="0" xfId="8" applyFont="1" applyFill="1" applyAlignment="1" applyProtection="1">
      <alignment vertical="center"/>
      <protection hidden="1"/>
    </xf>
    <xf numFmtId="0" fontId="41" fillId="18" borderId="30" xfId="8" applyFont="1" applyFill="1" applyBorder="1" applyAlignment="1" applyProtection="1">
      <alignment horizontal="center" vertical="center"/>
      <protection hidden="1"/>
    </xf>
    <xf numFmtId="0" fontId="0" fillId="18" borderId="28" xfId="0" applyFill="1" applyBorder="1" applyAlignment="1" applyProtection="1">
      <alignment horizontal="center" vertical="center"/>
      <protection hidden="1"/>
    </xf>
    <xf numFmtId="0" fontId="0" fillId="18" borderId="0" xfId="0" applyFill="1" applyAlignment="1" applyProtection="1">
      <alignment horizontal="center" vertical="center"/>
      <protection hidden="1"/>
    </xf>
    <xf numFmtId="0" fontId="14" fillId="18" borderId="0" xfId="8" applyFont="1" applyFill="1" applyAlignment="1" applyProtection="1">
      <alignment vertical="center"/>
      <protection hidden="1"/>
    </xf>
    <xf numFmtId="0" fontId="39" fillId="15" borderId="71" xfId="8" applyFont="1" applyFill="1" applyBorder="1" applyAlignment="1" applyProtection="1">
      <alignment horizontal="center" vertical="center"/>
      <protection locked="0"/>
    </xf>
    <xf numFmtId="0" fontId="49" fillId="15" borderId="72" xfId="0" applyFont="1" applyFill="1" applyBorder="1" applyAlignment="1" applyProtection="1">
      <alignment horizontal="center" vertical="center"/>
      <protection locked="0"/>
    </xf>
    <xf numFmtId="0" fontId="31" fillId="18" borderId="6" xfId="8" applyFont="1" applyFill="1" applyBorder="1" applyAlignment="1" applyProtection="1">
      <alignment horizontal="center" vertical="center"/>
      <protection hidden="1"/>
    </xf>
    <xf numFmtId="0" fontId="0" fillId="18" borderId="6" xfId="0" applyFill="1" applyBorder="1" applyAlignment="1" applyProtection="1">
      <alignment horizontal="center" vertical="center"/>
      <protection hidden="1"/>
    </xf>
    <xf numFmtId="0" fontId="21" fillId="18" borderId="0" xfId="8" applyFont="1" applyFill="1" applyAlignment="1" applyProtection="1">
      <alignment vertical="center"/>
      <protection hidden="1"/>
    </xf>
    <xf numFmtId="49" fontId="10" fillId="18" borderId="0" xfId="8" applyNumberFormat="1" applyFont="1" applyFill="1" applyAlignment="1" applyProtection="1">
      <alignment horizontal="center" vertical="center"/>
      <protection hidden="1"/>
    </xf>
    <xf numFmtId="183" fontId="31" fillId="13" borderId="20" xfId="8" applyNumberFormat="1" applyFont="1" applyFill="1" applyBorder="1" applyAlignment="1" applyProtection="1">
      <alignment horizontal="center" vertical="center" shrinkToFit="1"/>
      <protection locked="0"/>
    </xf>
    <xf numFmtId="183" fontId="31" fillId="13" borderId="15" xfId="8" applyNumberFormat="1" applyFont="1" applyFill="1" applyBorder="1" applyAlignment="1" applyProtection="1">
      <alignment horizontal="center" vertical="center" shrinkToFit="1"/>
      <protection locked="0"/>
    </xf>
    <xf numFmtId="183" fontId="31" fillId="13" borderId="21" xfId="8" applyNumberFormat="1" applyFont="1" applyFill="1" applyBorder="1" applyAlignment="1" applyProtection="1">
      <alignment horizontal="center" vertical="center" shrinkToFit="1"/>
      <protection locked="0"/>
    </xf>
    <xf numFmtId="0" fontId="95" fillId="16" borderId="0" xfId="0" applyFont="1" applyFill="1" applyAlignment="1">
      <alignment horizontal="left" wrapText="1"/>
    </xf>
    <xf numFmtId="195" fontId="45" fillId="16" borderId="0" xfId="0" applyNumberFormat="1" applyFont="1" applyFill="1" applyAlignment="1">
      <alignment horizontal="center" shrinkToFit="1"/>
    </xf>
    <xf numFmtId="0" fontId="96" fillId="16" borderId="0" xfId="0" applyFont="1" applyFill="1" applyAlignment="1">
      <alignment horizontal="center"/>
    </xf>
    <xf numFmtId="0" fontId="104" fillId="16" borderId="0" xfId="0" applyFont="1" applyFill="1" applyAlignment="1">
      <alignment shrinkToFit="1"/>
    </xf>
    <xf numFmtId="49" fontId="95" fillId="16" borderId="0" xfId="0" applyNumberFormat="1" applyFont="1" applyFill="1" applyAlignment="1">
      <alignment horizontal="center" shrinkToFit="1"/>
    </xf>
    <xf numFmtId="0" fontId="95" fillId="16" borderId="0" xfId="0" applyFont="1" applyFill="1" applyAlignment="1">
      <alignment horizontal="left" wrapText="1" shrinkToFit="1"/>
    </xf>
    <xf numFmtId="185" fontId="95" fillId="16" borderId="0" xfId="0" applyNumberFormat="1" applyFont="1" applyFill="1" applyAlignment="1">
      <alignment horizontal="center" shrinkToFit="1"/>
    </xf>
    <xf numFmtId="0" fontId="95" fillId="16" borderId="0" xfId="0" applyFont="1" applyFill="1" applyAlignment="1">
      <alignment horizontal="left" shrinkToFit="1"/>
    </xf>
    <xf numFmtId="1" fontId="96" fillId="16" borderId="0" xfId="0" applyNumberFormat="1" applyFont="1" applyFill="1" applyAlignment="1">
      <alignment horizontal="center"/>
    </xf>
    <xf numFmtId="0" fontId="96" fillId="16" borderId="0" xfId="0" applyFont="1" applyFill="1" applyAlignment="1">
      <alignment horizontal="center" shrinkToFit="1"/>
    </xf>
    <xf numFmtId="0" fontId="45" fillId="23" borderId="0" xfId="0" applyFont="1" applyFill="1" applyAlignment="1">
      <alignment horizontal="center" shrinkToFit="1"/>
    </xf>
    <xf numFmtId="0" fontId="96" fillId="15" borderId="0" xfId="8" applyFont="1" applyFill="1" applyAlignment="1" applyProtection="1">
      <alignment horizontal="left" vertical="center"/>
      <protection hidden="1"/>
    </xf>
    <xf numFmtId="0" fontId="77" fillId="0" borderId="0" xfId="5" applyFont="1" applyAlignment="1" applyProtection="1">
      <alignment horizontal="center"/>
      <protection hidden="1"/>
    </xf>
    <xf numFmtId="0" fontId="50" fillId="0" borderId="0" xfId="5" applyFont="1" applyAlignment="1" applyProtection="1">
      <alignment horizontal="center"/>
      <protection hidden="1"/>
    </xf>
    <xf numFmtId="1" fontId="45" fillId="0" borderId="0" xfId="9" applyNumberFormat="1" applyFont="1" applyAlignment="1" applyProtection="1">
      <alignment horizontal="center" vertical="center"/>
      <protection hidden="1"/>
    </xf>
    <xf numFmtId="1" fontId="98" fillId="0" borderId="0" xfId="9" applyNumberFormat="1" applyFont="1" applyAlignment="1" applyProtection="1">
      <alignment horizontal="center" vertical="center"/>
      <protection hidden="1"/>
    </xf>
    <xf numFmtId="0" fontId="45" fillId="0" borderId="0" xfId="8" applyFont="1" applyAlignment="1" applyProtection="1">
      <alignment horizontal="center" vertical="center"/>
      <protection hidden="1"/>
    </xf>
    <xf numFmtId="1" fontId="45" fillId="0" borderId="0" xfId="8" applyNumberFormat="1" applyFont="1" applyAlignment="1" applyProtection="1">
      <alignment horizontal="center" vertical="center"/>
      <protection hidden="1"/>
    </xf>
    <xf numFmtId="1" fontId="96" fillId="0" borderId="0" xfId="8" applyNumberFormat="1" applyFont="1" applyAlignment="1" applyProtection="1">
      <alignment horizontal="center" vertical="center"/>
      <protection hidden="1"/>
    </xf>
    <xf numFmtId="170" fontId="104" fillId="0" borderId="17" xfId="8" applyNumberFormat="1" applyFont="1" applyBorder="1" applyAlignment="1" applyProtection="1">
      <alignment horizontal="left" vertical="center" shrinkToFit="1"/>
      <protection hidden="1"/>
    </xf>
    <xf numFmtId="14" fontId="104" fillId="0" borderId="74" xfId="8" applyNumberFormat="1" applyFont="1" applyBorder="1" applyAlignment="1" applyProtection="1">
      <alignment horizontal="center" vertical="center"/>
      <protection hidden="1"/>
    </xf>
    <xf numFmtId="0" fontId="104" fillId="0" borderId="75" xfId="8" applyFont="1" applyBorder="1" applyAlignment="1" applyProtection="1">
      <alignment horizontal="center" vertical="center"/>
      <protection hidden="1"/>
    </xf>
    <xf numFmtId="3" fontId="45" fillId="0" borderId="0" xfId="9" applyNumberFormat="1" applyFont="1" applyAlignment="1" applyProtection="1">
      <alignment horizontal="center" vertical="center"/>
      <protection hidden="1"/>
    </xf>
    <xf numFmtId="0" fontId="45" fillId="0" borderId="0" xfId="9" applyFont="1" applyAlignment="1" applyProtection="1">
      <alignment horizontal="center" vertical="center"/>
      <protection hidden="1"/>
    </xf>
    <xf numFmtId="0" fontId="96" fillId="0" borderId="0" xfId="8" applyFont="1" applyAlignment="1" applyProtection="1">
      <alignment vertical="center"/>
      <protection hidden="1"/>
    </xf>
    <xf numFmtId="4" fontId="50" fillId="0" borderId="0" xfId="5" applyNumberFormat="1" applyFont="1" applyAlignment="1" applyProtection="1">
      <alignment horizontal="center"/>
      <protection hidden="1"/>
    </xf>
    <xf numFmtId="0" fontId="45" fillId="0" borderId="0" xfId="8" applyFont="1" applyAlignment="1" applyProtection="1">
      <alignment horizontal="center"/>
      <protection hidden="1"/>
    </xf>
    <xf numFmtId="170" fontId="45" fillId="0" borderId="0" xfId="8" applyNumberFormat="1" applyFont="1" applyAlignment="1" applyProtection="1">
      <alignment horizontal="left" vertical="center"/>
      <protection hidden="1"/>
    </xf>
    <xf numFmtId="0" fontId="104" fillId="0" borderId="40" xfId="8" applyFont="1" applyBorder="1" applyAlignment="1" applyProtection="1">
      <alignment horizontal="center" vertical="center"/>
      <protection hidden="1"/>
    </xf>
    <xf numFmtId="0" fontId="104" fillId="0" borderId="74" xfId="8" applyFont="1" applyBorder="1" applyAlignment="1" applyProtection="1">
      <alignment horizontal="center" vertical="center"/>
      <protection hidden="1"/>
    </xf>
    <xf numFmtId="0" fontId="45" fillId="0" borderId="76" xfId="8" applyFont="1" applyBorder="1" applyAlignment="1" applyProtection="1">
      <alignment horizontal="center" vertical="center"/>
      <protection hidden="1"/>
    </xf>
    <xf numFmtId="0" fontId="45" fillId="0" borderId="9" xfId="8" applyFont="1" applyBorder="1" applyAlignment="1" applyProtection="1">
      <alignment horizontal="center" vertical="center"/>
      <protection hidden="1"/>
    </xf>
    <xf numFmtId="0" fontId="45" fillId="0" borderId="0" xfId="0" applyFont="1" applyAlignment="1" applyProtection="1">
      <alignment horizontal="center"/>
      <protection hidden="1"/>
    </xf>
    <xf numFmtId="49" fontId="45" fillId="0" borderId="9" xfId="8" applyNumberFormat="1" applyFont="1" applyBorder="1" applyAlignment="1" applyProtection="1">
      <alignment horizontal="center" vertical="center"/>
      <protection hidden="1"/>
    </xf>
    <xf numFmtId="0" fontId="45" fillId="0" borderId="73" xfId="8" applyFont="1" applyBorder="1" applyAlignment="1" applyProtection="1">
      <alignment horizontal="center" vertical="center"/>
      <protection hidden="1"/>
    </xf>
    <xf numFmtId="0" fontId="96" fillId="0" borderId="30" xfId="8" applyFont="1" applyBorder="1" applyAlignment="1" applyProtection="1">
      <alignment horizontal="center" vertical="center"/>
      <protection hidden="1"/>
    </xf>
    <xf numFmtId="0" fontId="96" fillId="0" borderId="31" xfId="8" applyFont="1" applyBorder="1" applyAlignment="1" applyProtection="1">
      <alignment horizontal="center" vertical="center"/>
      <protection hidden="1"/>
    </xf>
    <xf numFmtId="0" fontId="96" fillId="0" borderId="11" xfId="8" applyFont="1" applyBorder="1" applyAlignment="1" applyProtection="1">
      <alignment horizontal="center" vertical="center"/>
      <protection hidden="1"/>
    </xf>
    <xf numFmtId="0" fontId="96" fillId="0" borderId="14" xfId="8" applyFont="1" applyBorder="1" applyAlignment="1" applyProtection="1">
      <alignment horizontal="center" vertical="center"/>
      <protection hidden="1"/>
    </xf>
    <xf numFmtId="193" fontId="45" fillId="0" borderId="0" xfId="8" applyNumberFormat="1" applyFont="1" applyAlignment="1" applyProtection="1">
      <alignment horizontal="center" vertical="center" shrinkToFit="1"/>
      <protection hidden="1"/>
    </xf>
    <xf numFmtId="14" fontId="45" fillId="0" borderId="0" xfId="9" applyNumberFormat="1" applyFont="1" applyAlignment="1" applyProtection="1">
      <alignment horizontal="center" vertical="center"/>
      <protection hidden="1"/>
    </xf>
    <xf numFmtId="14" fontId="97" fillId="0" borderId="0" xfId="8" applyNumberFormat="1" applyFont="1" applyAlignment="1" applyProtection="1">
      <alignment horizontal="center" vertical="center"/>
      <protection hidden="1"/>
    </xf>
    <xf numFmtId="0" fontId="97" fillId="0" borderId="0" xfId="8" applyFont="1" applyAlignment="1" applyProtection="1">
      <alignment horizontal="center" vertical="center"/>
      <protection hidden="1"/>
    </xf>
    <xf numFmtId="49" fontId="96" fillId="0" borderId="0" xfId="8" applyNumberFormat="1" applyFont="1" applyAlignment="1" applyProtection="1">
      <alignment horizontal="center" vertical="center"/>
      <protection hidden="1"/>
    </xf>
    <xf numFmtId="0" fontId="45" fillId="0" borderId="0" xfId="8" applyFont="1" applyAlignment="1" applyProtection="1">
      <alignment horizontal="center" vertical="center" shrinkToFit="1"/>
      <protection hidden="1"/>
    </xf>
    <xf numFmtId="14" fontId="96" fillId="0" borderId="0" xfId="9" applyNumberFormat="1" applyFont="1" applyAlignment="1" applyProtection="1">
      <alignment horizontal="center" vertical="center"/>
      <protection hidden="1"/>
    </xf>
    <xf numFmtId="0" fontId="10" fillId="0" borderId="0" xfId="0" applyFont="1" applyAlignment="1" applyProtection="1">
      <alignment horizontal="center" shrinkToFit="1"/>
      <protection locked="0"/>
    </xf>
    <xf numFmtId="1" fontId="10" fillId="0" borderId="0" xfId="0" applyNumberFormat="1" applyFont="1" applyAlignment="1" applyProtection="1">
      <alignment horizontal="center" shrinkToFit="1"/>
      <protection locked="0"/>
    </xf>
    <xf numFmtId="0" fontId="10" fillId="0" borderId="0" xfId="0" applyFont="1" applyAlignment="1" applyProtection="1">
      <alignment horizontal="center"/>
      <protection locked="0"/>
    </xf>
    <xf numFmtId="0" fontId="88" fillId="0" borderId="0" xfId="0" applyFont="1" applyAlignment="1" applyProtection="1">
      <alignment horizontal="right"/>
      <protection locked="0"/>
    </xf>
    <xf numFmtId="186" fontId="89" fillId="0" borderId="0" xfId="0" applyNumberFormat="1" applyFont="1" applyAlignment="1" applyProtection="1">
      <alignment horizontal="center"/>
      <protection locked="0"/>
    </xf>
    <xf numFmtId="0" fontId="89" fillId="0" borderId="0" xfId="0" applyFont="1" applyAlignment="1" applyProtection="1">
      <alignment horizontal="center" shrinkToFit="1"/>
      <protection locked="0"/>
    </xf>
    <xf numFmtId="0" fontId="87" fillId="0" borderId="0" xfId="0" applyFont="1" applyAlignment="1" applyProtection="1">
      <alignment horizontal="center"/>
      <protection locked="0"/>
    </xf>
    <xf numFmtId="186" fontId="90" fillId="0" borderId="0" xfId="0" applyNumberFormat="1" applyFont="1" applyAlignment="1" applyProtection="1">
      <alignment horizontal="center"/>
      <protection locked="0"/>
    </xf>
    <xf numFmtId="49" fontId="87" fillId="0" borderId="0" xfId="0" applyNumberFormat="1" applyFont="1" applyAlignment="1" applyProtection="1">
      <alignment horizontal="center"/>
      <protection locked="0"/>
    </xf>
    <xf numFmtId="0" fontId="87" fillId="0" borderId="0" xfId="0" applyFont="1" applyAlignment="1" applyProtection="1">
      <alignment horizontal="left" shrinkToFit="1"/>
      <protection locked="0"/>
    </xf>
    <xf numFmtId="0" fontId="87" fillId="0" borderId="36" xfId="0" applyFont="1" applyBorder="1" applyAlignment="1" applyProtection="1">
      <alignment horizontal="left" shrinkToFit="1"/>
      <protection locked="0"/>
    </xf>
    <xf numFmtId="0" fontId="88" fillId="0" borderId="0" xfId="0" applyFont="1" applyAlignment="1" applyProtection="1">
      <alignment horizontal="center"/>
      <protection locked="0"/>
    </xf>
    <xf numFmtId="0" fontId="24" fillId="0" borderId="33" xfId="0" applyFont="1" applyBorder="1" applyAlignment="1" applyProtection="1">
      <alignment horizontal="center" vertical="top"/>
      <protection locked="0"/>
    </xf>
    <xf numFmtId="0" fontId="45" fillId="0" borderId="3" xfId="0" applyFont="1" applyBorder="1" applyAlignment="1" applyProtection="1">
      <alignment horizontal="center" vertical="center" wrapText="1"/>
      <protection locked="0"/>
    </xf>
    <xf numFmtId="0" fontId="45" fillId="0" borderId="13" xfId="0" applyFont="1" applyBorder="1" applyAlignment="1" applyProtection="1">
      <alignment horizontal="center" vertical="center" wrapText="1"/>
      <protection locked="0"/>
    </xf>
    <xf numFmtId="0" fontId="45" fillId="0" borderId="35" xfId="0" applyFont="1" applyBorder="1" applyAlignment="1" applyProtection="1">
      <alignment horizontal="center" vertical="center" wrapText="1"/>
      <protection locked="0"/>
    </xf>
    <xf numFmtId="0" fontId="45" fillId="0" borderId="2" xfId="0" applyFont="1" applyBorder="1" applyAlignment="1" applyProtection="1">
      <alignment horizontal="left" vertical="center" wrapText="1"/>
      <protection locked="0"/>
    </xf>
    <xf numFmtId="0" fontId="45" fillId="0" borderId="37" xfId="0" applyFont="1" applyBorder="1" applyAlignment="1" applyProtection="1">
      <alignment horizontal="center" vertical="center" wrapText="1"/>
      <protection locked="0"/>
    </xf>
    <xf numFmtId="0" fontId="45" fillId="0" borderId="23" xfId="0" applyFont="1" applyBorder="1" applyAlignment="1" applyProtection="1">
      <alignment horizontal="center" vertical="center" wrapText="1"/>
      <protection locked="0"/>
    </xf>
    <xf numFmtId="0" fontId="96" fillId="0" borderId="46" xfId="0" applyFont="1" applyBorder="1" applyAlignment="1" applyProtection="1">
      <alignment horizontal="center"/>
      <protection locked="0"/>
    </xf>
    <xf numFmtId="0" fontId="96" fillId="0" borderId="37" xfId="0" applyFont="1" applyBorder="1" applyAlignment="1" applyProtection="1">
      <alignment horizontal="center"/>
      <protection locked="0"/>
    </xf>
    <xf numFmtId="0" fontId="96" fillId="0" borderId="23" xfId="0" applyFont="1" applyBorder="1" applyAlignment="1" applyProtection="1">
      <alignment horizontal="center"/>
      <protection locked="0"/>
    </xf>
    <xf numFmtId="14" fontId="96" fillId="0" borderId="46" xfId="0" applyNumberFormat="1" applyFont="1" applyBorder="1" applyAlignment="1" applyProtection="1">
      <alignment horizontal="left"/>
      <protection locked="0"/>
    </xf>
    <xf numFmtId="14" fontId="96" fillId="0" borderId="37" xfId="0" applyNumberFormat="1" applyFont="1" applyBorder="1" applyAlignment="1" applyProtection="1">
      <alignment horizontal="left"/>
      <protection locked="0"/>
    </xf>
    <xf numFmtId="14" fontId="96" fillId="0" borderId="23" xfId="0" applyNumberFormat="1" applyFont="1" applyBorder="1" applyAlignment="1" applyProtection="1">
      <alignment horizontal="left"/>
      <protection locked="0"/>
    </xf>
    <xf numFmtId="0" fontId="45" fillId="0" borderId="46" xfId="0" applyFont="1" applyBorder="1" applyAlignment="1" applyProtection="1">
      <alignment horizontal="left" vertical="center" wrapText="1"/>
      <protection locked="0"/>
    </xf>
    <xf numFmtId="0" fontId="45" fillId="0" borderId="37" xfId="0" applyFont="1" applyBorder="1" applyAlignment="1" applyProtection="1">
      <alignment horizontal="left" vertical="center" wrapText="1"/>
      <protection locked="0"/>
    </xf>
    <xf numFmtId="0" fontId="45" fillId="0" borderId="23" xfId="0" applyFont="1" applyBorder="1" applyAlignment="1" applyProtection="1">
      <alignment horizontal="left" vertical="center" wrapText="1"/>
      <protection locked="0"/>
    </xf>
    <xf numFmtId="0" fontId="45" fillId="0" borderId="44" xfId="0" applyFont="1" applyBorder="1" applyAlignment="1" applyProtection="1">
      <alignment horizontal="left" vertical="center" wrapText="1"/>
      <protection locked="0"/>
    </xf>
    <xf numFmtId="0" fontId="45" fillId="0" borderId="33" xfId="0" applyFont="1" applyBorder="1" applyAlignment="1" applyProtection="1">
      <alignment horizontal="left" vertical="center" wrapText="1"/>
      <protection locked="0"/>
    </xf>
    <xf numFmtId="0" fontId="45" fillId="0" borderId="34" xfId="0" applyFont="1" applyBorder="1" applyAlignment="1" applyProtection="1">
      <alignment horizontal="left" vertical="center" wrapText="1"/>
      <protection locked="0"/>
    </xf>
    <xf numFmtId="0" fontId="45" fillId="0" borderId="3" xfId="0" applyFont="1" applyBorder="1" applyAlignment="1" applyProtection="1">
      <alignment horizontal="left" vertical="center" wrapText="1"/>
      <protection locked="0"/>
    </xf>
    <xf numFmtId="0" fontId="45" fillId="0" borderId="13" xfId="0" applyFont="1" applyBorder="1" applyAlignment="1" applyProtection="1">
      <alignment horizontal="left" vertical="center" wrapText="1"/>
      <protection locked="0"/>
    </xf>
    <xf numFmtId="0" fontId="45" fillId="0" borderId="45" xfId="0" applyFont="1" applyBorder="1" applyAlignment="1" applyProtection="1">
      <alignment horizontal="left" vertical="center" wrapText="1"/>
      <protection locked="0"/>
    </xf>
    <xf numFmtId="0" fontId="45" fillId="0" borderId="42" xfId="0" applyFont="1" applyBorder="1" applyAlignment="1" applyProtection="1">
      <alignment horizontal="left" vertical="center" wrapText="1"/>
      <protection locked="0"/>
    </xf>
    <xf numFmtId="0" fontId="45" fillId="0" borderId="17" xfId="0" applyFont="1" applyBorder="1" applyAlignment="1" applyProtection="1">
      <alignment horizontal="left" vertical="center" wrapText="1"/>
      <protection locked="0"/>
    </xf>
    <xf numFmtId="0" fontId="45" fillId="0" borderId="18" xfId="0" applyFont="1" applyBorder="1" applyAlignment="1" applyProtection="1">
      <alignment horizontal="left" vertical="center" wrapText="1"/>
      <protection locked="0"/>
    </xf>
    <xf numFmtId="0" fontId="45" fillId="0" borderId="0" xfId="0" applyFont="1" applyAlignment="1" applyProtection="1">
      <alignment horizontal="left" vertical="center" wrapText="1"/>
      <protection locked="0"/>
    </xf>
    <xf numFmtId="0" fontId="45" fillId="0" borderId="36" xfId="0" applyFont="1" applyBorder="1" applyAlignment="1" applyProtection="1">
      <alignment horizontal="left" vertical="center" wrapText="1"/>
      <protection locked="0"/>
    </xf>
    <xf numFmtId="0" fontId="96" fillId="0" borderId="46" xfId="0" applyFont="1" applyBorder="1" applyAlignment="1" applyProtection="1">
      <alignment horizontal="left" vertical="center" wrapText="1"/>
      <protection locked="0"/>
    </xf>
    <xf numFmtId="0" fontId="96" fillId="0" borderId="37" xfId="0" applyFont="1" applyBorder="1" applyAlignment="1" applyProtection="1">
      <alignment horizontal="left" vertical="center" wrapText="1"/>
      <protection locked="0"/>
    </xf>
    <xf numFmtId="0" fontId="96" fillId="0" borderId="23" xfId="0" applyFont="1" applyBorder="1" applyAlignment="1" applyProtection="1">
      <alignment horizontal="left" vertical="center" wrapText="1"/>
      <protection locked="0"/>
    </xf>
    <xf numFmtId="0" fontId="45" fillId="0" borderId="2" xfId="0" applyFont="1" applyBorder="1" applyAlignment="1" applyProtection="1">
      <alignment horizontal="center" vertical="center" wrapText="1"/>
      <protection locked="0"/>
    </xf>
    <xf numFmtId="0" fontId="45" fillId="0" borderId="35" xfId="0" applyFont="1" applyBorder="1" applyAlignment="1" applyProtection="1">
      <alignment horizontal="left" vertical="center" wrapText="1"/>
      <protection locked="0"/>
    </xf>
    <xf numFmtId="0" fontId="45" fillId="0" borderId="42" xfId="0" applyFont="1" applyBorder="1" applyAlignment="1" applyProtection="1">
      <alignment horizontal="center" vertical="center" wrapText="1"/>
      <protection locked="0"/>
    </xf>
    <xf numFmtId="0" fontId="45" fillId="0" borderId="17" xfId="0" applyFont="1" applyBorder="1" applyAlignment="1" applyProtection="1">
      <alignment horizontal="center" vertical="center" wrapText="1"/>
      <protection locked="0"/>
    </xf>
    <xf numFmtId="0" fontId="45" fillId="0" borderId="18" xfId="0" applyFont="1" applyBorder="1" applyAlignment="1" applyProtection="1">
      <alignment horizontal="center" vertical="center" wrapText="1"/>
      <protection locked="0"/>
    </xf>
    <xf numFmtId="0" fontId="96" fillId="0" borderId="44" xfId="0" applyFont="1" applyBorder="1" applyAlignment="1" applyProtection="1">
      <alignment horizontal="left" vertical="center" wrapText="1"/>
      <protection locked="0"/>
    </xf>
    <xf numFmtId="0" fontId="96" fillId="0" borderId="33" xfId="0" applyFont="1" applyBorder="1" applyAlignment="1" applyProtection="1">
      <alignment horizontal="left" vertical="center" wrapText="1"/>
      <protection locked="0"/>
    </xf>
    <xf numFmtId="0" fontId="96" fillId="0" borderId="34" xfId="0" applyFont="1" applyBorder="1" applyAlignment="1" applyProtection="1">
      <alignment horizontal="left" vertical="center" wrapText="1"/>
      <protection locked="0"/>
    </xf>
    <xf numFmtId="0" fontId="45" fillId="0" borderId="46" xfId="0" applyFont="1" applyBorder="1" applyAlignment="1" applyProtection="1">
      <alignment horizontal="center" vertical="center" wrapText="1"/>
      <protection locked="0"/>
    </xf>
    <xf numFmtId="0" fontId="104" fillId="0" borderId="46" xfId="0" applyFont="1" applyBorder="1" applyAlignment="1" applyProtection="1">
      <alignment horizontal="center" vertical="center" wrapText="1"/>
      <protection locked="0"/>
    </xf>
    <xf numFmtId="0" fontId="104" fillId="0" borderId="37" xfId="0" applyFont="1" applyBorder="1" applyAlignment="1" applyProtection="1">
      <alignment horizontal="center" vertical="center" wrapText="1"/>
      <protection locked="0"/>
    </xf>
    <xf numFmtId="0" fontId="104" fillId="0" borderId="23" xfId="0" applyFont="1" applyBorder="1" applyAlignment="1" applyProtection="1">
      <alignment horizontal="center" vertical="center" wrapText="1"/>
      <protection locked="0"/>
    </xf>
    <xf numFmtId="0" fontId="45" fillId="0" borderId="45" xfId="0" applyFont="1" applyBorder="1" applyAlignment="1" applyProtection="1">
      <alignment horizontal="center" vertical="center" wrapText="1"/>
      <protection locked="0"/>
    </xf>
    <xf numFmtId="0" fontId="45" fillId="0" borderId="0" xfId="0" applyFont="1" applyAlignment="1" applyProtection="1">
      <alignment horizontal="center" vertical="center" wrapText="1"/>
      <protection locked="0"/>
    </xf>
    <xf numFmtId="0" fontId="45" fillId="0" borderId="36" xfId="0" applyFont="1" applyBorder="1" applyAlignment="1" applyProtection="1">
      <alignment horizontal="center" vertical="center" wrapText="1"/>
      <protection locked="0"/>
    </xf>
    <xf numFmtId="196" fontId="45" fillId="0" borderId="0" xfId="0" applyNumberFormat="1" applyFont="1" applyAlignment="1" applyProtection="1">
      <alignment horizontal="left" vertical="center" wrapText="1"/>
      <protection locked="0"/>
    </xf>
    <xf numFmtId="0" fontId="45" fillId="0" borderId="44" xfId="0" applyFont="1" applyBorder="1" applyAlignment="1" applyProtection="1">
      <alignment horizontal="center" vertical="center" wrapText="1"/>
      <protection locked="0"/>
    </xf>
    <xf numFmtId="0" fontId="45" fillId="0" borderId="33" xfId="0" applyFont="1" applyBorder="1" applyAlignment="1" applyProtection="1">
      <alignment horizontal="center" vertical="center" wrapText="1"/>
      <protection locked="0"/>
    </xf>
    <xf numFmtId="10" fontId="45" fillId="0" borderId="33" xfId="0" applyNumberFormat="1" applyFont="1" applyBorder="1" applyAlignment="1" applyProtection="1">
      <alignment horizontal="center" vertical="center" wrapText="1"/>
      <protection locked="0"/>
    </xf>
    <xf numFmtId="10" fontId="45" fillId="0" borderId="0" xfId="0" applyNumberFormat="1" applyFont="1" applyAlignment="1" applyProtection="1">
      <alignment horizontal="center" vertical="center" wrapText="1"/>
      <protection locked="0"/>
    </xf>
    <xf numFmtId="0" fontId="45" fillId="0" borderId="34" xfId="0" applyFont="1" applyBorder="1" applyAlignment="1" applyProtection="1">
      <alignment horizontal="center" vertical="center" wrapText="1"/>
      <protection locked="0"/>
    </xf>
    <xf numFmtId="0" fontId="96" fillId="0" borderId="42" xfId="0" applyFont="1" applyBorder="1" applyAlignment="1" applyProtection="1">
      <alignment horizontal="left" vertical="center" wrapText="1"/>
      <protection locked="0"/>
    </xf>
    <xf numFmtId="0" fontId="96" fillId="0" borderId="17" xfId="0" applyFont="1" applyBorder="1" applyAlignment="1" applyProtection="1">
      <alignment horizontal="left" vertical="center" wrapText="1"/>
      <protection locked="0"/>
    </xf>
    <xf numFmtId="0" fontId="96" fillId="0" borderId="18" xfId="0" applyFont="1" applyBorder="1" applyAlignment="1" applyProtection="1">
      <alignment horizontal="left" vertical="center" wrapText="1"/>
      <protection locked="0"/>
    </xf>
    <xf numFmtId="0" fontId="45" fillId="0" borderId="44" xfId="0" applyFont="1" applyBorder="1" applyAlignment="1" applyProtection="1">
      <alignment horizontal="left" vertical="center" wrapText="1" shrinkToFit="1"/>
      <protection locked="0"/>
    </xf>
    <xf numFmtId="0" fontId="45" fillId="0" borderId="33" xfId="0" applyFont="1" applyBorder="1" applyAlignment="1" applyProtection="1">
      <alignment horizontal="left" vertical="center" wrapText="1" shrinkToFit="1"/>
      <protection locked="0"/>
    </xf>
    <xf numFmtId="0" fontId="45" fillId="0" borderId="34" xfId="0" applyFont="1" applyBorder="1" applyAlignment="1" applyProtection="1">
      <alignment horizontal="left" vertical="center" wrapText="1" shrinkToFit="1"/>
      <protection locked="0"/>
    </xf>
    <xf numFmtId="0" fontId="45" fillId="0" borderId="42" xfId="0" applyFont="1" applyBorder="1" applyAlignment="1" applyProtection="1">
      <alignment horizontal="left" vertical="center" wrapText="1" shrinkToFit="1"/>
      <protection locked="0"/>
    </xf>
    <xf numFmtId="0" fontId="45" fillId="0" borderId="17" xfId="0" applyFont="1" applyBorder="1" applyAlignment="1" applyProtection="1">
      <alignment horizontal="left" vertical="center" wrapText="1" shrinkToFit="1"/>
      <protection locked="0"/>
    </xf>
    <xf numFmtId="0" fontId="45" fillId="0" borderId="18" xfId="0" applyFont="1" applyBorder="1" applyAlignment="1" applyProtection="1">
      <alignment horizontal="left" vertical="center" wrapText="1" shrinkToFit="1"/>
      <protection locked="0"/>
    </xf>
    <xf numFmtId="0" fontId="96" fillId="0" borderId="45" xfId="0" applyFont="1" applyBorder="1" applyAlignment="1" applyProtection="1">
      <alignment horizontal="left" vertical="top" wrapText="1"/>
      <protection locked="0"/>
    </xf>
    <xf numFmtId="0" fontId="96" fillId="0" borderId="0" xfId="0" applyFont="1" applyAlignment="1" applyProtection="1">
      <alignment horizontal="left" vertical="top" wrapText="1"/>
      <protection locked="0"/>
    </xf>
    <xf numFmtId="0" fontId="96" fillId="0" borderId="36" xfId="0" applyFont="1" applyBorder="1" applyAlignment="1" applyProtection="1">
      <alignment horizontal="left" vertical="top" wrapText="1"/>
      <protection locked="0"/>
    </xf>
    <xf numFmtId="0" fontId="96" fillId="0" borderId="42" xfId="0" applyFont="1" applyBorder="1" applyAlignment="1" applyProtection="1">
      <alignment horizontal="left" vertical="top" wrapText="1"/>
      <protection locked="0"/>
    </xf>
    <xf numFmtId="0" fontId="96" fillId="0" borderId="17" xfId="0" applyFont="1" applyBorder="1" applyAlignment="1" applyProtection="1">
      <alignment horizontal="left" vertical="top" wrapText="1"/>
      <protection locked="0"/>
    </xf>
    <xf numFmtId="0" fontId="96" fillId="0" borderId="18" xfId="0" applyFont="1" applyBorder="1" applyAlignment="1" applyProtection="1">
      <alignment horizontal="left" vertical="top" wrapText="1"/>
      <protection locked="0"/>
    </xf>
    <xf numFmtId="0" fontId="45" fillId="0" borderId="33" xfId="0" applyFont="1" applyBorder="1" applyAlignment="1" applyProtection="1">
      <alignment horizontal="left" vertical="center" shrinkToFit="1"/>
      <protection locked="0"/>
    </xf>
    <xf numFmtId="0" fontId="45" fillId="0" borderId="34" xfId="0" applyFont="1" applyBorder="1" applyAlignment="1" applyProtection="1">
      <alignment horizontal="left" vertical="center" shrinkToFit="1"/>
      <protection locked="0"/>
    </xf>
    <xf numFmtId="0" fontId="96" fillId="0" borderId="45" xfId="0" applyFont="1" applyBorder="1" applyAlignment="1" applyProtection="1">
      <alignment horizontal="left" vertical="center" wrapText="1"/>
      <protection locked="0"/>
    </xf>
    <xf numFmtId="0" fontId="96" fillId="0" borderId="0" xfId="0" applyFont="1" applyAlignment="1" applyProtection="1">
      <alignment horizontal="left" vertical="center" wrapText="1"/>
      <protection locked="0"/>
    </xf>
    <xf numFmtId="0" fontId="96" fillId="0" borderId="36" xfId="0" applyFont="1" applyBorder="1" applyAlignment="1" applyProtection="1">
      <alignment horizontal="left" vertical="center" wrapText="1"/>
      <protection locked="0"/>
    </xf>
    <xf numFmtId="0" fontId="104" fillId="0" borderId="44" xfId="0" applyFont="1" applyBorder="1" applyAlignment="1" applyProtection="1">
      <alignment horizontal="center" vertical="center"/>
      <protection hidden="1"/>
    </xf>
    <xf numFmtId="0" fontId="104" fillId="0" borderId="33" xfId="0" applyFont="1" applyBorder="1" applyAlignment="1" applyProtection="1">
      <alignment horizontal="center" vertical="center"/>
      <protection hidden="1"/>
    </xf>
    <xf numFmtId="0" fontId="104" fillId="0" borderId="34" xfId="0" applyFont="1" applyBorder="1" applyAlignment="1" applyProtection="1">
      <alignment horizontal="center" vertical="center"/>
      <protection hidden="1"/>
    </xf>
    <xf numFmtId="0" fontId="104" fillId="0" borderId="45" xfId="0" applyFont="1" applyBorder="1" applyAlignment="1" applyProtection="1">
      <alignment horizontal="center" vertical="center"/>
      <protection hidden="1"/>
    </xf>
    <xf numFmtId="0" fontId="104" fillId="0" borderId="0" xfId="0" applyFont="1" applyAlignment="1" applyProtection="1">
      <alignment horizontal="center" vertical="center"/>
      <protection hidden="1"/>
    </xf>
    <xf numFmtId="0" fontId="104" fillId="0" borderId="36" xfId="0" applyFont="1" applyBorder="1" applyAlignment="1" applyProtection="1">
      <alignment horizontal="center" vertical="center"/>
      <protection hidden="1"/>
    </xf>
    <xf numFmtId="0" fontId="104" fillId="0" borderId="42" xfId="0" applyFont="1" applyBorder="1" applyAlignment="1" applyProtection="1">
      <alignment horizontal="center" vertical="center"/>
      <protection hidden="1"/>
    </xf>
    <xf numFmtId="0" fontId="104" fillId="0" borderId="17" xfId="0" applyFont="1" applyBorder="1" applyAlignment="1" applyProtection="1">
      <alignment horizontal="center" vertical="center"/>
      <protection hidden="1"/>
    </xf>
    <xf numFmtId="0" fontId="104" fillId="0" borderId="18" xfId="0" applyFont="1" applyBorder="1" applyAlignment="1" applyProtection="1">
      <alignment horizontal="center" vertical="center"/>
      <protection hidden="1"/>
    </xf>
    <xf numFmtId="196" fontId="45" fillId="0" borderId="46" xfId="0" applyNumberFormat="1" applyFont="1" applyBorder="1" applyAlignment="1" applyProtection="1">
      <alignment horizontal="center" vertical="center" wrapText="1"/>
      <protection locked="0"/>
    </xf>
    <xf numFmtId="196" fontId="45" fillId="0" borderId="37" xfId="0" applyNumberFormat="1" applyFont="1" applyBorder="1" applyAlignment="1" applyProtection="1">
      <alignment horizontal="center" vertical="center" wrapText="1"/>
      <protection locked="0"/>
    </xf>
    <xf numFmtId="196" fontId="45" fillId="0" borderId="23" xfId="0" applyNumberFormat="1" applyFont="1" applyBorder="1" applyAlignment="1" applyProtection="1">
      <alignment horizontal="center" vertical="center" wrapText="1"/>
      <protection locked="0"/>
    </xf>
    <xf numFmtId="0" fontId="96" fillId="0" borderId="44" xfId="0" applyFont="1" applyBorder="1" applyAlignment="1" applyProtection="1">
      <alignment horizontal="center" vertical="center" wrapText="1"/>
      <protection locked="0"/>
    </xf>
    <xf numFmtId="0" fontId="96" fillId="0" borderId="42" xfId="0" applyFont="1" applyBorder="1" applyAlignment="1" applyProtection="1">
      <alignment horizontal="center" vertical="center" wrapText="1"/>
      <protection locked="0"/>
    </xf>
    <xf numFmtId="14" fontId="45" fillId="0" borderId="33" xfId="0" applyNumberFormat="1" applyFont="1" applyBorder="1" applyAlignment="1" applyProtection="1">
      <alignment horizontal="center" vertical="center" wrapText="1"/>
      <protection locked="0"/>
    </xf>
    <xf numFmtId="14" fontId="45" fillId="0" borderId="17" xfId="0" applyNumberFormat="1" applyFont="1" applyBorder="1" applyAlignment="1" applyProtection="1">
      <alignment horizontal="center" vertical="center" wrapText="1"/>
      <protection locked="0"/>
    </xf>
    <xf numFmtId="49" fontId="98" fillId="23" borderId="37" xfId="0" applyNumberFormat="1" applyFont="1" applyFill="1" applyBorder="1" applyAlignment="1">
      <alignment horizontal="left"/>
    </xf>
    <xf numFmtId="49" fontId="98" fillId="23" borderId="37" xfId="0" applyNumberFormat="1" applyFont="1" applyFill="1" applyBorder="1" applyAlignment="1">
      <alignment horizontal="center"/>
    </xf>
    <xf numFmtId="0" fontId="98" fillId="23" borderId="37" xfId="0" applyFont="1" applyFill="1" applyBorder="1" applyAlignment="1">
      <alignment horizontal="center"/>
    </xf>
    <xf numFmtId="0" fontId="98" fillId="23" borderId="17" xfId="0" applyFont="1" applyFill="1" applyBorder="1" applyAlignment="1">
      <alignment horizontal="center"/>
    </xf>
    <xf numFmtId="0" fontId="45" fillId="23" borderId="0" xfId="0" applyFont="1" applyFill="1" applyAlignment="1">
      <alignment horizontal="center"/>
    </xf>
    <xf numFmtId="191" fontId="98" fillId="16" borderId="37" xfId="0" applyNumberFormat="1" applyFont="1" applyFill="1" applyBorder="1" applyAlignment="1">
      <alignment horizontal="center"/>
    </xf>
    <xf numFmtId="49" fontId="98" fillId="16" borderId="17" xfId="0" applyNumberFormat="1" applyFont="1" applyFill="1" applyBorder="1" applyAlignment="1">
      <alignment horizontal="left"/>
    </xf>
    <xf numFmtId="3" fontId="98" fillId="23" borderId="17" xfId="0" applyNumberFormat="1" applyFont="1" applyFill="1" applyBorder="1" applyAlignment="1">
      <alignment horizontal="center" shrinkToFit="1"/>
    </xf>
    <xf numFmtId="185" fontId="98" fillId="23" borderId="37" xfId="0" applyNumberFormat="1" applyFont="1" applyFill="1" applyBorder="1" applyAlignment="1">
      <alignment horizontal="center"/>
    </xf>
    <xf numFmtId="185" fontId="98" fillId="16" borderId="37" xfId="0" applyNumberFormat="1" applyFont="1" applyFill="1" applyBorder="1"/>
    <xf numFmtId="185" fontId="77" fillId="0" borderId="37" xfId="0" applyNumberFormat="1" applyFont="1" applyBorder="1"/>
    <xf numFmtId="0" fontId="104" fillId="16" borderId="0" xfId="0" applyFont="1" applyFill="1" applyAlignment="1">
      <alignment horizontal="center"/>
    </xf>
    <xf numFmtId="49" fontId="45" fillId="16" borderId="37" xfId="0" applyNumberFormat="1" applyFont="1" applyFill="1" applyBorder="1" applyAlignment="1">
      <alignment horizontal="center" shrinkToFit="1"/>
    </xf>
    <xf numFmtId="0" fontId="98" fillId="16" borderId="17" xfId="0" applyFont="1" applyFill="1" applyBorder="1" applyAlignment="1">
      <alignment horizontal="center" shrinkToFit="1"/>
    </xf>
    <xf numFmtId="49" fontId="45" fillId="16" borderId="17" xfId="0" applyNumberFormat="1" applyFont="1" applyFill="1" applyBorder="1" applyAlignment="1">
      <alignment horizontal="left"/>
    </xf>
    <xf numFmtId="0" fontId="45" fillId="23" borderId="0" xfId="0" applyFont="1" applyFill="1"/>
    <xf numFmtId="0" fontId="77" fillId="23" borderId="0" xfId="0" applyFont="1" applyFill="1"/>
    <xf numFmtId="0" fontId="98" fillId="16" borderId="37" xfId="0" applyFont="1" applyFill="1" applyBorder="1" applyAlignment="1">
      <alignment horizontal="center" shrinkToFit="1"/>
    </xf>
    <xf numFmtId="49" fontId="98" fillId="16" borderId="17" xfId="0" applyNumberFormat="1" applyFont="1" applyFill="1" applyBorder="1" applyAlignment="1">
      <alignment horizontal="center"/>
    </xf>
    <xf numFmtId="3" fontId="98" fillId="16" borderId="17" xfId="0" applyNumberFormat="1" applyFont="1" applyFill="1" applyBorder="1" applyAlignment="1">
      <alignment wrapText="1" shrinkToFit="1"/>
    </xf>
    <xf numFmtId="0" fontId="98" fillId="16" borderId="17" xfId="0" applyFont="1" applyFill="1" applyBorder="1" applyAlignment="1">
      <alignment wrapText="1" shrinkToFit="1"/>
    </xf>
    <xf numFmtId="0" fontId="77" fillId="0" borderId="17" xfId="0" applyFont="1" applyBorder="1" applyAlignment="1">
      <alignment wrapText="1"/>
    </xf>
    <xf numFmtId="194" fontId="98" fillId="16" borderId="17" xfId="0" applyNumberFormat="1" applyFont="1" applyFill="1" applyBorder="1" applyAlignment="1">
      <alignment horizontal="center"/>
    </xf>
    <xf numFmtId="165" fontId="104" fillId="16" borderId="0" xfId="0" applyNumberFormat="1" applyFont="1" applyFill="1"/>
    <xf numFmtId="165" fontId="77" fillId="0" borderId="0" xfId="0" applyNumberFormat="1" applyFont="1"/>
    <xf numFmtId="0" fontId="96" fillId="16" borderId="0" xfId="0" applyFont="1" applyFill="1"/>
    <xf numFmtId="0" fontId="107" fillId="16" borderId="33" xfId="0" applyFont="1" applyFill="1" applyBorder="1" applyAlignment="1">
      <alignment vertical="center" wrapText="1"/>
    </xf>
    <xf numFmtId="0" fontId="77" fillId="16" borderId="33" xfId="0" applyFont="1" applyFill="1" applyBorder="1" applyAlignment="1">
      <alignment vertical="center" wrapText="1"/>
    </xf>
    <xf numFmtId="0" fontId="77" fillId="16" borderId="0" xfId="0" applyFont="1" applyFill="1" applyAlignment="1">
      <alignment vertical="center" wrapText="1"/>
    </xf>
    <xf numFmtId="0" fontId="98" fillId="23" borderId="17" xfId="0" applyFont="1" applyFill="1" applyBorder="1" applyAlignment="1">
      <alignment horizontal="center" shrinkToFit="1"/>
    </xf>
    <xf numFmtId="0" fontId="98" fillId="23" borderId="37" xfId="0" applyFont="1" applyFill="1" applyBorder="1" applyAlignment="1">
      <alignment horizontal="center" shrinkToFit="1"/>
    </xf>
    <xf numFmtId="1" fontId="98" fillId="16" borderId="37" xfId="0" applyNumberFormat="1" applyFont="1" applyFill="1" applyBorder="1" applyAlignment="1">
      <alignment horizontal="center"/>
    </xf>
    <xf numFmtId="186" fontId="90" fillId="0" borderId="0" xfId="0" applyNumberFormat="1" applyFont="1" applyAlignment="1">
      <alignment horizontal="left"/>
    </xf>
    <xf numFmtId="0" fontId="87" fillId="0" borderId="0" xfId="0" applyFont="1" applyAlignment="1">
      <alignment horizontal="left"/>
    </xf>
    <xf numFmtId="0" fontId="87" fillId="0" borderId="36" xfId="0" applyFont="1" applyBorder="1" applyAlignment="1">
      <alignment horizontal="left"/>
    </xf>
    <xf numFmtId="0" fontId="90" fillId="0" borderId="0" xfId="0" applyFont="1" applyAlignment="1">
      <alignment horizontal="left"/>
    </xf>
    <xf numFmtId="0" fontId="90" fillId="0" borderId="36" xfId="0" applyFont="1" applyBorder="1" applyAlignment="1">
      <alignment horizontal="left"/>
    </xf>
    <xf numFmtId="49" fontId="87" fillId="0" borderId="0" xfId="0" applyNumberFormat="1" applyFont="1" applyAlignment="1">
      <alignment horizontal="left"/>
    </xf>
    <xf numFmtId="186" fontId="10" fillId="0" borderId="0" xfId="0" applyNumberFormat="1" applyFont="1" applyAlignment="1">
      <alignment horizontal="center"/>
    </xf>
    <xf numFmtId="0" fontId="24" fillId="0" borderId="0" xfId="0" applyFont="1" applyAlignment="1">
      <alignment horizontal="center"/>
    </xf>
    <xf numFmtId="0" fontId="2" fillId="0" borderId="0" xfId="0" applyFont="1" applyAlignment="1">
      <alignment horizontal="left"/>
    </xf>
    <xf numFmtId="0" fontId="22" fillId="0" borderId="0" xfId="0" applyFont="1" applyAlignment="1">
      <alignment horizontal="left" shrinkToFit="1"/>
    </xf>
    <xf numFmtId="195" fontId="10" fillId="0" borderId="0" xfId="0" applyNumberFormat="1" applyFont="1" applyAlignment="1">
      <alignment horizontal="left"/>
    </xf>
    <xf numFmtId="0" fontId="10" fillId="0" borderId="0" xfId="0" applyFont="1" applyAlignment="1">
      <alignment horizontal="center" shrinkToFit="1"/>
    </xf>
    <xf numFmtId="0" fontId="10" fillId="0" borderId="0" xfId="0" applyFont="1" applyAlignment="1">
      <alignment horizontal="center"/>
    </xf>
    <xf numFmtId="0" fontId="24" fillId="0" borderId="33" xfId="0" applyFont="1" applyBorder="1" applyAlignment="1">
      <alignment horizontal="center" vertical="top"/>
    </xf>
    <xf numFmtId="0" fontId="13" fillId="0" borderId="17" xfId="0" applyFont="1" applyBorder="1" applyAlignment="1">
      <alignment horizontal="center"/>
    </xf>
    <xf numFmtId="0" fontId="88" fillId="0" borderId="0" xfId="0" applyFont="1" applyAlignment="1">
      <alignment horizontal="center"/>
    </xf>
    <xf numFmtId="0" fontId="98" fillId="0" borderId="0" xfId="0" applyFont="1" applyAlignment="1">
      <alignment horizontal="center"/>
    </xf>
    <xf numFmtId="0" fontId="98" fillId="0" borderId="0" xfId="0" applyFont="1" applyAlignment="1">
      <alignment horizontal="right"/>
    </xf>
    <xf numFmtId="0" fontId="10" fillId="0" borderId="0" xfId="0" applyFont="1" applyAlignment="1">
      <alignment horizontal="left"/>
    </xf>
    <xf numFmtId="0" fontId="22" fillId="0" borderId="0" xfId="0" applyFont="1" applyAlignment="1">
      <alignment horizontal="center" shrinkToFit="1"/>
    </xf>
    <xf numFmtId="2" fontId="87" fillId="0" borderId="0" xfId="0" applyNumberFormat="1" applyFont="1" applyAlignment="1">
      <alignment horizontal="left"/>
    </xf>
    <xf numFmtId="0" fontId="45" fillId="0" borderId="0" xfId="0" applyFont="1" applyAlignment="1">
      <alignment horizontal="center"/>
    </xf>
    <xf numFmtId="0" fontId="95" fillId="0" borderId="0" xfId="0" applyFont="1" applyAlignment="1">
      <alignment horizontal="center"/>
    </xf>
    <xf numFmtId="49" fontId="95" fillId="0" borderId="0" xfId="0" applyNumberFormat="1" applyFont="1" applyAlignment="1">
      <alignment horizontal="center"/>
    </xf>
    <xf numFmtId="0" fontId="95" fillId="0" borderId="17" xfId="0" applyFont="1" applyBorder="1" applyAlignment="1">
      <alignment horizontal="center"/>
    </xf>
    <xf numFmtId="0" fontId="95" fillId="0" borderId="33" xfId="0" applyFont="1" applyBorder="1" applyAlignment="1">
      <alignment horizontal="center" vertical="top"/>
    </xf>
    <xf numFmtId="0" fontId="95" fillId="0" borderId="0" xfId="0" applyFont="1" applyAlignment="1">
      <alignment horizontal="center" vertical="center" wrapText="1"/>
    </xf>
    <xf numFmtId="0" fontId="95" fillId="0" borderId="0" xfId="0" applyFont="1" applyAlignment="1">
      <alignment horizontal="center" vertical="center"/>
    </xf>
    <xf numFmtId="0" fontId="116" fillId="0" borderId="0" xfId="0" applyFont="1" applyAlignment="1">
      <alignment horizontal="left"/>
    </xf>
    <xf numFmtId="193" fontId="76" fillId="0" borderId="0" xfId="0" applyNumberFormat="1" applyFont="1" applyAlignment="1">
      <alignment horizontal="center"/>
    </xf>
    <xf numFmtId="0" fontId="117" fillId="0" borderId="0" xfId="0" applyFont="1" applyAlignment="1">
      <alignment horizontal="center"/>
    </xf>
    <xf numFmtId="49" fontId="76" fillId="24" borderId="0" xfId="0" applyNumberFormat="1" applyFont="1" applyFill="1" applyAlignment="1">
      <alignment horizontal="center" shrinkToFit="1"/>
    </xf>
    <xf numFmtId="0" fontId="76" fillId="24" borderId="0" xfId="0" applyFont="1" applyFill="1" applyAlignment="1">
      <alignment horizontal="center" shrinkToFit="1"/>
    </xf>
    <xf numFmtId="0" fontId="113" fillId="0" borderId="0" xfId="0" applyFont="1" applyAlignment="1">
      <alignment horizontal="center" wrapText="1"/>
    </xf>
    <xf numFmtId="0" fontId="114" fillId="0" borderId="0" xfId="0" applyFont="1" applyAlignment="1">
      <alignment horizontal="center"/>
    </xf>
    <xf numFmtId="193" fontId="104" fillId="0" borderId="0" xfId="0" applyNumberFormat="1" applyFont="1" applyAlignment="1">
      <alignment horizontal="right"/>
    </xf>
    <xf numFmtId="0" fontId="76" fillId="0" borderId="0" xfId="0" applyFont="1" applyAlignment="1">
      <alignment horizontal="center" shrinkToFit="1"/>
    </xf>
    <xf numFmtId="49" fontId="76" fillId="0" borderId="0" xfId="0" applyNumberFormat="1" applyFont="1" applyAlignment="1">
      <alignment horizontal="center" shrinkToFit="1"/>
    </xf>
    <xf numFmtId="0" fontId="96" fillId="0" borderId="0" xfId="0" applyFont="1" applyAlignment="1">
      <alignment horizontal="center"/>
    </xf>
    <xf numFmtId="0" fontId="77" fillId="0" borderId="0" xfId="0" applyFont="1" applyAlignment="1">
      <alignment horizontal="center"/>
    </xf>
    <xf numFmtId="0" fontId="77" fillId="0" borderId="33" xfId="0" applyFont="1" applyBorder="1" applyAlignment="1">
      <alignment horizontal="center" vertical="top"/>
    </xf>
    <xf numFmtId="0" fontId="105" fillId="0" borderId="17" xfId="0" applyFont="1" applyBorder="1" applyAlignment="1">
      <alignment horizontal="center" shrinkToFit="1"/>
    </xf>
    <xf numFmtId="0" fontId="107" fillId="0" borderId="17" xfId="0" applyFont="1" applyBorder="1" applyAlignment="1">
      <alignment horizontal="center"/>
    </xf>
    <xf numFmtId="3" fontId="107" fillId="0" borderId="37" xfId="0" applyNumberFormat="1" applyFont="1" applyBorder="1" applyAlignment="1">
      <alignment horizontal="center" wrapText="1"/>
    </xf>
    <xf numFmtId="0" fontId="107" fillId="0" borderId="37" xfId="0" applyFont="1" applyBorder="1" applyAlignment="1">
      <alignment horizontal="center" wrapText="1"/>
    </xf>
    <xf numFmtId="0" fontId="45" fillId="0" borderId="0" xfId="0" applyFont="1" applyAlignment="1">
      <alignment horizontal="center" vertical="top" wrapText="1"/>
    </xf>
    <xf numFmtId="0" fontId="77" fillId="0" borderId="0" xfId="0" applyFont="1" applyAlignment="1">
      <alignment horizontal="center" vertical="center"/>
    </xf>
    <xf numFmtId="0" fontId="10" fillId="30" borderId="30" xfId="8" applyFont="1" applyFill="1" applyBorder="1" applyAlignment="1">
      <alignment horizontal="center" vertical="center" wrapText="1" shrinkToFit="1"/>
    </xf>
    <xf numFmtId="0" fontId="10" fillId="30" borderId="28" xfId="8" applyFont="1" applyFill="1" applyBorder="1" applyAlignment="1">
      <alignment horizontal="center" vertical="center" wrapText="1" shrinkToFit="1"/>
    </xf>
    <xf numFmtId="0" fontId="10" fillId="30" borderId="31" xfId="8" applyFont="1" applyFill="1" applyBorder="1" applyAlignment="1">
      <alignment horizontal="center" vertical="center" wrapText="1" shrinkToFit="1"/>
    </xf>
    <xf numFmtId="0" fontId="10" fillId="30" borderId="5" xfId="8" applyFont="1" applyFill="1" applyBorder="1" applyAlignment="1">
      <alignment horizontal="center" vertical="center" wrapText="1" shrinkToFit="1"/>
    </xf>
    <xf numFmtId="0" fontId="10" fillId="30" borderId="6" xfId="8" applyFont="1" applyFill="1" applyBorder="1" applyAlignment="1">
      <alignment horizontal="center" vertical="center" wrapText="1" shrinkToFit="1"/>
    </xf>
    <xf numFmtId="0" fontId="10" fillId="30" borderId="25" xfId="8" applyFont="1" applyFill="1" applyBorder="1" applyAlignment="1">
      <alignment horizontal="center" vertical="center" wrapText="1" shrinkToFit="1"/>
    </xf>
    <xf numFmtId="0" fontId="96" fillId="0" borderId="14" xfId="0" applyFont="1" applyBorder="1" applyAlignment="1">
      <alignment horizontal="left" vertical="center"/>
    </xf>
    <xf numFmtId="0" fontId="129" fillId="31" borderId="66" xfId="0" applyFont="1" applyFill="1" applyBorder="1" applyAlignment="1">
      <alignment horizontal="center"/>
    </xf>
    <xf numFmtId="0" fontId="129" fillId="31" borderId="27" xfId="0" applyFont="1" applyFill="1" applyBorder="1" applyAlignment="1">
      <alignment horizontal="center"/>
    </xf>
    <xf numFmtId="0" fontId="130" fillId="32" borderId="66" xfId="0" applyFont="1" applyFill="1" applyBorder="1" applyAlignment="1">
      <alignment horizontal="center"/>
    </xf>
    <xf numFmtId="0" fontId="130" fillId="32" borderId="27" xfId="0" applyFont="1" applyFill="1" applyBorder="1" applyAlignment="1">
      <alignment horizontal="center"/>
    </xf>
    <xf numFmtId="0" fontId="120" fillId="0" borderId="49" xfId="0" applyFont="1" applyBorder="1" applyAlignment="1">
      <alignment horizontal="left" vertical="top" wrapText="1"/>
    </xf>
    <xf numFmtId="0" fontId="120" fillId="0" borderId="77" xfId="0" applyFont="1" applyBorder="1" applyAlignment="1">
      <alignment horizontal="left" vertical="top" wrapText="1"/>
    </xf>
    <xf numFmtId="0" fontId="120" fillId="0" borderId="51" xfId="0" applyFont="1" applyBorder="1" applyAlignment="1">
      <alignment horizontal="left" vertical="top" wrapText="1"/>
    </xf>
    <xf numFmtId="0" fontId="120" fillId="0" borderId="50" xfId="0" applyFont="1" applyBorder="1" applyAlignment="1">
      <alignment horizontal="left" vertical="top" wrapText="1"/>
    </xf>
    <xf numFmtId="0" fontId="120" fillId="0" borderId="76" xfId="0" applyFont="1" applyBorder="1" applyAlignment="1">
      <alignment horizontal="left" vertical="top" wrapText="1"/>
    </xf>
    <xf numFmtId="0" fontId="120" fillId="0" borderId="73" xfId="0" applyFont="1" applyBorder="1" applyAlignment="1">
      <alignment horizontal="left" vertical="top" wrapText="1"/>
    </xf>
    <xf numFmtId="0" fontId="43" fillId="0" borderId="11" xfId="0" applyFont="1" applyBorder="1" applyAlignment="1">
      <alignment horizontal="center"/>
    </xf>
    <xf numFmtId="0" fontId="43" fillId="0" borderId="0" xfId="0" applyFont="1" applyAlignment="1">
      <alignment horizontal="center"/>
    </xf>
    <xf numFmtId="0" fontId="43" fillId="0" borderId="14" xfId="0" applyFont="1" applyBorder="1" applyAlignment="1">
      <alignment horizontal="center"/>
    </xf>
    <xf numFmtId="0" fontId="69" fillId="0" borderId="0" xfId="0" applyFont="1" applyAlignment="1">
      <alignment horizontal="center"/>
    </xf>
    <xf numFmtId="0" fontId="69" fillId="0" borderId="14" xfId="0" applyFont="1" applyBorder="1" applyAlignment="1">
      <alignment horizontal="center"/>
    </xf>
    <xf numFmtId="186" fontId="35" fillId="0" borderId="0" xfId="0" applyNumberFormat="1" applyFont="1" applyAlignment="1">
      <alignment horizontal="center"/>
    </xf>
    <xf numFmtId="186" fontId="35" fillId="0" borderId="14" xfId="0" applyNumberFormat="1" applyFont="1" applyBorder="1" applyAlignment="1">
      <alignment horizontal="center"/>
    </xf>
    <xf numFmtId="0" fontId="98" fillId="16" borderId="17" xfId="0" applyFont="1" applyFill="1" applyBorder="1" applyAlignment="1">
      <alignment horizontal="left" vertical="center"/>
    </xf>
    <xf numFmtId="0" fontId="98" fillId="16" borderId="0" xfId="0" applyFont="1" applyFill="1" applyAlignment="1">
      <alignment horizontal="left" vertical="center"/>
    </xf>
    <xf numFmtId="0" fontId="98" fillId="0" borderId="37" xfId="0" applyFont="1" applyBorder="1" applyAlignment="1">
      <alignment horizontal="center" vertical="center"/>
    </xf>
    <xf numFmtId="0" fontId="50" fillId="0" borderId="0" xfId="6" applyFont="1" applyAlignment="1">
      <alignment horizontal="center"/>
    </xf>
    <xf numFmtId="4" fontId="50" fillId="0" borderId="0" xfId="5" applyNumberFormat="1" applyFont="1" applyAlignment="1">
      <alignment horizontal="center"/>
    </xf>
    <xf numFmtId="0" fontId="50" fillId="0" borderId="0" xfId="5" applyFont="1" applyAlignment="1">
      <alignment horizontal="center"/>
    </xf>
    <xf numFmtId="0" fontId="77" fillId="0" borderId="0" xfId="5" applyFont="1" applyAlignment="1">
      <alignment horizontal="center"/>
    </xf>
    <xf numFmtId="0" fontId="99" fillId="24" borderId="44" xfId="0" applyFont="1" applyFill="1" applyBorder="1" applyAlignment="1">
      <alignment horizontal="center"/>
    </xf>
    <xf numFmtId="0" fontId="99" fillId="24" borderId="33" xfId="0" applyFont="1" applyFill="1" applyBorder="1" applyAlignment="1">
      <alignment horizontal="center"/>
    </xf>
    <xf numFmtId="0" fontId="99" fillId="24" borderId="34" xfId="0" applyFont="1" applyFill="1" applyBorder="1" applyAlignment="1">
      <alignment horizontal="center"/>
    </xf>
    <xf numFmtId="165" fontId="100" fillId="0" borderId="0" xfId="0" applyNumberFormat="1" applyFont="1" applyAlignment="1">
      <alignment horizontal="center"/>
    </xf>
    <xf numFmtId="0" fontId="95" fillId="0" borderId="0" xfId="0" applyFont="1" applyAlignment="1">
      <alignment horizontal="left"/>
    </xf>
    <xf numFmtId="0" fontId="95" fillId="0" borderId="36" xfId="0" applyFont="1" applyBorder="1" applyAlignment="1">
      <alignment horizontal="left"/>
    </xf>
    <xf numFmtId="1" fontId="77" fillId="0" borderId="0" xfId="0" applyNumberFormat="1" applyFont="1" applyAlignment="1">
      <alignment horizontal="left" vertical="center"/>
    </xf>
    <xf numFmtId="1" fontId="77" fillId="0" borderId="36" xfId="0" applyNumberFormat="1" applyFont="1" applyBorder="1" applyAlignment="1">
      <alignment horizontal="left" vertical="center"/>
    </xf>
    <xf numFmtId="186" fontId="0" fillId="0" borderId="46" xfId="0" applyNumberFormat="1" applyBorder="1" applyAlignment="1">
      <alignment horizontal="center"/>
    </xf>
    <xf numFmtId="186" fontId="0" fillId="0" borderId="37" xfId="0" applyNumberFormat="1" applyBorder="1" applyAlignment="1">
      <alignment horizontal="center"/>
    </xf>
    <xf numFmtId="186" fontId="0" fillId="0" borderId="23" xfId="0" applyNumberFormat="1" applyBorder="1" applyAlignment="1">
      <alignment horizontal="center"/>
    </xf>
    <xf numFmtId="0" fontId="84" fillId="0" borderId="37" xfId="0" applyFont="1" applyBorder="1" applyAlignment="1">
      <alignment horizontal="center"/>
    </xf>
    <xf numFmtId="165" fontId="0" fillId="0" borderId="17" xfId="0" applyNumberFormat="1" applyBorder="1" applyAlignment="1">
      <alignment horizontal="center"/>
    </xf>
    <xf numFmtId="49" fontId="82" fillId="0" borderId="42" xfId="0" applyNumberFormat="1" applyFont="1" applyBorder="1" applyAlignment="1">
      <alignment wrapText="1"/>
    </xf>
    <xf numFmtId="49" fontId="82" fillId="0" borderId="17" xfId="0" applyNumberFormat="1" applyFont="1" applyBorder="1" applyAlignment="1">
      <alignment wrapText="1"/>
    </xf>
    <xf numFmtId="49" fontId="82" fillId="0" borderId="18" xfId="0" applyNumberFormat="1" applyFont="1" applyBorder="1" applyAlignment="1">
      <alignment wrapText="1"/>
    </xf>
    <xf numFmtId="0" fontId="0" fillId="0" borderId="17" xfId="0" applyBorder="1"/>
    <xf numFmtId="0" fontId="83" fillId="0" borderId="17" xfId="0" applyFont="1" applyBorder="1" applyAlignment="1">
      <alignment horizontal="center"/>
    </xf>
    <xf numFmtId="0" fontId="0" fillId="0" borderId="17" xfId="0" applyBorder="1" applyAlignment="1">
      <alignment horizontal="center"/>
    </xf>
    <xf numFmtId="186" fontId="0" fillId="0" borderId="0" xfId="0" applyNumberFormat="1" applyAlignment="1">
      <alignment horizontal="left"/>
    </xf>
    <xf numFmtId="0" fontId="86" fillId="0" borderId="39" xfId="3" applyFont="1" applyBorder="1" applyAlignment="1">
      <alignment horizontal="center"/>
    </xf>
    <xf numFmtId="0" fontId="86" fillId="0" borderId="54" xfId="3" applyFont="1" applyBorder="1" applyAlignment="1">
      <alignment horizontal="center"/>
    </xf>
    <xf numFmtId="49" fontId="86" fillId="0" borderId="46" xfId="3" applyNumberFormat="1" applyFont="1" applyBorder="1" applyAlignment="1">
      <alignment horizontal="center"/>
    </xf>
    <xf numFmtId="0" fontId="86" fillId="0" borderId="23" xfId="3" applyFont="1" applyBorder="1"/>
    <xf numFmtId="0" fontId="86" fillId="0" borderId="0" xfId="3" applyFont="1" applyAlignment="1">
      <alignment horizontal="center"/>
    </xf>
    <xf numFmtId="0" fontId="86" fillId="0" borderId="0" xfId="3" applyFont="1"/>
    <xf numFmtId="1" fontId="86" fillId="0" borderId="44" xfId="3" applyNumberFormat="1" applyFont="1" applyBorder="1" applyAlignment="1">
      <alignment horizontal="center" vertical="center" wrapText="1"/>
    </xf>
    <xf numFmtId="1" fontId="86" fillId="0" borderId="34" xfId="3" applyNumberFormat="1" applyFont="1" applyBorder="1" applyAlignment="1">
      <alignment horizontal="center" vertical="center"/>
    </xf>
    <xf numFmtId="1" fontId="86" fillId="0" borderId="42" xfId="3" applyNumberFormat="1" applyFont="1" applyBorder="1" applyAlignment="1">
      <alignment horizontal="center" vertical="center"/>
    </xf>
    <xf numFmtId="1" fontId="86" fillId="0" borderId="18" xfId="3" applyNumberFormat="1" applyFont="1" applyBorder="1" applyAlignment="1">
      <alignment horizontal="center" vertical="center"/>
    </xf>
    <xf numFmtId="0" fontId="86" fillId="0" borderId="17" xfId="3" applyFont="1" applyBorder="1" applyAlignment="1">
      <alignment horizontal="left"/>
    </xf>
    <xf numFmtId="1" fontId="86" fillId="0" borderId="46" xfId="3" applyNumberFormat="1" applyFont="1" applyBorder="1" applyAlignment="1">
      <alignment horizontal="center" vertical="center"/>
    </xf>
    <xf numFmtId="1" fontId="86" fillId="0" borderId="23" xfId="3" applyNumberFormat="1" applyFont="1" applyBorder="1" applyAlignment="1">
      <alignment horizontal="center" vertical="center"/>
    </xf>
    <xf numFmtId="2" fontId="86" fillId="0" borderId="44" xfId="3" applyNumberFormat="1" applyFont="1" applyBorder="1" applyAlignment="1">
      <alignment horizontal="center"/>
    </xf>
    <xf numFmtId="2" fontId="86" fillId="0" borderId="34" xfId="3" applyNumberFormat="1" applyFont="1" applyBorder="1" applyAlignment="1">
      <alignment horizontal="center"/>
    </xf>
    <xf numFmtId="0" fontId="86" fillId="0" borderId="0" xfId="3" applyFont="1" applyAlignment="1">
      <alignment horizontal="left"/>
    </xf>
    <xf numFmtId="0" fontId="86" fillId="0" borderId="42" xfId="3" applyFont="1" applyBorder="1" applyAlignment="1">
      <alignment horizontal="center"/>
    </xf>
    <xf numFmtId="0" fontId="86" fillId="0" borderId="18" xfId="3" applyFont="1" applyBorder="1"/>
    <xf numFmtId="0" fontId="86" fillId="0" borderId="37" xfId="3" applyFont="1" applyBorder="1" applyAlignment="1">
      <alignment horizontal="left"/>
    </xf>
    <xf numFmtId="0" fontId="86" fillId="0" borderId="14" xfId="3" applyFont="1" applyBorder="1" applyAlignment="1">
      <alignment horizontal="right" vertical="center"/>
    </xf>
    <xf numFmtId="1" fontId="86" fillId="0" borderId="44" xfId="3" applyNumberFormat="1" applyFont="1" applyBorder="1" applyAlignment="1">
      <alignment horizontal="center" vertical="center"/>
    </xf>
    <xf numFmtId="2" fontId="86" fillId="0" borderId="42" xfId="3" applyNumberFormat="1" applyFont="1" applyBorder="1" applyAlignment="1">
      <alignment horizontal="center"/>
    </xf>
    <xf numFmtId="2" fontId="86" fillId="0" borderId="18" xfId="3" applyNumberFormat="1" applyFont="1" applyBorder="1"/>
    <xf numFmtId="191" fontId="86" fillId="0" borderId="41" xfId="3" applyNumberFormat="1" applyFont="1" applyBorder="1" applyAlignment="1">
      <alignment horizontal="center" vertical="center"/>
    </xf>
    <xf numFmtId="191" fontId="86" fillId="0" borderId="78" xfId="3" applyNumberFormat="1" applyFont="1" applyBorder="1" applyAlignment="1">
      <alignment horizontal="center" vertical="center"/>
    </xf>
    <xf numFmtId="0" fontId="86" fillId="0" borderId="33" xfId="3" applyFont="1" applyBorder="1" applyAlignment="1">
      <alignment horizontal="left"/>
    </xf>
    <xf numFmtId="0" fontId="86" fillId="0" borderId="34" xfId="3" applyFont="1" applyBorder="1" applyAlignment="1">
      <alignment horizontal="left"/>
    </xf>
    <xf numFmtId="0" fontId="86" fillId="0" borderId="0" xfId="3" applyFont="1" applyAlignment="1">
      <alignment horizontal="left" vertical="top"/>
    </xf>
    <xf numFmtId="0" fontId="86" fillId="0" borderId="14" xfId="3" applyFont="1" applyBorder="1" applyAlignment="1">
      <alignment horizontal="left"/>
    </xf>
    <xf numFmtId="1" fontId="86" fillId="0" borderId="44" xfId="3" applyNumberFormat="1" applyFont="1" applyBorder="1" applyAlignment="1">
      <alignment horizontal="center"/>
    </xf>
    <xf numFmtId="1" fontId="86" fillId="0" borderId="33" xfId="3" applyNumberFormat="1" applyFont="1" applyBorder="1" applyAlignment="1">
      <alignment horizontal="center"/>
    </xf>
    <xf numFmtId="1" fontId="86" fillId="0" borderId="47" xfId="3" applyNumberFormat="1" applyFont="1" applyBorder="1" applyAlignment="1">
      <alignment horizontal="center"/>
    </xf>
    <xf numFmtId="191" fontId="86" fillId="0" borderId="42" xfId="3" applyNumberFormat="1" applyFont="1" applyBorder="1" applyAlignment="1">
      <alignment horizontal="center"/>
    </xf>
    <xf numFmtId="0" fontId="0" fillId="0" borderId="0" xfId="0"/>
    <xf numFmtId="0" fontId="0" fillId="0" borderId="0" xfId="0" applyAlignment="1">
      <alignment horizontal="right"/>
    </xf>
    <xf numFmtId="0" fontId="130" fillId="30" borderId="30" xfId="0" applyFont="1" applyFill="1" applyBorder="1" applyAlignment="1" applyProtection="1">
      <alignment horizontal="center" vertical="center"/>
      <protection hidden="1"/>
    </xf>
    <xf numFmtId="0" fontId="130" fillId="30" borderId="28" xfId="0" applyFont="1" applyFill="1" applyBorder="1" applyAlignment="1" applyProtection="1">
      <alignment horizontal="center" vertical="center"/>
      <protection hidden="1"/>
    </xf>
    <xf numFmtId="0" fontId="130" fillId="30" borderId="31" xfId="0" applyFont="1" applyFill="1" applyBorder="1" applyAlignment="1" applyProtection="1">
      <alignment horizontal="center" vertical="center"/>
      <protection hidden="1"/>
    </xf>
    <xf numFmtId="0" fontId="131" fillId="0" borderId="11" xfId="0" applyFont="1" applyBorder="1" applyAlignment="1" applyProtection="1">
      <alignment horizontal="center" vertical="center" wrapText="1"/>
      <protection hidden="1"/>
    </xf>
    <xf numFmtId="0" fontId="131" fillId="0" borderId="0" xfId="0" applyFont="1" applyAlignment="1" applyProtection="1">
      <alignment horizontal="center" vertical="center" wrapText="1"/>
      <protection hidden="1"/>
    </xf>
    <xf numFmtId="9" fontId="132" fillId="0" borderId="20" xfId="0" applyNumberFormat="1" applyFont="1" applyBorder="1" applyAlignment="1" applyProtection="1">
      <alignment horizontal="center"/>
      <protection hidden="1"/>
    </xf>
    <xf numFmtId="9" fontId="132" fillId="0" borderId="21" xfId="0" applyNumberFormat="1" applyFont="1" applyBorder="1" applyAlignment="1" applyProtection="1">
      <alignment horizontal="center"/>
      <protection hidden="1"/>
    </xf>
    <xf numFmtId="10" fontId="132" fillId="0" borderId="41" xfId="0" applyNumberFormat="1" applyFont="1" applyBorder="1" applyAlignment="1" applyProtection="1">
      <alignment horizontal="center"/>
      <protection hidden="1"/>
    </xf>
    <xf numFmtId="10" fontId="132" fillId="0" borderId="78" xfId="0" applyNumberFormat="1" applyFont="1" applyBorder="1" applyAlignment="1" applyProtection="1">
      <alignment horizontal="center"/>
      <protection hidden="1"/>
    </xf>
    <xf numFmtId="0" fontId="68" fillId="5" borderId="0" xfId="0" applyFont="1" applyFill="1" applyAlignment="1">
      <alignment horizontal="right" vertical="center" wrapText="1"/>
    </xf>
    <xf numFmtId="0" fontId="4" fillId="0" borderId="0" xfId="1" applyNumberFormat="1" applyAlignment="1" applyProtection="1"/>
    <xf numFmtId="0" fontId="63" fillId="0" borderId="0" xfId="0" applyFont="1" applyAlignment="1">
      <alignment horizontal="right"/>
    </xf>
    <xf numFmtId="0" fontId="52" fillId="21" borderId="0" xfId="0" applyFont="1" applyFill="1" applyAlignment="1">
      <alignment horizontal="center" vertical="center" wrapText="1"/>
    </xf>
    <xf numFmtId="14" fontId="56" fillId="7" borderId="0" xfId="0" applyNumberFormat="1" applyFont="1" applyFill="1" applyAlignment="1">
      <alignment horizontal="center"/>
    </xf>
    <xf numFmtId="187" fontId="58" fillId="0" borderId="0" xfId="0" applyNumberFormat="1" applyFont="1" applyAlignment="1">
      <alignment horizontal="left"/>
    </xf>
    <xf numFmtId="0" fontId="60" fillId="15" borderId="0" xfId="0" applyFont="1" applyFill="1" applyAlignment="1">
      <alignment horizontal="center" vertical="center" wrapText="1"/>
    </xf>
    <xf numFmtId="166" fontId="9" fillId="12" borderId="0" xfId="2" applyNumberFormat="1" applyFont="1" applyFill="1" applyAlignment="1" applyProtection="1">
      <alignment horizontal="center"/>
      <protection locked="0"/>
    </xf>
    <xf numFmtId="43" fontId="9" fillId="5" borderId="28" xfId="2" applyNumberFormat="1" applyFont="1" applyFill="1" applyBorder="1" applyAlignment="1">
      <alignment horizontal="center"/>
    </xf>
    <xf numFmtId="43" fontId="9" fillId="5" borderId="31" xfId="2" applyNumberFormat="1" applyFont="1" applyFill="1" applyBorder="1" applyAlignment="1">
      <alignment horizontal="center"/>
    </xf>
    <xf numFmtId="0" fontId="9" fillId="0" borderId="0" xfId="2" applyFont="1" applyAlignment="1">
      <alignment horizontal="center"/>
    </xf>
    <xf numFmtId="41" fontId="9" fillId="5" borderId="30" xfId="2" applyNumberFormat="1" applyFont="1" applyFill="1" applyBorder="1" applyAlignment="1">
      <alignment horizontal="center"/>
    </xf>
    <xf numFmtId="41" fontId="9" fillId="5" borderId="28" xfId="2" applyNumberFormat="1" applyFont="1" applyFill="1" applyBorder="1" applyAlignment="1">
      <alignment horizontal="center"/>
    </xf>
    <xf numFmtId="41" fontId="9" fillId="5" borderId="79" xfId="2" applyNumberFormat="1" applyFont="1" applyFill="1" applyBorder="1" applyAlignment="1">
      <alignment horizontal="center"/>
    </xf>
    <xf numFmtId="0" fontId="16" fillId="0" borderId="0" xfId="2" applyFont="1" applyAlignment="1">
      <alignment horizontal="center"/>
    </xf>
    <xf numFmtId="167" fontId="19" fillId="0" borderId="6" xfId="2" applyNumberFormat="1" applyFont="1" applyBorder="1" applyAlignment="1">
      <alignment horizontal="center"/>
    </xf>
    <xf numFmtId="0" fontId="55" fillId="0" borderId="45" xfId="0" applyFont="1" applyBorder="1" applyAlignment="1">
      <alignment horizontal="center" vertical="top"/>
    </xf>
    <xf numFmtId="0" fontId="55" fillId="0" borderId="0" xfId="0" applyFont="1" applyAlignment="1">
      <alignment horizontal="center" vertical="top"/>
    </xf>
    <xf numFmtId="0" fontId="55" fillId="0" borderId="36" xfId="0" applyFont="1" applyBorder="1" applyAlignment="1">
      <alignment horizontal="center" vertical="top"/>
    </xf>
    <xf numFmtId="0" fontId="55" fillId="0" borderId="83" xfId="0" applyFont="1" applyBorder="1" applyAlignment="1">
      <alignment horizontal="center" vertical="top"/>
    </xf>
    <xf numFmtId="0" fontId="55" fillId="0" borderId="84" xfId="0" applyFont="1" applyBorder="1" applyAlignment="1">
      <alignment horizontal="center" vertical="top"/>
    </xf>
    <xf numFmtId="0" fontId="55" fillId="0" borderId="98" xfId="0" applyFont="1" applyBorder="1" applyAlignment="1">
      <alignment horizontal="center" vertical="top"/>
    </xf>
    <xf numFmtId="14" fontId="144" fillId="0" borderId="86" xfId="0" applyNumberFormat="1" applyFont="1" applyBorder="1" applyAlignment="1">
      <alignment horizontal="center" vertical="top"/>
    </xf>
    <xf numFmtId="0" fontId="55" fillId="0" borderId="85" xfId="0" applyFont="1" applyBorder="1" applyAlignment="1">
      <alignment horizontal="left" vertical="top" wrapText="1"/>
    </xf>
    <xf numFmtId="0" fontId="55" fillId="0" borderId="86" xfId="0" applyFont="1" applyBorder="1" applyAlignment="1">
      <alignment horizontal="left" vertical="top" wrapText="1"/>
    </xf>
    <xf numFmtId="0" fontId="55" fillId="0" borderId="90" xfId="0" applyFont="1" applyBorder="1" applyAlignment="1">
      <alignment horizontal="left" vertical="top" wrapText="1"/>
    </xf>
    <xf numFmtId="0" fontId="136" fillId="35" borderId="80" xfId="0" applyFont="1" applyFill="1" applyBorder="1" applyAlignment="1">
      <alignment horizontal="left" vertical="top"/>
    </xf>
    <xf numFmtId="0" fontId="55" fillId="35" borderId="81" xfId="0" applyFont="1" applyFill="1" applyBorder="1" applyAlignment="1">
      <alignment horizontal="left" vertical="top"/>
    </xf>
    <xf numFmtId="0" fontId="55" fillId="35" borderId="82" xfId="0" applyFont="1" applyFill="1" applyBorder="1" applyAlignment="1">
      <alignment horizontal="left" vertical="top"/>
    </xf>
    <xf numFmtId="0" fontId="136" fillId="36" borderId="46" xfId="0" applyFont="1" applyFill="1" applyBorder="1" applyAlignment="1">
      <alignment horizontal="left" vertical="top"/>
    </xf>
    <xf numFmtId="0" fontId="136" fillId="36" borderId="37" xfId="0" applyFont="1" applyFill="1" applyBorder="1" applyAlignment="1">
      <alignment horizontal="left" vertical="top"/>
    </xf>
    <xf numFmtId="0" fontId="136" fillId="36" borderId="23" xfId="0" applyFont="1" applyFill="1" applyBorder="1" applyAlignment="1">
      <alignment horizontal="left" vertical="top"/>
    </xf>
    <xf numFmtId="0" fontId="55" fillId="23" borderId="83" xfId="0" applyFont="1" applyFill="1" applyBorder="1" applyAlignment="1">
      <alignment vertical="top"/>
    </xf>
    <xf numFmtId="0" fontId="55" fillId="23" borderId="84" xfId="0" applyFont="1" applyFill="1" applyBorder="1" applyAlignment="1">
      <alignment vertical="top"/>
    </xf>
    <xf numFmtId="0" fontId="136" fillId="0" borderId="46" xfId="0" applyFont="1" applyBorder="1" applyAlignment="1">
      <alignment horizontal="center"/>
    </xf>
    <xf numFmtId="0" fontId="136" fillId="0" borderId="37" xfId="0" applyFont="1" applyBorder="1" applyAlignment="1">
      <alignment horizontal="center"/>
    </xf>
    <xf numFmtId="0" fontId="136" fillId="0" borderId="23" xfId="0" applyFont="1" applyBorder="1" applyAlignment="1">
      <alignment horizontal="center"/>
    </xf>
    <xf numFmtId="0" fontId="55" fillId="23" borderId="83" xfId="0" applyFont="1" applyFill="1" applyBorder="1" applyAlignment="1">
      <alignment vertical="center"/>
    </xf>
    <xf numFmtId="0" fontId="55" fillId="23" borderId="84" xfId="0" applyFont="1" applyFill="1" applyBorder="1" applyAlignment="1">
      <alignment vertical="center"/>
    </xf>
    <xf numFmtId="0" fontId="55" fillId="23" borderId="87" xfId="0" applyFont="1" applyFill="1" applyBorder="1" applyAlignment="1">
      <alignment vertical="center"/>
    </xf>
    <xf numFmtId="49" fontId="136" fillId="23" borderId="97" xfId="0" applyNumberFormat="1" applyFont="1" applyFill="1" applyBorder="1" applyAlignment="1">
      <alignment vertical="center"/>
    </xf>
    <xf numFmtId="0" fontId="136" fillId="23" borderId="97" xfId="0" applyFont="1" applyFill="1" applyBorder="1" applyAlignment="1">
      <alignment vertical="center"/>
    </xf>
    <xf numFmtId="0" fontId="55" fillId="0" borderId="85" xfId="0" applyFont="1" applyBorder="1" applyAlignment="1">
      <alignment horizontal="left" vertical="top"/>
    </xf>
    <xf numFmtId="0" fontId="55" fillId="0" borderId="86" xfId="0" applyFont="1" applyBorder="1" applyAlignment="1">
      <alignment horizontal="left" vertical="top"/>
    </xf>
    <xf numFmtId="0" fontId="55" fillId="0" borderId="89" xfId="0" applyFont="1" applyBorder="1" applyAlignment="1">
      <alignment horizontal="left" vertical="top"/>
    </xf>
    <xf numFmtId="0" fontId="136" fillId="36" borderId="85" xfId="0" applyFont="1" applyFill="1" applyBorder="1" applyAlignment="1">
      <alignment horizontal="left" vertical="top"/>
    </xf>
    <xf numFmtId="0" fontId="55" fillId="36" borderId="86" xfId="0" applyFont="1" applyFill="1" applyBorder="1" applyAlignment="1">
      <alignment horizontal="left" vertical="top"/>
    </xf>
    <xf numFmtId="0" fontId="55" fillId="36" borderId="89" xfId="0" applyFont="1" applyFill="1" applyBorder="1" applyAlignment="1">
      <alignment horizontal="left" vertical="top"/>
    </xf>
    <xf numFmtId="49" fontId="55" fillId="0" borderId="86" xfId="0" applyNumberFormat="1" applyFont="1" applyBorder="1" applyAlignment="1">
      <alignment horizontal="center" vertical="top"/>
    </xf>
    <xf numFmtId="49" fontId="55" fillId="0" borderId="89" xfId="0" applyNumberFormat="1" applyFont="1" applyBorder="1" applyAlignment="1">
      <alignment horizontal="center" vertical="top"/>
    </xf>
    <xf numFmtId="0" fontId="55" fillId="0" borderId="91" xfId="0" applyFont="1" applyBorder="1" applyAlignment="1">
      <alignment horizontal="left" vertical="top"/>
    </xf>
    <xf numFmtId="0" fontId="55" fillId="0" borderId="90" xfId="0" applyFont="1" applyBorder="1" applyAlignment="1">
      <alignment horizontal="left" vertical="top"/>
    </xf>
    <xf numFmtId="14" fontId="144" fillId="0" borderId="91" xfId="0" applyNumberFormat="1" applyFont="1" applyBorder="1" applyAlignment="1">
      <alignment horizontal="left" vertical="top"/>
    </xf>
    <xf numFmtId="0" fontId="144" fillId="0" borderId="86" xfId="0" applyFont="1" applyBorder="1" applyAlignment="1">
      <alignment horizontal="left" vertical="top"/>
    </xf>
    <xf numFmtId="0" fontId="144" fillId="0" borderId="89" xfId="0" applyFont="1" applyBorder="1" applyAlignment="1">
      <alignment horizontal="left" vertical="top"/>
    </xf>
    <xf numFmtId="0" fontId="55" fillId="36" borderId="85" xfId="0" applyFont="1" applyFill="1" applyBorder="1" applyAlignment="1">
      <alignment horizontal="left" vertical="top"/>
    </xf>
    <xf numFmtId="0" fontId="55" fillId="0" borderId="91" xfId="0" applyFont="1" applyBorder="1" applyAlignment="1">
      <alignment horizontal="left" vertical="top" wrapText="1"/>
    </xf>
    <xf numFmtId="0" fontId="55" fillId="0" borderId="89" xfId="0" applyFont="1" applyBorder="1" applyAlignment="1">
      <alignment horizontal="left" vertical="top" wrapText="1"/>
    </xf>
    <xf numFmtId="0" fontId="55" fillId="35" borderId="85" xfId="0" applyFont="1" applyFill="1" applyBorder="1" applyAlignment="1">
      <alignment horizontal="left" vertical="top"/>
    </xf>
    <xf numFmtId="0" fontId="55" fillId="35" borderId="86" xfId="0" applyFont="1" applyFill="1" applyBorder="1" applyAlignment="1">
      <alignment horizontal="left" vertical="top"/>
    </xf>
    <xf numFmtId="0" fontId="55" fillId="35" borderId="89" xfId="0" applyFont="1" applyFill="1" applyBorder="1" applyAlignment="1">
      <alignment horizontal="left" vertical="top"/>
    </xf>
    <xf numFmtId="0" fontId="136" fillId="36" borderId="86" xfId="0" applyFont="1" applyFill="1" applyBorder="1" applyAlignment="1">
      <alignment horizontal="left" vertical="top"/>
    </xf>
    <xf numFmtId="0" fontId="136" fillId="36" borderId="89" xfId="0" applyFont="1" applyFill="1" applyBorder="1" applyAlignment="1">
      <alignment horizontal="left" vertical="top"/>
    </xf>
    <xf numFmtId="0" fontId="55" fillId="0" borderId="92" xfId="0" applyFont="1" applyBorder="1" applyAlignment="1">
      <alignment horizontal="left" vertical="center"/>
    </xf>
    <xf numFmtId="0" fontId="55" fillId="0" borderId="93" xfId="0" applyFont="1" applyBorder="1" applyAlignment="1">
      <alignment horizontal="left" vertical="center"/>
    </xf>
    <xf numFmtId="0" fontId="55" fillId="0" borderId="94" xfId="0" applyFont="1" applyBorder="1" applyAlignment="1">
      <alignment horizontal="left" vertical="center"/>
    </xf>
    <xf numFmtId="0" fontId="55" fillId="0" borderId="95" xfId="0" applyFont="1" applyBorder="1" applyAlignment="1">
      <alignment horizontal="left" vertical="center"/>
    </xf>
    <xf numFmtId="0" fontId="55" fillId="0" borderId="96" xfId="0" applyFont="1" applyBorder="1" applyAlignment="1">
      <alignment horizontal="left" vertical="center"/>
    </xf>
    <xf numFmtId="0" fontId="145" fillId="23" borderId="45" xfId="0" applyFont="1" applyFill="1" applyBorder="1" applyAlignment="1">
      <alignment horizontal="left" vertical="top"/>
    </xf>
    <xf numFmtId="0" fontId="55" fillId="23" borderId="0" xfId="0" applyFont="1" applyFill="1" applyAlignment="1">
      <alignment horizontal="left" vertical="top"/>
    </xf>
  </cellXfs>
  <cellStyles count="12">
    <cellStyle name="Köprü" xfId="1" builtinId="8"/>
    <cellStyle name="Normal" xfId="0" builtinId="0"/>
    <cellStyle name="Normal_Repayment Scheme" xfId="2" xr:uid="{00000000-0005-0000-0000-000002000000}"/>
    <cellStyle name="Normal_Sheet1" xfId="3" xr:uid="{00000000-0005-0000-0000-000003000000}"/>
    <cellStyle name="Yüzde" xfId="4" builtinId="5"/>
    <cellStyle name="Обычный_1Əməliyyat" xfId="5" xr:uid="{00000000-0005-0000-0000-000005000000}"/>
    <cellStyle name="Обычный_KMO BANK" xfId="6" xr:uid="{00000000-0005-0000-0000-000006000000}"/>
    <cellStyle name="Обычный_Payment order" xfId="7" xr:uid="{00000000-0005-0000-0000-000007000000}"/>
    <cellStyle name="Обычный_Payment Plan-unicode" xfId="8" xr:uid="{00000000-0005-0000-0000-000008000000}"/>
    <cellStyle name="Обычный_Payment Plan-unicode 2" xfId="9" xr:uid="{00000000-0005-0000-0000-000009000000}"/>
    <cellStyle name="Обычный_Плат. нов. (2)" xfId="10" xr:uid="{00000000-0005-0000-0000-00000A000000}"/>
    <cellStyle name="Финансовый_Payment Plan-unicode" xfId="11" xr:uid="{00000000-0005-0000-0000-00000B000000}"/>
  </cellStyles>
  <dxfs count="19">
    <dxf>
      <fill>
        <patternFill patternType="none">
          <bgColor indexed="65"/>
        </patternFill>
      </fill>
    </dxf>
    <dxf>
      <fill>
        <patternFill>
          <bgColor indexed="41"/>
        </patternFill>
      </fill>
    </dxf>
    <dxf>
      <fill>
        <patternFill>
          <bgColor indexed="43"/>
        </patternFill>
      </fill>
    </dxf>
    <dxf>
      <font>
        <color rgb="FF9C0006"/>
      </font>
      <fill>
        <patternFill>
          <bgColor rgb="FFFFC7CE"/>
        </patternFill>
      </fill>
    </dxf>
    <dxf>
      <fill>
        <patternFill>
          <bgColor theme="1"/>
        </patternFill>
      </fill>
    </dxf>
    <dxf>
      <fill>
        <patternFill>
          <bgColor rgb="FFFF0000"/>
        </patternFill>
      </fill>
    </dxf>
    <dxf>
      <fill>
        <patternFill>
          <bgColor theme="1"/>
        </patternFill>
      </fill>
    </dxf>
    <dxf>
      <fill>
        <patternFill>
          <bgColor rgb="FFFF0000"/>
        </patternFill>
      </fill>
    </dxf>
    <dxf>
      <fill>
        <patternFill>
          <bgColor theme="1"/>
        </patternFill>
      </fill>
    </dxf>
    <dxf>
      <fill>
        <patternFill>
          <bgColor rgb="FFFF0000"/>
        </patternFill>
      </fill>
    </dxf>
    <dxf>
      <fill>
        <patternFill>
          <bgColor theme="1"/>
        </patternFill>
      </fill>
    </dxf>
    <dxf>
      <fill>
        <patternFill>
          <bgColor rgb="FFFF0000"/>
        </patternFill>
      </fill>
    </dxf>
    <dxf>
      <fill>
        <patternFill>
          <bgColor theme="1"/>
        </patternFill>
      </fill>
    </dxf>
    <dxf>
      <fill>
        <patternFill>
          <bgColor rgb="FFFF0000"/>
        </patternFill>
      </fill>
    </dxf>
    <dxf>
      <fill>
        <patternFill>
          <bgColor theme="1" tint="4.9989318521683403E-2"/>
        </patternFill>
      </fill>
    </dxf>
    <dxf>
      <fill>
        <patternFill>
          <bgColor theme="6" tint="0.79998168889431442"/>
        </patternFill>
      </fill>
    </dxf>
    <dxf>
      <fill>
        <patternFill>
          <bgColor theme="1" tint="4.9989318521683403E-2"/>
        </patternFill>
      </fill>
    </dxf>
    <dxf>
      <fill>
        <patternFill patternType="none">
          <bgColor indexed="65"/>
        </patternFill>
      </fill>
    </dxf>
    <dxf>
      <fill>
        <patternFill patternType="none">
          <bgColor indexed="65"/>
        </patternFill>
      </fill>
    </dxf>
  </dxfs>
  <tableStyles count="0" defaultTableStyle="TableStyleMedium9" defaultPivotStyle="PivotStyleLight16"/>
  <colors>
    <mruColors>
      <color rgb="FFCCFFFF"/>
      <color rgb="FF66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theme" Target="theme/theme1.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s>
</file>

<file path=xl/ctrlProps/ctrlProp1.xml><?xml version="1.0" encoding="utf-8"?>
<formControlPr xmlns="http://schemas.microsoft.com/office/spreadsheetml/2009/9/main" objectType="Drop" dropStyle="combo" dx="16" fmlaLink="$F$73" fmlaRange="$A$78:$A$79" sel="1" val="0"/>
</file>

<file path=xl/ctrlProps/ctrlProp2.xml><?xml version="1.0" encoding="utf-8"?>
<formControlPr xmlns="http://schemas.microsoft.com/office/spreadsheetml/2009/9/main" objectType="Drop" dropStyle="combo" dx="16" fmlaLink="$B$77" fmlaRange="$K$73:$K$76" sel="0" val="0"/>
</file>

<file path=xl/ctrlProps/ctrlProp3.xml><?xml version="1.0" encoding="utf-8"?>
<formControlPr xmlns="http://schemas.microsoft.com/office/spreadsheetml/2009/9/main" objectType="CheckBox" checked="Checked" fmlaLink="$A$21" lockText="1"/>
</file>

<file path=xl/ctrlProps/ctrlProp4.xml><?xml version="1.0" encoding="utf-8"?>
<formControlPr xmlns="http://schemas.microsoft.com/office/spreadsheetml/2009/9/main" objectType="Drop" dropStyle="combo" dx="16" fmlaLink="$K$70" fmlaRange="$A$70:$A$72" sel="3" val="0"/>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png"/><Relationship Id="rId1" Type="http://schemas.openxmlformats.org/officeDocument/2006/relationships/image" Target="../media/image2.png"/><Relationship Id="rId4" Type="http://schemas.openxmlformats.org/officeDocument/2006/relationships/image" Target="../media/image5.png"/></Relationships>
</file>

<file path=xl/drawings/_rels/drawing3.xml.rels><?xml version="1.0" encoding="UTF-8" standalone="yes"?>
<Relationships xmlns="http://schemas.openxmlformats.org/package/2006/relationships"><Relationship Id="rId1" Type="http://schemas.openxmlformats.org/officeDocument/2006/relationships/image" Target="../media/image6.png"/></Relationships>
</file>

<file path=xl/drawings/_rels/drawing4.xml.rels><?xml version="1.0" encoding="UTF-8" standalone="yes"?>
<Relationships xmlns="http://schemas.openxmlformats.org/package/2006/relationships"><Relationship Id="rId1" Type="http://schemas.openxmlformats.org/officeDocument/2006/relationships/image" Target="../media/image7.png"/></Relationships>
</file>

<file path=xl/drawings/_rels/drawing5.xml.rels><?xml version="1.0" encoding="UTF-8" standalone="yes"?>
<Relationships xmlns="http://schemas.openxmlformats.org/package/2006/relationships"><Relationship Id="rId1" Type="http://schemas.openxmlformats.org/officeDocument/2006/relationships/image" Target="../media/image8.png"/></Relationships>
</file>

<file path=xl/drawings/_rels/drawing6.xml.rels><?xml version="1.0" encoding="UTF-8" standalone="yes"?>
<Relationships xmlns="http://schemas.openxmlformats.org/package/2006/relationships"><Relationship Id="rId1" Type="http://schemas.openxmlformats.org/officeDocument/2006/relationships/image" Target="../media/image9.png"/></Relationships>
</file>

<file path=xl/drawings/_rels/drawing7.xml.rels><?xml version="1.0" encoding="UTF-8" standalone="yes"?>
<Relationships xmlns="http://schemas.openxmlformats.org/package/2006/relationships"><Relationship Id="rId1" Type="http://schemas.openxmlformats.org/officeDocument/2006/relationships/image" Target="../media/image10.jpeg"/></Relationships>
</file>

<file path=xl/drawings/_rels/drawing8.xml.rels><?xml version="1.0" encoding="UTF-8" standalone="yes"?>
<Relationships xmlns="http://schemas.openxmlformats.org/package/2006/relationships"><Relationship Id="rId1" Type="http://schemas.openxmlformats.org/officeDocument/2006/relationships/image" Target="../media/image11.jpeg"/></Relationships>
</file>

<file path=xl/drawings/_rels/drawing9.xml.rels><?xml version="1.0" encoding="UTF-8" standalone="yes"?>
<Relationships xmlns="http://schemas.openxmlformats.org/package/2006/relationships"><Relationship Id="rId1" Type="http://schemas.openxmlformats.org/officeDocument/2006/relationships/image" Target="../media/image12.png"/></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5</xdr:col>
          <xdr:colOff>19050</xdr:colOff>
          <xdr:row>73</xdr:row>
          <xdr:rowOff>9525</xdr:rowOff>
        </xdr:from>
        <xdr:to>
          <xdr:col>6</xdr:col>
          <xdr:colOff>0</xdr:colOff>
          <xdr:row>74</xdr:row>
          <xdr:rowOff>28575</xdr:rowOff>
        </xdr:to>
        <xdr:sp macro="" textlink="">
          <xdr:nvSpPr>
            <xdr:cNvPr id="3076" name="Drop Down 4" hidden="1">
              <a:extLst>
                <a:ext uri="{63B3BB69-23CF-44E3-9099-C40C66FF867C}">
                  <a14:compatExt spid="_x0000_s3076"/>
                </a:ext>
                <a:ext uri="{FF2B5EF4-FFF2-40B4-BE49-F238E27FC236}">
                  <a16:creationId xmlns:a16="http://schemas.microsoft.com/office/drawing/2014/main" id="{00000000-0008-0000-0000-0000040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5</xdr:col>
          <xdr:colOff>285750</xdr:colOff>
          <xdr:row>75</xdr:row>
          <xdr:rowOff>0</xdr:rowOff>
        </xdr:from>
        <xdr:to>
          <xdr:col>8</xdr:col>
          <xdr:colOff>0</xdr:colOff>
          <xdr:row>75</xdr:row>
          <xdr:rowOff>190500</xdr:rowOff>
        </xdr:to>
        <xdr:sp macro="" textlink="">
          <xdr:nvSpPr>
            <xdr:cNvPr id="3077" name="Drop Down 5" hidden="1">
              <a:extLst>
                <a:ext uri="{63B3BB69-23CF-44E3-9099-C40C66FF867C}">
                  <a14:compatExt spid="_x0000_s3077"/>
                </a:ext>
                <a:ext uri="{FF2B5EF4-FFF2-40B4-BE49-F238E27FC236}">
                  <a16:creationId xmlns:a16="http://schemas.microsoft.com/office/drawing/2014/main" id="{00000000-0008-0000-0000-0000050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xdr:col>
          <xdr:colOff>1390650</xdr:colOff>
          <xdr:row>24</xdr:row>
          <xdr:rowOff>9525</xdr:rowOff>
        </xdr:from>
        <xdr:to>
          <xdr:col>1</xdr:col>
          <xdr:colOff>1695450</xdr:colOff>
          <xdr:row>25</xdr:row>
          <xdr:rowOff>9525</xdr:rowOff>
        </xdr:to>
        <xdr:sp macro="" textlink="">
          <xdr:nvSpPr>
            <xdr:cNvPr id="3079" name="Check Box 7" hidden="1">
              <a:extLst>
                <a:ext uri="{63B3BB69-23CF-44E3-9099-C40C66FF867C}">
                  <a14:compatExt spid="_x0000_s3079"/>
                </a:ext>
                <a:ext uri="{FF2B5EF4-FFF2-40B4-BE49-F238E27FC236}">
                  <a16:creationId xmlns:a16="http://schemas.microsoft.com/office/drawing/2014/main" id="{00000000-0008-0000-0000-000007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19050</xdr:colOff>
          <xdr:row>69</xdr:row>
          <xdr:rowOff>38100</xdr:rowOff>
        </xdr:from>
        <xdr:to>
          <xdr:col>3</xdr:col>
          <xdr:colOff>209550</xdr:colOff>
          <xdr:row>70</xdr:row>
          <xdr:rowOff>28575</xdr:rowOff>
        </xdr:to>
        <xdr:sp macro="" textlink="">
          <xdr:nvSpPr>
            <xdr:cNvPr id="3097" name="Drop Down 25" hidden="1">
              <a:extLst>
                <a:ext uri="{63B3BB69-23CF-44E3-9099-C40C66FF867C}">
                  <a14:compatExt spid="_x0000_s3097"/>
                </a:ext>
                <a:ext uri="{FF2B5EF4-FFF2-40B4-BE49-F238E27FC236}">
                  <a16:creationId xmlns:a16="http://schemas.microsoft.com/office/drawing/2014/main" id="{00000000-0008-0000-0000-0000190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fLocksWithSheet="0"/>
      </xdr:twoCellAnchor>
    </mc:Choice>
    <mc:Fallback/>
  </mc:AlternateContent>
  <xdr:twoCellAnchor editAs="oneCell">
    <xdr:from>
      <xdr:col>1</xdr:col>
      <xdr:colOff>9525</xdr:colOff>
      <xdr:row>4</xdr:row>
      <xdr:rowOff>180975</xdr:rowOff>
    </xdr:from>
    <xdr:to>
      <xdr:col>3</xdr:col>
      <xdr:colOff>885825</xdr:colOff>
      <xdr:row>12</xdr:row>
      <xdr:rowOff>57150</xdr:rowOff>
    </xdr:to>
    <xdr:pic>
      <xdr:nvPicPr>
        <xdr:cNvPr id="105481" name="Рисунок 7">
          <a:extLst>
            <a:ext uri="{FF2B5EF4-FFF2-40B4-BE49-F238E27FC236}">
              <a16:creationId xmlns:a16="http://schemas.microsoft.com/office/drawing/2014/main" id="{00000000-0008-0000-0000-0000099C01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825" y="904875"/>
          <a:ext cx="3552825" cy="885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38100</xdr:colOff>
      <xdr:row>0</xdr:row>
      <xdr:rowOff>123825</xdr:rowOff>
    </xdr:from>
    <xdr:to>
      <xdr:col>5</xdr:col>
      <xdr:colOff>600075</xdr:colOff>
      <xdr:row>3</xdr:row>
      <xdr:rowOff>133350</xdr:rowOff>
    </xdr:to>
    <xdr:pic>
      <xdr:nvPicPr>
        <xdr:cNvPr id="107556" name="Рисунок 2">
          <a:extLst>
            <a:ext uri="{FF2B5EF4-FFF2-40B4-BE49-F238E27FC236}">
              <a16:creationId xmlns:a16="http://schemas.microsoft.com/office/drawing/2014/main" id="{00000000-0008-0000-0200-000024A401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100" y="123825"/>
          <a:ext cx="2781300" cy="685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19050</xdr:colOff>
      <xdr:row>6</xdr:row>
      <xdr:rowOff>9525</xdr:rowOff>
    </xdr:from>
    <xdr:to>
      <xdr:col>12</xdr:col>
      <xdr:colOff>647700</xdr:colOff>
      <xdr:row>9</xdr:row>
      <xdr:rowOff>209550</xdr:rowOff>
    </xdr:to>
    <xdr:pic>
      <xdr:nvPicPr>
        <xdr:cNvPr id="107557" name="Рисунок 4">
          <a:extLst>
            <a:ext uri="{FF2B5EF4-FFF2-40B4-BE49-F238E27FC236}">
              <a16:creationId xmlns:a16="http://schemas.microsoft.com/office/drawing/2014/main" id="{00000000-0008-0000-0200-000025A401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715000" y="1390650"/>
          <a:ext cx="1314450" cy="752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95250</xdr:colOff>
      <xdr:row>5</xdr:row>
      <xdr:rowOff>247650</xdr:rowOff>
    </xdr:from>
    <xdr:to>
      <xdr:col>11</xdr:col>
      <xdr:colOff>19050</xdr:colOff>
      <xdr:row>10</xdr:row>
      <xdr:rowOff>9525</xdr:rowOff>
    </xdr:to>
    <xdr:pic>
      <xdr:nvPicPr>
        <xdr:cNvPr id="107558" name="Рисунок 1">
          <a:extLst>
            <a:ext uri="{FF2B5EF4-FFF2-40B4-BE49-F238E27FC236}">
              <a16:creationId xmlns:a16="http://schemas.microsoft.com/office/drawing/2014/main" id="{00000000-0008-0000-0200-000026A401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4314825" y="1371600"/>
          <a:ext cx="1400175"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590550</xdr:colOff>
      <xdr:row>38</xdr:row>
      <xdr:rowOff>142875</xdr:rowOff>
    </xdr:from>
    <xdr:to>
      <xdr:col>12</xdr:col>
      <xdr:colOff>257175</xdr:colOff>
      <xdr:row>77</xdr:row>
      <xdr:rowOff>152400</xdr:rowOff>
    </xdr:to>
    <xdr:pic>
      <xdr:nvPicPr>
        <xdr:cNvPr id="107559" name="Рисунок 1">
          <a:extLst>
            <a:ext uri="{FF2B5EF4-FFF2-40B4-BE49-F238E27FC236}">
              <a16:creationId xmlns:a16="http://schemas.microsoft.com/office/drawing/2014/main" id="{00000000-0008-0000-0200-000027A401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4914900" y="7800975"/>
          <a:ext cx="1724025" cy="1724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352425</xdr:colOff>
      <xdr:row>1</xdr:row>
      <xdr:rowOff>0</xdr:rowOff>
    </xdr:from>
    <xdr:to>
      <xdr:col>3</xdr:col>
      <xdr:colOff>104775</xdr:colOff>
      <xdr:row>3</xdr:row>
      <xdr:rowOff>76200</xdr:rowOff>
    </xdr:to>
    <xdr:pic>
      <xdr:nvPicPr>
        <xdr:cNvPr id="106505" name="Рисунок 2">
          <a:extLst>
            <a:ext uri="{FF2B5EF4-FFF2-40B4-BE49-F238E27FC236}">
              <a16:creationId xmlns:a16="http://schemas.microsoft.com/office/drawing/2014/main" id="{00000000-0008-0000-0300-000009A001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57200" y="85725"/>
          <a:ext cx="1133475" cy="419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57150</xdr:colOff>
      <xdr:row>0</xdr:row>
      <xdr:rowOff>47625</xdr:rowOff>
    </xdr:from>
    <xdr:to>
      <xdr:col>3</xdr:col>
      <xdr:colOff>95250</xdr:colOff>
      <xdr:row>3</xdr:row>
      <xdr:rowOff>66675</xdr:rowOff>
    </xdr:to>
    <xdr:pic>
      <xdr:nvPicPr>
        <xdr:cNvPr id="108553" name="Рисунок 2">
          <a:extLst>
            <a:ext uri="{FF2B5EF4-FFF2-40B4-BE49-F238E27FC236}">
              <a16:creationId xmlns:a16="http://schemas.microsoft.com/office/drawing/2014/main" id="{00000000-0008-0000-0700-000009A801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71450" y="47625"/>
          <a:ext cx="1409700" cy="504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400050</xdr:colOff>
      <xdr:row>0</xdr:row>
      <xdr:rowOff>76200</xdr:rowOff>
    </xdr:from>
    <xdr:to>
      <xdr:col>3</xdr:col>
      <xdr:colOff>390525</xdr:colOff>
      <xdr:row>3</xdr:row>
      <xdr:rowOff>47625</xdr:rowOff>
    </xdr:to>
    <xdr:pic>
      <xdr:nvPicPr>
        <xdr:cNvPr id="74634" name="Рисунок 2">
          <a:extLst>
            <a:ext uri="{FF2B5EF4-FFF2-40B4-BE49-F238E27FC236}">
              <a16:creationId xmlns:a16="http://schemas.microsoft.com/office/drawing/2014/main" id="{00000000-0008-0000-0800-00008A2301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76250" y="76200"/>
          <a:ext cx="1333500" cy="476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314325</xdr:colOff>
      <xdr:row>2</xdr:row>
      <xdr:rowOff>247650</xdr:rowOff>
    </xdr:from>
    <xdr:to>
      <xdr:col>3</xdr:col>
      <xdr:colOff>390525</xdr:colOff>
      <xdr:row>5</xdr:row>
      <xdr:rowOff>9525</xdr:rowOff>
    </xdr:to>
    <xdr:pic>
      <xdr:nvPicPr>
        <xdr:cNvPr id="93422" name="Рисунок 2">
          <a:extLst>
            <a:ext uri="{FF2B5EF4-FFF2-40B4-BE49-F238E27FC236}">
              <a16:creationId xmlns:a16="http://schemas.microsoft.com/office/drawing/2014/main" id="{00000000-0008-0000-0C00-0000EE6C01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14325" y="752475"/>
          <a:ext cx="2409825" cy="695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a="http://schemas.openxmlformats.org/drawingml/2006/main">
  <xdr:twoCellAnchor>
    <xdr:from>
      <xdr:col>0</xdr:col>
      <xdr:colOff>19050</xdr:colOff>
      <xdr:row>0</xdr:row>
      <xdr:rowOff>0</xdr:rowOff>
    </xdr:from>
    <xdr:to>
      <xdr:col>1</xdr:col>
      <xdr:colOff>704850</xdr:colOff>
      <xdr:row>0</xdr:row>
      <xdr:rowOff>0</xdr:rowOff>
    </xdr:to>
    <xdr:pic>
      <xdr:nvPicPr>
        <xdr:cNvPr id="110646" name="Picture 1" descr="zamin01">
          <a:extLst>
            <a:ext uri="{FF2B5EF4-FFF2-40B4-BE49-F238E27FC236}">
              <a16:creationId xmlns:a16="http://schemas.microsoft.com/office/drawing/2014/main" id="{00000000-0008-0000-1000-000036B001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050" y="0"/>
          <a:ext cx="307657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0</xdr:colOff>
      <xdr:row>0</xdr:row>
      <xdr:rowOff>0</xdr:rowOff>
    </xdr:from>
    <xdr:to>
      <xdr:col>1</xdr:col>
      <xdr:colOff>678232</xdr:colOff>
      <xdr:row>0</xdr:row>
      <xdr:rowOff>0</xdr:rowOff>
    </xdr:to>
    <xdr:sp macro="" textlink="">
      <xdr:nvSpPr>
        <xdr:cNvPr id="28674" name="WordArt 2">
          <a:extLst>
            <a:ext uri="{FF2B5EF4-FFF2-40B4-BE49-F238E27FC236}">
              <a16:creationId xmlns:a16="http://schemas.microsoft.com/office/drawing/2014/main" id="{00000000-0008-0000-1000-000002700000}"/>
            </a:ext>
          </a:extLst>
        </xdr:cNvPr>
        <xdr:cNvSpPr>
          <a:spLocks noChangeArrowheads="1" noChangeShapeType="1" noTextEdit="1"/>
        </xdr:cNvSpPr>
      </xdr:nvSpPr>
      <xdr:spPr bwMode="auto">
        <a:xfrm>
          <a:off x="0" y="0"/>
          <a:ext cx="1562100" cy="0"/>
        </a:xfrm>
        <a:prstGeom prst="rect">
          <a:avLst/>
        </a:prstGeom>
      </xdr:spPr>
      <xdr:txBody>
        <a:bodyPr wrap="none" fromWordArt="1">
          <a:prstTxWarp prst="textPlain">
            <a:avLst>
              <a:gd name="adj" fmla="val 50000"/>
            </a:avLst>
          </a:prstTxWarp>
        </a:bodyPr>
        <a:lstStyle/>
        <a:p>
          <a:pPr algn="ctr" rtl="0"/>
          <a:r>
            <a:rPr lang="en-US" sz="3600" kern="10" spc="-360">
              <a:ln w="3175">
                <a:solidFill>
                  <a:srgbClr val="333333"/>
                </a:solidFill>
                <a:round/>
                <a:headEnd/>
                <a:tailEnd/>
              </a:ln>
              <a:solidFill>
                <a:srgbClr val="3366FF">
                  <a:alpha val="63000"/>
                </a:srgbClr>
              </a:solidFill>
              <a:effectLst/>
              <a:latin typeface="Arial"/>
              <a:cs typeface="Arial"/>
            </a:rPr>
            <a:t>SENAYE FİLİALI</a:t>
          </a:r>
          <a:endParaRPr lang="ru-RU" sz="3600" kern="10" spc="-360">
            <a:ln w="3175">
              <a:solidFill>
                <a:srgbClr val="333333"/>
              </a:solidFill>
              <a:round/>
              <a:headEnd/>
              <a:tailEnd/>
            </a:ln>
            <a:solidFill>
              <a:srgbClr val="3366FF">
                <a:alpha val="63000"/>
              </a:srgbClr>
            </a:solidFill>
            <a:effectLst/>
            <a:latin typeface="Arial"/>
            <a:cs typeface="Arial"/>
          </a:endParaRPr>
        </a:p>
      </xdr:txBody>
    </xdr:sp>
    <xdr:clientData/>
  </xdr:twoCellAnchor>
  <xdr:twoCellAnchor>
    <xdr:from>
      <xdr:col>0</xdr:col>
      <xdr:colOff>19050</xdr:colOff>
      <xdr:row>0</xdr:row>
      <xdr:rowOff>0</xdr:rowOff>
    </xdr:from>
    <xdr:to>
      <xdr:col>1</xdr:col>
      <xdr:colOff>704850</xdr:colOff>
      <xdr:row>0</xdr:row>
      <xdr:rowOff>0</xdr:rowOff>
    </xdr:to>
    <xdr:pic>
      <xdr:nvPicPr>
        <xdr:cNvPr id="110648" name="Picture 3" descr="zamin01">
          <a:extLst>
            <a:ext uri="{FF2B5EF4-FFF2-40B4-BE49-F238E27FC236}">
              <a16:creationId xmlns:a16="http://schemas.microsoft.com/office/drawing/2014/main" id="{00000000-0008-0000-1000-000038B001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050" y="0"/>
          <a:ext cx="307657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0</xdr:colOff>
      <xdr:row>0</xdr:row>
      <xdr:rowOff>0</xdr:rowOff>
    </xdr:from>
    <xdr:to>
      <xdr:col>1</xdr:col>
      <xdr:colOff>678232</xdr:colOff>
      <xdr:row>0</xdr:row>
      <xdr:rowOff>0</xdr:rowOff>
    </xdr:to>
    <xdr:sp macro="" textlink="">
      <xdr:nvSpPr>
        <xdr:cNvPr id="28676" name="WordArt 4">
          <a:extLst>
            <a:ext uri="{FF2B5EF4-FFF2-40B4-BE49-F238E27FC236}">
              <a16:creationId xmlns:a16="http://schemas.microsoft.com/office/drawing/2014/main" id="{00000000-0008-0000-1000-000004700000}"/>
            </a:ext>
          </a:extLst>
        </xdr:cNvPr>
        <xdr:cNvSpPr>
          <a:spLocks noChangeArrowheads="1" noChangeShapeType="1" noTextEdit="1"/>
        </xdr:cNvSpPr>
      </xdr:nvSpPr>
      <xdr:spPr bwMode="auto">
        <a:xfrm>
          <a:off x="0" y="0"/>
          <a:ext cx="1562100" cy="0"/>
        </a:xfrm>
        <a:prstGeom prst="rect">
          <a:avLst/>
        </a:prstGeom>
      </xdr:spPr>
      <xdr:txBody>
        <a:bodyPr wrap="none" fromWordArt="1">
          <a:prstTxWarp prst="textPlain">
            <a:avLst>
              <a:gd name="adj" fmla="val 50000"/>
            </a:avLst>
          </a:prstTxWarp>
        </a:bodyPr>
        <a:lstStyle/>
        <a:p>
          <a:pPr algn="ctr" rtl="0"/>
          <a:r>
            <a:rPr lang="en-US" sz="3600" kern="10" spc="-360">
              <a:ln w="3175">
                <a:solidFill>
                  <a:srgbClr val="333333"/>
                </a:solidFill>
                <a:round/>
                <a:headEnd/>
                <a:tailEnd/>
              </a:ln>
              <a:solidFill>
                <a:srgbClr val="3366FF">
                  <a:alpha val="63000"/>
                </a:srgbClr>
              </a:solidFill>
              <a:effectLst/>
              <a:latin typeface="Arial"/>
              <a:cs typeface="Arial"/>
            </a:rPr>
            <a:t>SENAYE FİLİALI</a:t>
          </a:r>
          <a:endParaRPr lang="ru-RU" sz="3600" kern="10" spc="-360">
            <a:ln w="3175">
              <a:solidFill>
                <a:srgbClr val="333333"/>
              </a:solidFill>
              <a:round/>
              <a:headEnd/>
              <a:tailEnd/>
            </a:ln>
            <a:solidFill>
              <a:srgbClr val="3366FF">
                <a:alpha val="63000"/>
              </a:srgbClr>
            </a:solidFill>
            <a:effectLst/>
            <a:latin typeface="Arial"/>
            <a:cs typeface="Arial"/>
          </a:endParaRPr>
        </a:p>
      </xdr:txBody>
    </xdr:sp>
    <xdr:clientData/>
  </xdr:twoCellAnchor>
  <xdr:twoCellAnchor>
    <xdr:from>
      <xdr:col>0</xdr:col>
      <xdr:colOff>19050</xdr:colOff>
      <xdr:row>0</xdr:row>
      <xdr:rowOff>0</xdr:rowOff>
    </xdr:from>
    <xdr:to>
      <xdr:col>1</xdr:col>
      <xdr:colOff>704850</xdr:colOff>
      <xdr:row>0</xdr:row>
      <xdr:rowOff>0</xdr:rowOff>
    </xdr:to>
    <xdr:pic>
      <xdr:nvPicPr>
        <xdr:cNvPr id="110650" name="Picture 5" descr="zamin01">
          <a:extLst>
            <a:ext uri="{FF2B5EF4-FFF2-40B4-BE49-F238E27FC236}">
              <a16:creationId xmlns:a16="http://schemas.microsoft.com/office/drawing/2014/main" id="{00000000-0008-0000-1000-00003AB001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050" y="0"/>
          <a:ext cx="307657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0</xdr:colOff>
      <xdr:row>0</xdr:row>
      <xdr:rowOff>0</xdr:rowOff>
    </xdr:from>
    <xdr:to>
      <xdr:col>1</xdr:col>
      <xdr:colOff>678232</xdr:colOff>
      <xdr:row>0</xdr:row>
      <xdr:rowOff>0</xdr:rowOff>
    </xdr:to>
    <xdr:sp macro="" textlink="">
      <xdr:nvSpPr>
        <xdr:cNvPr id="28678" name="WordArt 6">
          <a:extLst>
            <a:ext uri="{FF2B5EF4-FFF2-40B4-BE49-F238E27FC236}">
              <a16:creationId xmlns:a16="http://schemas.microsoft.com/office/drawing/2014/main" id="{00000000-0008-0000-1000-000006700000}"/>
            </a:ext>
          </a:extLst>
        </xdr:cNvPr>
        <xdr:cNvSpPr>
          <a:spLocks noChangeArrowheads="1" noChangeShapeType="1" noTextEdit="1"/>
        </xdr:cNvSpPr>
      </xdr:nvSpPr>
      <xdr:spPr bwMode="auto">
        <a:xfrm>
          <a:off x="0" y="0"/>
          <a:ext cx="1562100" cy="0"/>
        </a:xfrm>
        <a:prstGeom prst="rect">
          <a:avLst/>
        </a:prstGeom>
      </xdr:spPr>
      <xdr:txBody>
        <a:bodyPr wrap="none" fromWordArt="1">
          <a:prstTxWarp prst="textPlain">
            <a:avLst>
              <a:gd name="adj" fmla="val 50000"/>
            </a:avLst>
          </a:prstTxWarp>
        </a:bodyPr>
        <a:lstStyle/>
        <a:p>
          <a:pPr algn="ctr" rtl="0"/>
          <a:r>
            <a:rPr lang="en-US" sz="3600" kern="10" spc="-360">
              <a:ln w="3175">
                <a:solidFill>
                  <a:srgbClr val="333333"/>
                </a:solidFill>
                <a:round/>
                <a:headEnd/>
                <a:tailEnd/>
              </a:ln>
              <a:solidFill>
                <a:srgbClr val="3366FF">
                  <a:alpha val="63000"/>
                </a:srgbClr>
              </a:solidFill>
              <a:effectLst/>
              <a:latin typeface="Arial"/>
              <a:cs typeface="Arial"/>
            </a:rPr>
            <a:t>SENAYE FİLİALI</a:t>
          </a:r>
          <a:endParaRPr lang="ru-RU" sz="3600" kern="10" spc="-360">
            <a:ln w="3175">
              <a:solidFill>
                <a:srgbClr val="333333"/>
              </a:solidFill>
              <a:round/>
              <a:headEnd/>
              <a:tailEnd/>
            </a:ln>
            <a:solidFill>
              <a:srgbClr val="3366FF">
                <a:alpha val="63000"/>
              </a:srgbClr>
            </a:solidFill>
            <a:effectLst/>
            <a:latin typeface="Arial"/>
            <a:cs typeface="Arial"/>
          </a:endParaRPr>
        </a:p>
      </xdr:txBody>
    </xdr:sp>
    <xdr:clientData/>
  </xdr:twoCellAnchor>
</xdr:wsDr>
</file>

<file path=xl/drawings/drawing8.xml><?xml version="1.0" encoding="utf-8"?>
<xdr:wsDr xmlns:xdr="http://schemas.openxmlformats.org/drawingml/2006/spreadsheetDrawing" xmlns:a="http://schemas.openxmlformats.org/drawingml/2006/main">
  <xdr:twoCellAnchor editAs="oneCell">
    <xdr:from>
      <xdr:col>3</xdr:col>
      <xdr:colOff>381000</xdr:colOff>
      <xdr:row>3</xdr:row>
      <xdr:rowOff>9525</xdr:rowOff>
    </xdr:from>
    <xdr:to>
      <xdr:col>5</xdr:col>
      <xdr:colOff>609600</xdr:colOff>
      <xdr:row>9</xdr:row>
      <xdr:rowOff>66675</xdr:rowOff>
    </xdr:to>
    <xdr:pic>
      <xdr:nvPicPr>
        <xdr:cNvPr id="111625" name="Picture 1">
          <a:extLst>
            <a:ext uri="{FF2B5EF4-FFF2-40B4-BE49-F238E27FC236}">
              <a16:creationId xmlns:a16="http://schemas.microsoft.com/office/drawing/2014/main" id="{00000000-0008-0000-1100-000009B401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09800" y="504825"/>
          <a:ext cx="1447800" cy="1028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57149</xdr:colOff>
      <xdr:row>0</xdr:row>
      <xdr:rowOff>66676</xdr:rowOff>
    </xdr:from>
    <xdr:to>
      <xdr:col>1</xdr:col>
      <xdr:colOff>895350</xdr:colOff>
      <xdr:row>2</xdr:row>
      <xdr:rowOff>172928</xdr:rowOff>
    </xdr:to>
    <xdr:pic>
      <xdr:nvPicPr>
        <xdr:cNvPr id="2" name="Рисунок 2">
          <a:extLst>
            <a:ext uri="{FF2B5EF4-FFF2-40B4-BE49-F238E27FC236}">
              <a16:creationId xmlns:a16="http://schemas.microsoft.com/office/drawing/2014/main" id="{00000000-0008-0000-29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7649" y="66676"/>
          <a:ext cx="838201" cy="46820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hyperlink" Target="mailto:olegator@allok.ru?subject=&#1063;&#1080;&#1089;&#1083;&#1086;_&#1087;&#1088;&#1086;&#1087;&#1080;&#1089;&#1100;&#1102;_&#1074;_Excel" TargetMode="External"/><Relationship Id="rId1" Type="http://schemas.openxmlformats.org/officeDocument/2006/relationships/hyperlink" Target="http://www.allok.ru/" TargetMode="External"/><Relationship Id="rId4" Type="http://schemas.openxmlformats.org/officeDocument/2006/relationships/comments" Target="../comments1.xml"/></Relationships>
</file>

<file path=xl/worksheets/_rels/sheet21.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hyperlink" Target="mailto:olegator@allok.ru?subject=&#1063;&#1080;&#1089;&#1083;&#1086;_&#1087;&#1088;&#1086;&#1087;&#1080;&#1089;&#1100;&#1102;_&#1074;_Excel" TargetMode="External"/><Relationship Id="rId1" Type="http://schemas.openxmlformats.org/officeDocument/2006/relationships/hyperlink" Target="http://www.allok.ru/" TargetMode="External"/><Relationship Id="rId4" Type="http://schemas.openxmlformats.org/officeDocument/2006/relationships/comments" Target="../comments2.xml"/></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4.vml"/><Relationship Id="rId1" Type="http://schemas.openxmlformats.org/officeDocument/2006/relationships/printerSettings" Target="../printerSettings/printerSettings21.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6.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34.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Worksheet____1">
    <tabColor indexed="17"/>
    <pageSetUpPr autoPageBreaks="0"/>
  </sheetPr>
  <dimension ref="A1:R273"/>
  <sheetViews>
    <sheetView showGridLines="0" showRowColHeaders="0" topLeftCell="A6" zoomScaleNormal="100" workbookViewId="0">
      <selection activeCell="C33" sqref="C33:K33"/>
    </sheetView>
  </sheetViews>
  <sheetFormatPr defaultColWidth="0" defaultRowHeight="12.75" zeroHeight="1"/>
  <cols>
    <col min="1" max="1" width="1.7109375" style="79" customWidth="1"/>
    <col min="2" max="2" width="26.42578125" style="78" customWidth="1"/>
    <col min="3" max="4" width="13.7109375" style="78" customWidth="1"/>
    <col min="5" max="5" width="18.5703125" style="78" customWidth="1"/>
    <col min="6" max="6" width="6.28515625" style="78" customWidth="1"/>
    <col min="7" max="7" width="1.85546875" style="78" customWidth="1"/>
    <col min="8" max="8" width="2.140625" style="78" customWidth="1"/>
    <col min="9" max="9" width="2" style="78" customWidth="1"/>
    <col min="10" max="10" width="2.85546875" style="78" customWidth="1"/>
    <col min="11" max="11" width="7.28515625" style="78" customWidth="1"/>
    <col min="12" max="12" width="1.7109375" style="78" customWidth="1"/>
    <col min="13" max="16384" width="0" style="78" hidden="1"/>
  </cols>
  <sheetData>
    <row r="1" spans="1:12" s="76" customFormat="1" ht="9.9499999999999993" customHeight="1" thickBot="1">
      <c r="A1" s="627"/>
      <c r="B1" s="628"/>
      <c r="C1" s="627"/>
      <c r="D1" s="627"/>
      <c r="E1" s="627"/>
      <c r="F1" s="627"/>
      <c r="G1" s="627"/>
      <c r="H1" s="627"/>
      <c r="I1" s="627"/>
      <c r="J1" s="627"/>
      <c r="K1" s="627"/>
      <c r="L1" s="80"/>
    </row>
    <row r="2" spans="1:12" s="76" customFormat="1" ht="16.5" thickBot="1">
      <c r="A2" s="627"/>
      <c r="B2" s="837" t="s">
        <v>141</v>
      </c>
      <c r="C2" s="838"/>
      <c r="D2" s="838"/>
      <c r="E2" s="839"/>
      <c r="F2" s="839"/>
      <c r="G2" s="839"/>
      <c r="H2" s="839"/>
      <c r="I2" s="839"/>
      <c r="J2" s="839"/>
      <c r="K2" s="840"/>
      <c r="L2" s="80"/>
    </row>
    <row r="3" spans="1:12" s="76" customFormat="1" ht="24" customHeight="1">
      <c r="A3" s="627"/>
      <c r="B3" s="847"/>
      <c r="C3" s="848"/>
      <c r="D3" s="849"/>
      <c r="E3" s="567" t="s">
        <v>131</v>
      </c>
      <c r="F3" s="856"/>
      <c r="G3" s="857"/>
      <c r="H3" s="867" t="s">
        <v>133</v>
      </c>
      <c r="I3" s="868"/>
      <c r="J3" s="868"/>
      <c r="K3" s="869"/>
      <c r="L3" s="80"/>
    </row>
    <row r="4" spans="1:12" s="76" customFormat="1" ht="6.95" customHeight="1">
      <c r="A4" s="627"/>
      <c r="B4" s="850"/>
      <c r="C4" s="851"/>
      <c r="D4" s="852"/>
      <c r="E4" s="633"/>
      <c r="F4" s="634"/>
      <c r="G4" s="634"/>
      <c r="H4" s="635"/>
      <c r="I4" s="636"/>
      <c r="J4" s="636"/>
      <c r="K4" s="637"/>
      <c r="L4" s="80"/>
    </row>
    <row r="5" spans="1:12" s="76" customFormat="1" ht="15" customHeight="1">
      <c r="A5" s="627"/>
      <c r="B5" s="850"/>
      <c r="C5" s="851"/>
      <c r="D5" s="852"/>
      <c r="E5" s="568">
        <v>45768</v>
      </c>
      <c r="F5" s="763" t="s">
        <v>968</v>
      </c>
      <c r="G5" s="634"/>
      <c r="H5" s="634"/>
      <c r="I5" s="858" t="s">
        <v>931</v>
      </c>
      <c r="J5" s="859"/>
      <c r="K5" s="860"/>
      <c r="L5" s="80"/>
    </row>
    <row r="6" spans="1:12" s="76" customFormat="1" ht="6.95" customHeight="1">
      <c r="A6" s="627"/>
      <c r="B6" s="850"/>
      <c r="C6" s="851"/>
      <c r="D6" s="852"/>
      <c r="E6" s="762"/>
      <c r="F6" s="634"/>
      <c r="G6" s="634"/>
      <c r="H6" s="634"/>
      <c r="I6" s="861"/>
      <c r="J6" s="862"/>
      <c r="K6" s="863"/>
      <c r="L6" s="80"/>
    </row>
    <row r="7" spans="1:12" s="77" customFormat="1">
      <c r="A7" s="629"/>
      <c r="B7" s="850"/>
      <c r="C7" s="851"/>
      <c r="D7" s="852"/>
      <c r="E7" s="569" t="s">
        <v>132</v>
      </c>
      <c r="F7" s="638"/>
      <c r="G7" s="638"/>
      <c r="H7" s="638"/>
      <c r="I7" s="864"/>
      <c r="J7" s="865"/>
      <c r="K7" s="866"/>
      <c r="L7" s="81"/>
    </row>
    <row r="8" spans="1:12" s="77" customFormat="1" ht="6.95" customHeight="1" thickBot="1">
      <c r="A8" s="629"/>
      <c r="B8" s="850"/>
      <c r="C8" s="851"/>
      <c r="D8" s="852"/>
      <c r="E8" s="638"/>
      <c r="F8" s="639"/>
      <c r="G8" s="640"/>
      <c r="H8" s="641"/>
      <c r="I8" s="642"/>
      <c r="J8" s="638"/>
      <c r="K8" s="638"/>
      <c r="L8" s="81"/>
    </row>
    <row r="9" spans="1:12" s="76" customFormat="1" ht="15" customHeight="1" thickBot="1">
      <c r="A9" s="627"/>
      <c r="B9" s="850"/>
      <c r="C9" s="851"/>
      <c r="D9" s="852"/>
      <c r="E9" s="630">
        <f>IF(Data!C78&lt;=6,Лист2!M21,IF(Data!C78&lt;=12,Лист2!M22,IF(Data!C78&lt;=18,Лист2!M23,IF(Data!C78&lt;=24,Лист2!M24,0))))</f>
        <v>46133</v>
      </c>
      <c r="F9" s="856"/>
      <c r="G9" s="871"/>
      <c r="H9" s="870">
        <v>7</v>
      </c>
      <c r="I9" s="845"/>
      <c r="J9" s="644"/>
      <c r="K9" s="646" t="s">
        <v>127</v>
      </c>
      <c r="L9" s="80"/>
    </row>
    <row r="10" spans="1:12" s="76" customFormat="1" ht="6.95" customHeight="1" thickBot="1">
      <c r="A10" s="627"/>
      <c r="B10" s="850"/>
      <c r="C10" s="851"/>
      <c r="D10" s="852"/>
      <c r="E10" s="643"/>
      <c r="F10" s="634"/>
      <c r="G10" s="634"/>
      <c r="H10" s="634"/>
      <c r="I10" s="634"/>
      <c r="J10" s="644"/>
      <c r="K10" s="645"/>
      <c r="L10" s="80"/>
    </row>
    <row r="11" spans="1:12" s="76" customFormat="1" ht="13.5" thickBot="1">
      <c r="A11" s="631"/>
      <c r="B11" s="850"/>
      <c r="C11" s="851"/>
      <c r="D11" s="852"/>
      <c r="E11" s="634"/>
      <c r="F11" s="634" t="s">
        <v>124</v>
      </c>
      <c r="G11" s="634"/>
      <c r="H11" s="844">
        <v>0</v>
      </c>
      <c r="I11" s="845"/>
      <c r="J11" s="647" t="s">
        <v>154</v>
      </c>
      <c r="K11" s="646" t="s">
        <v>121</v>
      </c>
      <c r="L11" s="80"/>
    </row>
    <row r="12" spans="1:12" s="76" customFormat="1" ht="3" customHeight="1" thickBot="1">
      <c r="A12" s="631"/>
      <c r="B12" s="850"/>
      <c r="C12" s="851"/>
      <c r="D12" s="852"/>
      <c r="E12" s="570"/>
      <c r="F12" s="651"/>
      <c r="G12" s="652"/>
      <c r="H12" s="571"/>
      <c r="I12" s="650"/>
      <c r="J12" s="644"/>
      <c r="K12" s="646"/>
      <c r="L12" s="80"/>
    </row>
    <row r="13" spans="1:12" s="76" customFormat="1" ht="15.75" thickBot="1">
      <c r="A13" s="631"/>
      <c r="B13" s="850"/>
      <c r="C13" s="851"/>
      <c r="D13" s="852"/>
      <c r="E13" s="611">
        <f>C76</f>
        <v>0</v>
      </c>
      <c r="F13" s="634" t="s">
        <v>125</v>
      </c>
      <c r="G13" s="634"/>
      <c r="H13" s="870">
        <f>E13*2</f>
        <v>0</v>
      </c>
      <c r="I13" s="845"/>
      <c r="J13" s="648" t="s">
        <v>87</v>
      </c>
      <c r="K13" s="646" t="s">
        <v>122</v>
      </c>
      <c r="L13" s="80"/>
    </row>
    <row r="14" spans="1:12" s="76" customFormat="1" ht="6.95" customHeight="1" thickBot="1">
      <c r="A14" s="631"/>
      <c r="B14" s="850"/>
      <c r="C14" s="851"/>
      <c r="D14" s="852"/>
      <c r="E14" s="643"/>
      <c r="F14" s="634"/>
      <c r="G14" s="652"/>
      <c r="H14" s="634"/>
      <c r="I14" s="624"/>
      <c r="J14" s="634"/>
      <c r="K14" s="645"/>
      <c r="L14" s="80"/>
    </row>
    <row r="15" spans="1:12" s="76" customFormat="1" ht="15.75" thickBot="1">
      <c r="A15" s="631"/>
      <c r="B15" s="850"/>
      <c r="C15" s="851"/>
      <c r="D15" s="852"/>
      <c r="E15" s="654">
        <v>7</v>
      </c>
      <c r="F15" s="634" t="s">
        <v>125</v>
      </c>
      <c r="G15" s="634"/>
      <c r="H15" s="877">
        <v>1</v>
      </c>
      <c r="I15" s="878"/>
      <c r="J15" s="648" t="s">
        <v>87</v>
      </c>
      <c r="K15" s="646" t="s">
        <v>123</v>
      </c>
      <c r="L15" s="80"/>
    </row>
    <row r="16" spans="1:12" s="76" customFormat="1" ht="6.95" customHeight="1" thickBot="1">
      <c r="A16" s="631"/>
      <c r="B16" s="850"/>
      <c r="C16" s="851"/>
      <c r="D16" s="852"/>
      <c r="E16" s="653"/>
      <c r="F16" s="634"/>
      <c r="G16" s="634"/>
      <c r="H16" s="572"/>
      <c r="I16" s="649"/>
      <c r="J16" s="648"/>
      <c r="K16" s="646"/>
      <c r="L16" s="80"/>
    </row>
    <row r="17" spans="1:12" s="76" customFormat="1" ht="15.75" thickBot="1">
      <c r="A17" s="631"/>
      <c r="B17" s="850"/>
      <c r="C17" s="851"/>
      <c r="D17" s="852"/>
      <c r="E17" s="612">
        <f>E13</f>
        <v>0</v>
      </c>
      <c r="F17" s="634"/>
      <c r="G17" s="634"/>
      <c r="H17" s="870">
        <v>3</v>
      </c>
      <c r="I17" s="845"/>
      <c r="J17" s="634"/>
      <c r="K17" s="646" t="s">
        <v>126</v>
      </c>
      <c r="L17" s="80"/>
    </row>
    <row r="18" spans="1:12" s="76" customFormat="1" ht="13.5" thickBot="1">
      <c r="A18" s="631"/>
      <c r="B18" s="853"/>
      <c r="C18" s="854"/>
      <c r="D18" s="855"/>
      <c r="E18" s="655"/>
      <c r="F18" s="656"/>
      <c r="G18" s="656"/>
      <c r="H18" s="657"/>
      <c r="I18" s="657"/>
      <c r="J18" s="634"/>
      <c r="K18" s="646" t="s">
        <v>127</v>
      </c>
      <c r="L18" s="80"/>
    </row>
    <row r="19" spans="1:12" s="76" customFormat="1" ht="17.25" customHeight="1" thickBot="1">
      <c r="A19" s="631"/>
      <c r="B19" s="573" t="s">
        <v>148</v>
      </c>
      <c r="C19" s="829" t="s">
        <v>471</v>
      </c>
      <c r="D19" s="831"/>
      <c r="E19" s="574" t="s">
        <v>140</v>
      </c>
      <c r="F19" s="829" t="s">
        <v>475</v>
      </c>
      <c r="G19" s="830"/>
      <c r="H19" s="830"/>
      <c r="I19" s="831"/>
      <c r="J19" s="846"/>
      <c r="K19" s="846"/>
      <c r="L19" s="80"/>
    </row>
    <row r="20" spans="1:12" s="76" customFormat="1" ht="6.95" customHeight="1" thickBot="1">
      <c r="A20" s="631"/>
      <c r="B20" s="872"/>
      <c r="C20" s="873"/>
      <c r="D20" s="873"/>
      <c r="E20" s="873"/>
      <c r="F20" s="873"/>
      <c r="G20" s="873"/>
      <c r="H20" s="873"/>
      <c r="I20" s="873"/>
      <c r="J20" s="873"/>
      <c r="K20" s="873"/>
      <c r="L20" s="80"/>
    </row>
    <row r="21" spans="1:12" s="76" customFormat="1" ht="17.25" customHeight="1" thickBot="1">
      <c r="A21" s="631" t="b">
        <v>1</v>
      </c>
      <c r="B21" s="575" t="s">
        <v>143</v>
      </c>
      <c r="C21" s="832" t="s">
        <v>956</v>
      </c>
      <c r="D21" s="833"/>
      <c r="E21" s="576" t="s">
        <v>958</v>
      </c>
      <c r="F21" s="874" t="s">
        <v>957</v>
      </c>
      <c r="G21" s="875"/>
      <c r="H21" s="875"/>
      <c r="I21" s="876"/>
      <c r="J21" s="846"/>
      <c r="K21" s="846"/>
      <c r="L21" s="80"/>
    </row>
    <row r="22" spans="1:12" s="76" customFormat="1" ht="6.95" customHeight="1" thickBot="1">
      <c r="A22" s="631"/>
      <c r="B22" s="661"/>
      <c r="C22" s="659"/>
      <c r="D22" s="659"/>
      <c r="E22" s="659"/>
      <c r="F22" s="659"/>
      <c r="G22" s="659"/>
      <c r="H22" s="659"/>
      <c r="I22" s="659"/>
      <c r="J22" s="634"/>
      <c r="K22" s="634"/>
      <c r="L22" s="80"/>
    </row>
    <row r="23" spans="1:12" s="76" customFormat="1" ht="17.25" customHeight="1" thickBot="1">
      <c r="A23" s="631"/>
      <c r="B23" s="577" t="s">
        <v>134</v>
      </c>
      <c r="C23" s="834" t="s">
        <v>974</v>
      </c>
      <c r="D23" s="835"/>
      <c r="E23" s="835"/>
      <c r="F23" s="835"/>
      <c r="G23" s="835"/>
      <c r="H23" s="835"/>
      <c r="I23" s="836"/>
      <c r="J23" s="634"/>
      <c r="K23" s="658"/>
      <c r="L23" s="80"/>
    </row>
    <row r="24" spans="1:12" s="76" customFormat="1" ht="6.95" customHeight="1" thickBot="1">
      <c r="A24" s="631"/>
      <c r="B24" s="660"/>
      <c r="C24" s="660"/>
      <c r="D24" s="660"/>
      <c r="E24" s="660"/>
      <c r="F24" s="660"/>
      <c r="G24" s="660"/>
      <c r="H24" s="660"/>
      <c r="I24" s="660"/>
      <c r="J24" s="634"/>
      <c r="K24" s="634"/>
      <c r="L24" s="80"/>
    </row>
    <row r="25" spans="1:12" s="76" customFormat="1" ht="17.25" customHeight="1" thickBot="1">
      <c r="A25" s="631"/>
      <c r="B25" s="578" t="s">
        <v>135</v>
      </c>
      <c r="C25" s="834" t="str">
        <f>C23</f>
        <v>Yunusov Vüqar Fikrət oğlu</v>
      </c>
      <c r="D25" s="835"/>
      <c r="E25" s="835"/>
      <c r="F25" s="835"/>
      <c r="G25" s="835"/>
      <c r="H25" s="835"/>
      <c r="I25" s="836"/>
      <c r="J25" s="634"/>
      <c r="K25" s="634"/>
      <c r="L25" s="80"/>
    </row>
    <row r="26" spans="1:12" s="76" customFormat="1" ht="6.95" customHeight="1" thickBot="1">
      <c r="A26" s="631"/>
      <c r="B26" s="660"/>
      <c r="C26" s="660"/>
      <c r="D26" s="660"/>
      <c r="E26" s="660"/>
      <c r="F26" s="660"/>
      <c r="G26" s="660"/>
      <c r="H26" s="660"/>
      <c r="I26" s="660"/>
      <c r="J26" s="634"/>
      <c r="K26" s="634"/>
      <c r="L26" s="80"/>
    </row>
    <row r="27" spans="1:12" s="76" customFormat="1" ht="17.25" customHeight="1" thickBot="1">
      <c r="A27" s="631"/>
      <c r="B27" s="579" t="s">
        <v>144</v>
      </c>
      <c r="C27" s="841" t="s">
        <v>952</v>
      </c>
      <c r="D27" s="842"/>
      <c r="E27" s="885"/>
      <c r="F27" s="659"/>
      <c r="G27" s="659"/>
      <c r="H27" s="659"/>
      <c r="I27" s="659"/>
      <c r="J27" s="634"/>
      <c r="K27" s="634"/>
      <c r="L27" s="80"/>
    </row>
    <row r="28" spans="1:12" s="76" customFormat="1" ht="6.95" customHeight="1" thickBot="1">
      <c r="A28" s="631"/>
      <c r="B28" s="662"/>
      <c r="C28" s="663"/>
      <c r="D28" s="663"/>
      <c r="E28" s="663"/>
      <c r="F28" s="659"/>
      <c r="G28" s="659"/>
      <c r="H28" s="659"/>
      <c r="I28" s="659"/>
      <c r="J28" s="634"/>
      <c r="K28" s="634"/>
      <c r="L28" s="80"/>
    </row>
    <row r="29" spans="1:12" s="76" customFormat="1" ht="17.25" customHeight="1" thickBot="1">
      <c r="A29" s="631"/>
      <c r="B29" s="580" t="s">
        <v>145</v>
      </c>
      <c r="C29" s="821" t="s">
        <v>960</v>
      </c>
      <c r="D29" s="821"/>
      <c r="E29" s="821"/>
      <c r="F29" s="821"/>
      <c r="G29" s="821"/>
      <c r="H29" s="821"/>
      <c r="I29" s="821"/>
      <c r="J29" s="905"/>
      <c r="K29" s="634"/>
      <c r="L29" s="80"/>
    </row>
    <row r="30" spans="1:12" s="76" customFormat="1" ht="6.95" customHeight="1" thickBot="1">
      <c r="A30" s="631"/>
      <c r="B30" s="662"/>
      <c r="C30" s="663"/>
      <c r="D30" s="663"/>
      <c r="E30" s="663"/>
      <c r="F30" s="659"/>
      <c r="G30" s="659"/>
      <c r="H30" s="659"/>
      <c r="I30" s="659"/>
      <c r="J30" s="634"/>
      <c r="K30" s="634"/>
      <c r="L30" s="80"/>
    </row>
    <row r="31" spans="1:12" s="76" customFormat="1" ht="17.25" customHeight="1" thickBot="1">
      <c r="A31" s="631"/>
      <c r="B31" s="581" t="s">
        <v>146</v>
      </c>
      <c r="C31" s="841" t="s">
        <v>961</v>
      </c>
      <c r="D31" s="842"/>
      <c r="E31" s="842"/>
      <c r="F31" s="842"/>
      <c r="G31" s="842"/>
      <c r="H31" s="842"/>
      <c r="I31" s="842"/>
      <c r="J31" s="842"/>
      <c r="K31" s="843"/>
      <c r="L31" s="80"/>
    </row>
    <row r="32" spans="1:12" s="76" customFormat="1" ht="6.95" customHeight="1" thickBot="1">
      <c r="A32" s="631"/>
      <c r="B32" s="662"/>
      <c r="C32" s="663"/>
      <c r="D32" s="663"/>
      <c r="E32" s="663"/>
      <c r="F32" s="659"/>
      <c r="G32" s="659"/>
      <c r="H32" s="659"/>
      <c r="I32" s="659"/>
      <c r="J32" s="634"/>
      <c r="K32" s="634"/>
      <c r="L32" s="80"/>
    </row>
    <row r="33" spans="1:12" s="76" customFormat="1" ht="17.25" customHeight="1" thickBot="1">
      <c r="A33" s="631"/>
      <c r="B33" s="580" t="s">
        <v>227</v>
      </c>
      <c r="C33" s="823" t="s">
        <v>967</v>
      </c>
      <c r="D33" s="904"/>
      <c r="E33" s="904"/>
      <c r="F33" s="904"/>
      <c r="G33" s="904"/>
      <c r="H33" s="904"/>
      <c r="I33" s="904"/>
      <c r="J33" s="904"/>
      <c r="K33" s="824"/>
      <c r="L33" s="80"/>
    </row>
    <row r="34" spans="1:12" s="76" customFormat="1" ht="6.95" customHeight="1" thickBot="1">
      <c r="A34" s="631"/>
      <c r="B34" s="662"/>
      <c r="C34" s="663"/>
      <c r="D34" s="663"/>
      <c r="E34" s="663"/>
      <c r="F34" s="659"/>
      <c r="G34" s="659"/>
      <c r="H34" s="659"/>
      <c r="I34" s="659"/>
      <c r="J34" s="634"/>
      <c r="K34" s="634"/>
      <c r="L34" s="80"/>
    </row>
    <row r="35" spans="1:12" s="76" customFormat="1" ht="17.25" customHeight="1" thickBot="1">
      <c r="A35" s="631"/>
      <c r="B35" s="582" t="s">
        <v>477</v>
      </c>
      <c r="C35" s="583" t="s">
        <v>933</v>
      </c>
      <c r="D35" s="584" t="s">
        <v>929</v>
      </c>
      <c r="E35" s="787" t="s">
        <v>953</v>
      </c>
      <c r="F35" s="659"/>
      <c r="G35" s="659"/>
      <c r="H35" s="659"/>
      <c r="I35" s="659"/>
      <c r="J35" s="634"/>
      <c r="K35" s="634"/>
      <c r="L35" s="80"/>
    </row>
    <row r="36" spans="1:12" s="76" customFormat="1" ht="6.95" customHeight="1" thickBot="1">
      <c r="A36" s="631"/>
      <c r="B36" s="664"/>
      <c r="C36" s="641"/>
      <c r="D36" s="641"/>
      <c r="E36" s="663"/>
      <c r="F36" s="659"/>
      <c r="G36" s="659"/>
      <c r="H36" s="659"/>
      <c r="I36" s="659"/>
      <c r="J36" s="634"/>
      <c r="K36" s="634"/>
      <c r="L36" s="80"/>
    </row>
    <row r="37" spans="1:12" s="76" customFormat="1" ht="17.25" customHeight="1" thickBot="1">
      <c r="A37" s="631"/>
      <c r="B37" s="582" t="s">
        <v>169</v>
      </c>
      <c r="C37" s="583" t="s">
        <v>170</v>
      </c>
      <c r="D37" s="641"/>
      <c r="E37" s="660"/>
      <c r="F37" s="660"/>
      <c r="G37" s="660"/>
      <c r="H37" s="660"/>
      <c r="I37" s="660"/>
      <c r="J37" s="660"/>
      <c r="K37" s="660"/>
      <c r="L37" s="80"/>
    </row>
    <row r="38" spans="1:12" s="76" customFormat="1" ht="6.95" customHeight="1" thickBot="1">
      <c r="A38" s="631"/>
      <c r="B38" s="664"/>
      <c r="C38" s="641"/>
      <c r="D38" s="641"/>
      <c r="E38" s="663"/>
      <c r="F38" s="659"/>
      <c r="G38" s="659"/>
      <c r="H38" s="659"/>
      <c r="I38" s="659"/>
      <c r="J38" s="634"/>
      <c r="K38" s="634"/>
      <c r="L38" s="80"/>
    </row>
    <row r="39" spans="1:12" s="76" customFormat="1" ht="17.25" customHeight="1" thickBot="1">
      <c r="A39" s="631"/>
      <c r="B39" s="582" t="s">
        <v>171</v>
      </c>
      <c r="C39" s="583" t="s">
        <v>930</v>
      </c>
      <c r="D39" s="641"/>
      <c r="E39" s="663"/>
      <c r="F39" s="659"/>
      <c r="G39" s="659"/>
      <c r="H39" s="659"/>
      <c r="I39" s="659"/>
      <c r="J39" s="634"/>
      <c r="K39" s="634"/>
      <c r="L39" s="80"/>
    </row>
    <row r="40" spans="1:12" s="76" customFormat="1" ht="6.95" customHeight="1" thickBot="1">
      <c r="A40" s="631"/>
      <c r="B40" s="664"/>
      <c r="C40" s="641"/>
      <c r="D40" s="641"/>
      <c r="E40" s="663"/>
      <c r="F40" s="659"/>
      <c r="G40" s="659"/>
      <c r="H40" s="659"/>
      <c r="I40" s="659"/>
      <c r="J40" s="634"/>
      <c r="K40" s="634"/>
      <c r="L40" s="80"/>
    </row>
    <row r="41" spans="1:12" s="76" customFormat="1" ht="17.25" customHeight="1" thickBot="1">
      <c r="A41" s="631"/>
      <c r="B41" s="582" t="s">
        <v>173</v>
      </c>
      <c r="C41" s="583" t="s">
        <v>932</v>
      </c>
      <c r="D41" s="641"/>
      <c r="E41" s="663"/>
      <c r="F41" s="659"/>
      <c r="G41" s="659"/>
      <c r="H41" s="659"/>
      <c r="I41" s="659"/>
      <c r="J41" s="634"/>
      <c r="K41" s="634"/>
      <c r="L41" s="80"/>
    </row>
    <row r="42" spans="1:12" s="76" customFormat="1" ht="6.95" customHeight="1" thickBot="1">
      <c r="A42" s="631"/>
      <c r="B42" s="664"/>
      <c r="C42" s="641"/>
      <c r="D42" s="641"/>
      <c r="E42" s="663"/>
      <c r="F42" s="659"/>
      <c r="G42" s="659"/>
      <c r="H42" s="659"/>
      <c r="I42" s="659"/>
      <c r="J42" s="634"/>
      <c r="K42" s="634"/>
      <c r="L42" s="80"/>
    </row>
    <row r="43" spans="1:12" s="76" customFormat="1" ht="17.25" customHeight="1" thickBot="1">
      <c r="A43" s="631"/>
      <c r="B43" s="582" t="s">
        <v>174</v>
      </c>
      <c r="C43" s="886" t="s">
        <v>964</v>
      </c>
      <c r="D43" s="887"/>
      <c r="E43" s="887"/>
      <c r="F43" s="887"/>
      <c r="G43" s="887"/>
      <c r="H43" s="887"/>
      <c r="I43" s="887"/>
      <c r="J43" s="887"/>
      <c r="K43" s="888"/>
      <c r="L43" s="80"/>
    </row>
    <row r="44" spans="1:12" s="76" customFormat="1" ht="6.95" customHeight="1" thickBot="1">
      <c r="A44" s="631"/>
      <c r="B44" s="664"/>
      <c r="C44" s="641"/>
      <c r="D44" s="641"/>
      <c r="E44" s="663"/>
      <c r="F44" s="659"/>
      <c r="G44" s="659"/>
      <c r="H44" s="659"/>
      <c r="I44" s="659"/>
      <c r="J44" s="634"/>
      <c r="K44" s="634"/>
      <c r="L44" s="80"/>
    </row>
    <row r="45" spans="1:12" s="76" customFormat="1" ht="17.25" customHeight="1" thickBot="1">
      <c r="A45" s="631"/>
      <c r="B45" s="582" t="s">
        <v>175</v>
      </c>
      <c r="C45" s="886" t="s">
        <v>929</v>
      </c>
      <c r="D45" s="896"/>
      <c r="E45" s="896"/>
      <c r="F45" s="896"/>
      <c r="G45" s="896"/>
      <c r="H45" s="896"/>
      <c r="I45" s="896"/>
      <c r="J45" s="896"/>
      <c r="K45" s="897"/>
      <c r="L45" s="80"/>
    </row>
    <row r="46" spans="1:12" s="76" customFormat="1" ht="6.95" customHeight="1" thickBot="1">
      <c r="A46" s="631"/>
      <c r="B46" s="664"/>
      <c r="C46" s="641"/>
      <c r="D46" s="641"/>
      <c r="E46" s="663"/>
      <c r="F46" s="659"/>
      <c r="G46" s="659"/>
      <c r="H46" s="659"/>
      <c r="I46" s="659"/>
      <c r="J46" s="634"/>
      <c r="K46" s="634"/>
      <c r="L46" s="80"/>
    </row>
    <row r="47" spans="1:12" s="76" customFormat="1" ht="17.25" customHeight="1" thickBot="1">
      <c r="A47" s="631"/>
      <c r="B47" s="582" t="s">
        <v>176</v>
      </c>
      <c r="C47" s="886" t="s">
        <v>965</v>
      </c>
      <c r="D47" s="898"/>
      <c r="E47" s="899"/>
      <c r="F47" s="659"/>
      <c r="G47" s="659"/>
      <c r="H47" s="659"/>
      <c r="I47" s="659"/>
      <c r="J47" s="634"/>
      <c r="K47" s="634"/>
      <c r="L47" s="80"/>
    </row>
    <row r="48" spans="1:12" s="76" customFormat="1" ht="6.95" customHeight="1" thickBot="1">
      <c r="A48" s="631"/>
      <c r="B48" s="664"/>
      <c r="C48" s="641"/>
      <c r="D48" s="641"/>
      <c r="E48" s="663"/>
      <c r="F48" s="659"/>
      <c r="G48" s="659"/>
      <c r="H48" s="659"/>
      <c r="I48" s="659"/>
      <c r="J48" s="634"/>
      <c r="K48" s="634"/>
      <c r="L48" s="80"/>
    </row>
    <row r="49" spans="1:12" s="76" customFormat="1" ht="17.25" customHeight="1" thickBot="1">
      <c r="A49" s="631"/>
      <c r="B49" s="582" t="s">
        <v>177</v>
      </c>
      <c r="C49" s="585">
        <v>1500</v>
      </c>
      <c r="D49" s="641"/>
      <c r="E49" s="586" t="s">
        <v>178</v>
      </c>
      <c r="F49" s="889" t="s">
        <v>218</v>
      </c>
      <c r="G49" s="890"/>
      <c r="H49" s="890"/>
      <c r="I49" s="890"/>
      <c r="J49" s="890"/>
      <c r="K49" s="891"/>
      <c r="L49" s="80"/>
    </row>
    <row r="50" spans="1:12" s="76" customFormat="1" ht="6.95" customHeight="1" thickBot="1">
      <c r="A50" s="631"/>
      <c r="B50" s="665"/>
      <c r="C50" s="666"/>
      <c r="D50" s="641"/>
      <c r="E50" s="672"/>
      <c r="F50" s="673"/>
      <c r="G50" s="674"/>
      <c r="H50" s="674"/>
      <c r="I50" s="674"/>
      <c r="J50" s="674"/>
      <c r="K50" s="674"/>
      <c r="L50" s="80"/>
    </row>
    <row r="51" spans="1:12" s="76" customFormat="1" ht="17.25" customHeight="1" thickBot="1">
      <c r="A51" s="631"/>
      <c r="B51" s="582" t="s">
        <v>434</v>
      </c>
      <c r="C51" s="583" t="s">
        <v>959</v>
      </c>
      <c r="D51" s="641"/>
      <c r="E51" s="914" t="s">
        <v>526</v>
      </c>
      <c r="F51" s="915"/>
      <c r="G51" s="915"/>
      <c r="H51" s="915"/>
      <c r="I51" s="915"/>
      <c r="J51" s="915"/>
      <c r="K51" s="916"/>
      <c r="L51" s="80"/>
    </row>
    <row r="52" spans="1:12" s="76" customFormat="1" ht="6.95" customHeight="1" thickBot="1">
      <c r="A52" s="631"/>
      <c r="B52" s="667"/>
      <c r="C52" s="668"/>
      <c r="D52" s="641"/>
      <c r="E52" s="669"/>
      <c r="F52" s="670"/>
      <c r="G52" s="671"/>
      <c r="H52" s="671"/>
      <c r="I52" s="671"/>
      <c r="J52" s="671"/>
      <c r="K52" s="671"/>
      <c r="L52" s="80"/>
    </row>
    <row r="53" spans="1:12" s="76" customFormat="1" ht="17.25" customHeight="1" thickBot="1">
      <c r="A53" s="631"/>
      <c r="B53" s="582" t="s">
        <v>312</v>
      </c>
      <c r="C53" s="583" t="s">
        <v>966</v>
      </c>
      <c r="D53" s="641"/>
      <c r="E53" s="886"/>
      <c r="F53" s="892"/>
      <c r="G53" s="892"/>
      <c r="H53" s="892"/>
      <c r="I53" s="892"/>
      <c r="J53" s="892"/>
      <c r="K53" s="893"/>
      <c r="L53" s="80"/>
    </row>
    <row r="54" spans="1:12" s="76" customFormat="1" ht="6.95" customHeight="1" thickBot="1">
      <c r="A54" s="631"/>
      <c r="B54" s="665"/>
      <c r="C54" s="666"/>
      <c r="D54" s="641"/>
      <c r="E54" s="669"/>
      <c r="F54" s="670"/>
      <c r="G54" s="671"/>
      <c r="H54" s="671"/>
      <c r="I54" s="671"/>
      <c r="J54" s="671"/>
      <c r="K54" s="671"/>
      <c r="L54" s="80"/>
    </row>
    <row r="55" spans="1:12" s="76" customFormat="1" ht="17.25" customHeight="1" thickBot="1">
      <c r="A55" s="631"/>
      <c r="B55" s="582" t="s">
        <v>180</v>
      </c>
      <c r="C55" s="583" t="s">
        <v>954</v>
      </c>
      <c r="D55" s="641"/>
      <c r="E55" s="669"/>
      <c r="F55" s="670"/>
      <c r="G55" s="671"/>
      <c r="H55" s="671"/>
      <c r="I55" s="671"/>
      <c r="J55" s="671"/>
      <c r="K55" s="671"/>
      <c r="L55" s="80"/>
    </row>
    <row r="56" spans="1:12" s="76" customFormat="1" ht="6.95" customHeight="1" thickBot="1">
      <c r="A56" s="631"/>
      <c r="B56" s="587"/>
      <c r="C56" s="588"/>
      <c r="D56" s="641"/>
      <c r="E56" s="669"/>
      <c r="F56" s="670"/>
      <c r="G56" s="671"/>
      <c r="H56" s="671"/>
      <c r="I56" s="671"/>
      <c r="J56" s="671"/>
      <c r="K56" s="671"/>
      <c r="L56" s="80"/>
    </row>
    <row r="57" spans="1:12" s="76" customFormat="1" ht="17.25" customHeight="1" thickBot="1">
      <c r="A57" s="631"/>
      <c r="B57" s="582" t="s">
        <v>181</v>
      </c>
      <c r="C57" s="583">
        <f>C49+C51+C53-C55</f>
        <v>500</v>
      </c>
      <c r="D57" s="641"/>
      <c r="E57" s="669"/>
      <c r="F57" s="670"/>
      <c r="G57" s="671"/>
      <c r="H57" s="671"/>
      <c r="I57" s="671"/>
      <c r="J57" s="671"/>
      <c r="K57" s="671"/>
      <c r="L57" s="80"/>
    </row>
    <row r="58" spans="1:12" s="76" customFormat="1" ht="6.95" customHeight="1" thickBot="1">
      <c r="A58" s="631"/>
      <c r="B58" s="924"/>
      <c r="C58" s="925"/>
      <c r="D58" s="925"/>
      <c r="E58" s="925"/>
      <c r="F58" s="925"/>
      <c r="G58" s="925"/>
      <c r="H58" s="925"/>
      <c r="I58" s="925"/>
      <c r="J58" s="925"/>
      <c r="K58" s="925"/>
      <c r="L58" s="80"/>
    </row>
    <row r="59" spans="1:12" s="76" customFormat="1" ht="17.25" customHeight="1" thickBot="1">
      <c r="A59" s="631"/>
      <c r="B59" s="589" t="s">
        <v>172</v>
      </c>
      <c r="C59" s="832" t="s">
        <v>955</v>
      </c>
      <c r="D59" s="894"/>
      <c r="E59" s="894"/>
      <c r="F59" s="894"/>
      <c r="G59" s="894"/>
      <c r="H59" s="894"/>
      <c r="I59" s="894"/>
      <c r="J59" s="894"/>
      <c r="K59" s="895"/>
      <c r="L59" s="80"/>
    </row>
    <row r="60" spans="1:12" s="76" customFormat="1" ht="6.95" customHeight="1" thickBot="1">
      <c r="A60" s="631"/>
      <c r="B60" s="664"/>
      <c r="C60" s="641"/>
      <c r="D60" s="641"/>
      <c r="E60" s="663"/>
      <c r="F60" s="659"/>
      <c r="G60" s="659"/>
      <c r="H60" s="659"/>
      <c r="I60" s="659"/>
      <c r="J60" s="634"/>
      <c r="K60" s="634"/>
      <c r="L60" s="80"/>
    </row>
    <row r="61" spans="1:12" s="76" customFormat="1" ht="17.25" customHeight="1" thickBot="1">
      <c r="A61" s="631"/>
      <c r="B61" s="590" t="s">
        <v>298</v>
      </c>
      <c r="C61" s="591" t="s">
        <v>332</v>
      </c>
      <c r="D61" s="659"/>
      <c r="E61" s="901"/>
      <c r="F61" s="901"/>
      <c r="G61" s="901"/>
      <c r="H61" s="901"/>
      <c r="I61" s="901"/>
      <c r="J61" s="901"/>
      <c r="K61" s="902"/>
      <c r="L61" s="80"/>
    </row>
    <row r="62" spans="1:12" s="76" customFormat="1" ht="6.95" customHeight="1" thickBot="1">
      <c r="A62" s="631"/>
      <c r="B62" s="917"/>
      <c r="C62" s="873"/>
      <c r="D62" s="873"/>
      <c r="E62" s="873"/>
      <c r="F62" s="873"/>
      <c r="G62" s="873"/>
      <c r="H62" s="873"/>
      <c r="I62" s="873"/>
      <c r="J62" s="873"/>
      <c r="K62" s="873"/>
      <c r="L62" s="80"/>
    </row>
    <row r="63" spans="1:12" s="76" customFormat="1" ht="17.25" customHeight="1">
      <c r="A63" s="631"/>
      <c r="B63" s="922" t="s">
        <v>161</v>
      </c>
      <c r="C63" s="923"/>
      <c r="D63" s="592" t="s">
        <v>162</v>
      </c>
      <c r="E63" s="900"/>
      <c r="F63" s="901"/>
      <c r="G63" s="901"/>
      <c r="H63" s="901"/>
      <c r="I63" s="901"/>
      <c r="J63" s="901"/>
      <c r="K63" s="902"/>
      <c r="L63" s="80"/>
    </row>
    <row r="64" spans="1:12" s="76" customFormat="1" ht="17.25" customHeight="1">
      <c r="A64" s="631"/>
      <c r="B64" s="675"/>
      <c r="C64" s="676"/>
      <c r="D64" s="676"/>
      <c r="E64" s="676"/>
      <c r="F64" s="676"/>
      <c r="G64" s="676"/>
      <c r="H64" s="676"/>
      <c r="I64" s="676"/>
      <c r="J64" s="676"/>
      <c r="K64" s="676"/>
      <c r="L64" s="80"/>
    </row>
    <row r="65" spans="1:12" s="76" customFormat="1" ht="6.95" customHeight="1">
      <c r="A65" s="631"/>
      <c r="B65" s="881" t="s">
        <v>163</v>
      </c>
      <c r="C65" s="882"/>
      <c r="D65" s="879" t="s">
        <v>218</v>
      </c>
      <c r="E65" s="903"/>
      <c r="F65" s="901"/>
      <c r="G65" s="901"/>
      <c r="H65" s="901"/>
      <c r="I65" s="901"/>
      <c r="J65" s="901"/>
      <c r="K65" s="902"/>
      <c r="L65" s="80"/>
    </row>
    <row r="66" spans="1:12" s="76" customFormat="1" ht="17.25" customHeight="1" thickBot="1">
      <c r="A66" s="631"/>
      <c r="B66" s="883"/>
      <c r="C66" s="884"/>
      <c r="D66" s="880"/>
      <c r="E66" s="903"/>
      <c r="F66" s="901"/>
      <c r="G66" s="901"/>
      <c r="H66" s="901"/>
      <c r="I66" s="901"/>
      <c r="J66" s="901"/>
      <c r="K66" s="902"/>
      <c r="L66" s="80"/>
    </row>
    <row r="67" spans="1:12" s="76" customFormat="1" ht="6.95" customHeight="1" thickBot="1">
      <c r="A67" s="631"/>
      <c r="B67" s="918">
        <v>2200</v>
      </c>
      <c r="C67" s="919"/>
      <c r="D67" s="919"/>
      <c r="E67" s="920"/>
      <c r="F67" s="920"/>
      <c r="G67" s="920"/>
      <c r="H67" s="920"/>
      <c r="I67" s="920"/>
      <c r="J67" s="920"/>
      <c r="K67" s="920"/>
      <c r="L67" s="80"/>
    </row>
    <row r="68" spans="1:12" s="76" customFormat="1" ht="17.25" customHeight="1" thickBot="1">
      <c r="A68" s="631"/>
      <c r="B68" s="580" t="s">
        <v>480</v>
      </c>
      <c r="C68" s="928" t="s">
        <v>702</v>
      </c>
      <c r="D68" s="929"/>
      <c r="E68" s="930"/>
      <c r="F68" s="659"/>
      <c r="G68" s="659"/>
      <c r="H68" s="659"/>
      <c r="I68" s="659"/>
      <c r="J68" s="634"/>
      <c r="K68" s="634"/>
      <c r="L68" s="80"/>
    </row>
    <row r="69" spans="1:12" s="76" customFormat="1" ht="6.95" customHeight="1" thickBot="1">
      <c r="A69" s="631"/>
      <c r="B69" s="910"/>
      <c r="C69" s="911"/>
      <c r="D69" s="911"/>
      <c r="E69" s="911"/>
      <c r="F69" s="911"/>
      <c r="G69" s="911"/>
      <c r="H69" s="911"/>
      <c r="I69" s="911"/>
      <c r="J69" s="911"/>
      <c r="K69" s="911">
        <v>3</v>
      </c>
      <c r="L69" s="80"/>
    </row>
    <row r="70" spans="1:12" s="76" customFormat="1" ht="17.25" customHeight="1" thickBot="1">
      <c r="A70" s="631" t="s">
        <v>168</v>
      </c>
      <c r="B70" s="580" t="s">
        <v>164</v>
      </c>
      <c r="C70" s="625" t="str">
        <f>A72</f>
        <v>Qənaətbəxş</v>
      </c>
      <c r="D70" s="626"/>
      <c r="E70" s="593" t="str">
        <f>A72</f>
        <v>Qənaətbəxş</v>
      </c>
      <c r="F70" s="659"/>
      <c r="G70" s="659"/>
      <c r="H70" s="659"/>
      <c r="I70" s="659"/>
      <c r="J70" s="634"/>
      <c r="K70" s="646">
        <v>3</v>
      </c>
      <c r="L70" s="80"/>
    </row>
    <row r="71" spans="1:12" s="76" customFormat="1" ht="6.95" customHeight="1" thickBot="1">
      <c r="A71" s="631"/>
      <c r="B71" s="910"/>
      <c r="C71" s="911"/>
      <c r="D71" s="911"/>
      <c r="E71" s="911"/>
      <c r="F71" s="911"/>
      <c r="G71" s="911"/>
      <c r="H71" s="911"/>
      <c r="I71" s="911"/>
      <c r="J71" s="911"/>
      <c r="K71" s="911">
        <v>3</v>
      </c>
      <c r="L71" s="80"/>
    </row>
    <row r="72" spans="1:12" s="76" customFormat="1" ht="17.25" customHeight="1" thickBot="1">
      <c r="A72" s="632" t="s">
        <v>165</v>
      </c>
      <c r="B72" s="580" t="s">
        <v>166</v>
      </c>
      <c r="C72" s="594" t="s">
        <v>167</v>
      </c>
      <c r="D72" s="659"/>
      <c r="E72" s="659"/>
      <c r="F72" s="659"/>
      <c r="G72" s="659"/>
      <c r="H72" s="659"/>
      <c r="I72" s="659"/>
      <c r="J72" s="634"/>
      <c r="K72" s="634"/>
      <c r="L72" s="80"/>
    </row>
    <row r="73" spans="1:12" s="76" customFormat="1" ht="6.95" customHeight="1" thickBot="1">
      <c r="A73" s="631"/>
      <c r="B73" s="677"/>
      <c r="C73" s="678"/>
      <c r="D73" s="643">
        <v>1</v>
      </c>
      <c r="E73" s="643"/>
      <c r="F73" s="646">
        <v>1</v>
      </c>
      <c r="G73" s="634"/>
      <c r="H73" s="634"/>
      <c r="I73" s="634"/>
      <c r="J73" s="634"/>
      <c r="K73" s="646">
        <v>3</v>
      </c>
      <c r="L73" s="80"/>
    </row>
    <row r="74" spans="1:12" s="76" customFormat="1" ht="15.75" thickBot="1">
      <c r="A74" s="631" t="s">
        <v>128</v>
      </c>
      <c r="B74" s="595" t="s">
        <v>136</v>
      </c>
      <c r="C74" s="746">
        <v>1272</v>
      </c>
      <c r="D74" s="597" t="s">
        <v>128</v>
      </c>
      <c r="E74" s="677"/>
      <c r="F74" s="679">
        <f>IF(F73=1,1,IF(F73=2,10,""))</f>
        <v>1</v>
      </c>
      <c r="G74" s="634"/>
      <c r="H74" s="646" t="str">
        <f>IF(B77=1,K73,IF(B77=2,K74,IF(B77=3,B75,IF(B77=4,K76,""))))</f>
        <v/>
      </c>
      <c r="I74" s="634"/>
      <c r="J74" s="634"/>
      <c r="K74" s="646">
        <v>3</v>
      </c>
      <c r="L74" s="80"/>
    </row>
    <row r="75" spans="1:12" s="76" customFormat="1" ht="6.95" customHeight="1" thickBot="1">
      <c r="A75" s="631" t="s">
        <v>118</v>
      </c>
      <c r="B75" s="926"/>
      <c r="C75" s="873"/>
      <c r="D75" s="873"/>
      <c r="E75" s="873"/>
      <c r="F75" s="873"/>
      <c r="G75" s="873"/>
      <c r="H75" s="873"/>
      <c r="I75" s="873"/>
      <c r="J75" s="873"/>
      <c r="K75" s="873"/>
      <c r="L75" s="80"/>
    </row>
    <row r="76" spans="1:12" s="76" customFormat="1" ht="17.25" customHeight="1" thickBot="1">
      <c r="A76" s="631" t="s">
        <v>119</v>
      </c>
      <c r="B76" s="578" t="s">
        <v>156</v>
      </c>
      <c r="C76" s="747">
        <v>0</v>
      </c>
      <c r="D76" s="597" t="s">
        <v>157</v>
      </c>
      <c r="E76" s="677"/>
      <c r="F76" s="646"/>
      <c r="G76" s="598"/>
      <c r="H76" s="598"/>
      <c r="I76" s="680"/>
      <c r="J76" s="634"/>
      <c r="K76" s="646">
        <v>35</v>
      </c>
      <c r="L76" s="80"/>
    </row>
    <row r="77" spans="1:12" s="76" customFormat="1" ht="6.95" customHeight="1" thickBot="1">
      <c r="A77" s="631"/>
      <c r="B77" s="921"/>
      <c r="C77" s="873"/>
      <c r="D77" s="873"/>
      <c r="E77" s="873"/>
      <c r="F77" s="873"/>
      <c r="G77" s="873"/>
      <c r="H77" s="873"/>
      <c r="I77" s="873"/>
      <c r="J77" s="873"/>
      <c r="K77" s="873"/>
      <c r="L77" s="80"/>
    </row>
    <row r="78" spans="1:12" s="76" customFormat="1" ht="17.25" customHeight="1" thickBot="1">
      <c r="A78" s="631">
        <v>1</v>
      </c>
      <c r="B78" s="595" t="s">
        <v>137</v>
      </c>
      <c r="C78" s="596">
        <v>12</v>
      </c>
      <c r="D78" s="597" t="s">
        <v>155</v>
      </c>
      <c r="E78" s="681"/>
      <c r="F78" s="660"/>
      <c r="G78" s="660"/>
      <c r="H78" s="660"/>
      <c r="I78" s="660"/>
      <c r="J78" s="660"/>
      <c r="K78" s="660"/>
      <c r="L78" s="80"/>
    </row>
    <row r="79" spans="1:12" s="76" customFormat="1" ht="6.95" customHeight="1" thickBot="1">
      <c r="A79" s="631">
        <v>10</v>
      </c>
      <c r="B79" s="912">
        <v>0</v>
      </c>
      <c r="C79" s="913"/>
      <c r="D79" s="913"/>
      <c r="E79" s="913"/>
      <c r="F79" s="913"/>
      <c r="G79" s="913"/>
      <c r="H79" s="913"/>
      <c r="I79" s="913"/>
      <c r="J79" s="913"/>
      <c r="K79" s="913"/>
      <c r="L79" s="80"/>
    </row>
    <row r="80" spans="1:12" s="76" customFormat="1" ht="17.25" customHeight="1" thickBot="1">
      <c r="A80" s="631"/>
      <c r="B80" s="595" t="s">
        <v>138</v>
      </c>
      <c r="C80" s="596">
        <v>0</v>
      </c>
      <c r="D80" s="597" t="s">
        <v>155</v>
      </c>
      <c r="E80" s="634"/>
      <c r="F80" s="660"/>
      <c r="G80" s="660"/>
      <c r="H80" s="660"/>
      <c r="I80" s="660"/>
      <c r="J80" s="660"/>
      <c r="K80" s="660"/>
      <c r="L80" s="80"/>
    </row>
    <row r="81" spans="1:13" s="76" customFormat="1" ht="6.95" customHeight="1" thickBot="1">
      <c r="A81" s="631"/>
      <c r="B81" s="846"/>
      <c r="C81" s="873"/>
      <c r="D81" s="873"/>
      <c r="E81" s="873"/>
      <c r="F81" s="873"/>
      <c r="G81" s="873"/>
      <c r="H81" s="873"/>
      <c r="I81" s="873"/>
      <c r="J81" s="873"/>
      <c r="K81" s="873"/>
      <c r="L81" s="80"/>
    </row>
    <row r="82" spans="1:13" s="76" customFormat="1" ht="17.100000000000001" customHeight="1" thickBot="1">
      <c r="A82" s="631"/>
      <c r="B82" s="599" t="s">
        <v>139</v>
      </c>
      <c r="C82" s="600">
        <f>Annuity!F1</f>
        <v>106</v>
      </c>
      <c r="D82" s="601" t="str">
        <f>D74</f>
        <v xml:space="preserve"> AZN</v>
      </c>
      <c r="E82" s="682"/>
      <c r="F82" s="927"/>
      <c r="G82" s="927"/>
      <c r="H82" s="927"/>
      <c r="I82" s="927"/>
      <c r="J82" s="927"/>
      <c r="K82" s="646" t="s">
        <v>120</v>
      </c>
      <c r="L82" s="80"/>
    </row>
    <row r="83" spans="1:13" s="76" customFormat="1" ht="6.95" customHeight="1" thickBot="1">
      <c r="A83" s="631"/>
      <c r="B83" s="686"/>
      <c r="C83" s="685"/>
      <c r="D83" s="683"/>
      <c r="E83" s="683"/>
      <c r="F83" s="684"/>
      <c r="G83" s="684"/>
      <c r="H83" s="684"/>
      <c r="I83" s="684"/>
      <c r="J83" s="684"/>
      <c r="K83" s="684"/>
      <c r="L83" s="80"/>
    </row>
    <row r="84" spans="1:13" s="76" customFormat="1" ht="15" customHeight="1" thickBot="1">
      <c r="A84" s="631"/>
      <c r="B84" s="578" t="s">
        <v>783</v>
      </c>
      <c r="C84" s="602">
        <v>1672</v>
      </c>
      <c r="D84" s="601" t="s">
        <v>128</v>
      </c>
      <c r="E84" s="683"/>
      <c r="F84" s="684"/>
      <c r="G84" s="684"/>
      <c r="H84" s="684"/>
      <c r="I84" s="684"/>
      <c r="J84" s="684"/>
      <c r="K84" s="684"/>
      <c r="L84" s="80"/>
    </row>
    <row r="85" spans="1:13" s="76" customFormat="1" ht="6.95" customHeight="1" thickBot="1">
      <c r="A85" s="631"/>
      <c r="B85" s="686"/>
      <c r="C85" s="685"/>
      <c r="D85" s="683"/>
      <c r="E85" s="683"/>
      <c r="F85" s="684"/>
      <c r="G85" s="684"/>
      <c r="H85" s="684"/>
      <c r="I85" s="684"/>
      <c r="J85" s="684"/>
      <c r="K85" s="684"/>
      <c r="L85" s="80"/>
    </row>
    <row r="86" spans="1:13" s="76" customFormat="1" ht="15" customHeight="1" thickBot="1">
      <c r="A86" s="631"/>
      <c r="B86" s="578" t="s">
        <v>784</v>
      </c>
      <c r="C86" s="695">
        <f>IF(C78&lt;4,C140,IF(C78&lt;7,C142,IF(C78&lt;10,C144,IF(C78&lt;13,C146,IF(C78&lt;16,C148,IF(C78&lt;19,F140,IF(C78&lt;25,F142,IF(C78&lt;31,F144,))))))))</f>
        <v>20</v>
      </c>
      <c r="D86" s="597" t="s">
        <v>154</v>
      </c>
      <c r="E86" s="683"/>
      <c r="F86" s="684"/>
      <c r="G86" s="684"/>
      <c r="H86" s="684"/>
      <c r="I86" s="684"/>
      <c r="J86" s="684"/>
      <c r="K86" s="684"/>
      <c r="L86" s="80"/>
    </row>
    <row r="87" spans="1:13" s="76" customFormat="1" ht="6.95" customHeight="1" thickBot="1">
      <c r="A87" s="631"/>
      <c r="B87" s="686"/>
      <c r="C87" s="685"/>
      <c r="D87" s="683"/>
      <c r="E87" s="683"/>
      <c r="F87" s="684"/>
      <c r="G87" s="684"/>
      <c r="H87" s="684"/>
      <c r="I87" s="684"/>
      <c r="J87" s="684"/>
      <c r="K87" s="684"/>
      <c r="L87" s="80"/>
    </row>
    <row r="88" spans="1:13" s="76" customFormat="1" ht="15" customHeight="1" thickBot="1">
      <c r="A88" s="631"/>
      <c r="B88" s="578" t="s">
        <v>785</v>
      </c>
      <c r="C88" s="603">
        <v>0</v>
      </c>
      <c r="D88" s="601" t="s">
        <v>128</v>
      </c>
      <c r="E88" s="683"/>
      <c r="F88" s="684"/>
      <c r="G88" s="684"/>
      <c r="H88" s="684"/>
      <c r="I88" s="684"/>
      <c r="J88" s="684"/>
      <c r="K88" s="684"/>
      <c r="L88" s="80"/>
    </row>
    <row r="89" spans="1:13" s="76" customFormat="1" ht="6.95" customHeight="1" thickBot="1">
      <c r="A89" s="631"/>
      <c r="B89" s="686"/>
      <c r="C89" s="685"/>
      <c r="D89" s="683"/>
      <c r="E89" s="683"/>
      <c r="F89" s="684"/>
      <c r="G89" s="684"/>
      <c r="H89" s="684"/>
      <c r="I89" s="684"/>
      <c r="J89" s="684"/>
      <c r="K89" s="684"/>
      <c r="L89" s="80"/>
    </row>
    <row r="90" spans="1:13" s="76" customFormat="1" ht="15.75" thickBot="1">
      <c r="A90" s="631"/>
      <c r="B90" s="604" t="s">
        <v>703</v>
      </c>
      <c r="C90" s="841" t="s">
        <v>705</v>
      </c>
      <c r="D90" s="842"/>
      <c r="E90" s="842"/>
      <c r="F90" s="842"/>
      <c r="G90" s="842"/>
      <c r="H90" s="842"/>
      <c r="I90" s="842"/>
      <c r="J90" s="842"/>
      <c r="K90" s="885"/>
      <c r="L90" s="80"/>
      <c r="M90" s="84"/>
    </row>
    <row r="91" spans="1:13" s="76" customFormat="1" ht="6.95" customHeight="1" thickBot="1">
      <c r="A91" s="631"/>
      <c r="B91" s="686"/>
      <c r="C91" s="685"/>
      <c r="D91" s="683"/>
      <c r="E91" s="683"/>
      <c r="F91" s="684"/>
      <c r="G91" s="684"/>
      <c r="H91" s="684"/>
      <c r="I91" s="684"/>
      <c r="J91" s="684"/>
      <c r="K91" s="684"/>
      <c r="L91" s="80"/>
    </row>
    <row r="92" spans="1:13" s="76" customFormat="1" ht="13.5" thickBot="1">
      <c r="A92" s="631"/>
      <c r="B92" s="605" t="s">
        <v>704</v>
      </c>
      <c r="C92" s="907" t="s">
        <v>963</v>
      </c>
      <c r="D92" s="908"/>
      <c r="E92" s="908"/>
      <c r="F92" s="908"/>
      <c r="G92" s="908"/>
      <c r="H92" s="908"/>
      <c r="I92" s="908"/>
      <c r="J92" s="908"/>
      <c r="K92" s="909"/>
      <c r="L92" s="80"/>
    </row>
    <row r="93" spans="1:13" s="76" customFormat="1" ht="6.95" customHeight="1" thickBot="1">
      <c r="A93" s="631"/>
      <c r="B93" s="686"/>
      <c r="C93" s="685"/>
      <c r="D93" s="683"/>
      <c r="E93" s="683"/>
      <c r="F93" s="684"/>
      <c r="G93" s="684"/>
      <c r="H93" s="684"/>
      <c r="I93" s="684"/>
      <c r="J93" s="684"/>
      <c r="K93" s="684"/>
      <c r="L93" s="80"/>
    </row>
    <row r="94" spans="1:13" s="76" customFormat="1" ht="15.75" thickBot="1">
      <c r="A94" s="631"/>
      <c r="B94" s="604" t="s">
        <v>689</v>
      </c>
      <c r="C94" s="841" t="s">
        <v>962</v>
      </c>
      <c r="D94" s="842"/>
      <c r="E94" s="842"/>
      <c r="F94" s="842"/>
      <c r="G94" s="842"/>
      <c r="H94" s="842"/>
      <c r="I94" s="842"/>
      <c r="J94" s="842"/>
      <c r="K94" s="885"/>
      <c r="L94" s="80"/>
    </row>
    <row r="95" spans="1:13" s="76" customFormat="1" ht="6.95" customHeight="1" thickBot="1">
      <c r="A95" s="631" t="s">
        <v>168</v>
      </c>
      <c r="B95" s="686"/>
      <c r="C95" s="685"/>
      <c r="D95" s="683"/>
      <c r="E95" s="683"/>
      <c r="F95" s="684"/>
      <c r="G95" s="684"/>
      <c r="H95" s="684"/>
      <c r="I95" s="684"/>
      <c r="J95" s="684"/>
      <c r="K95" s="684"/>
      <c r="L95" s="80"/>
    </row>
    <row r="96" spans="1:13" s="76" customFormat="1" ht="15.75" thickBot="1">
      <c r="A96" s="631"/>
      <c r="B96" s="604" t="s">
        <v>580</v>
      </c>
      <c r="C96" s="841" t="s">
        <v>579</v>
      </c>
      <c r="D96" s="842"/>
      <c r="E96" s="842"/>
      <c r="F96" s="842"/>
      <c r="G96" s="842"/>
      <c r="H96" s="842"/>
      <c r="I96" s="842"/>
      <c r="J96" s="842"/>
      <c r="K96" s="885"/>
      <c r="L96" s="80"/>
    </row>
    <row r="97" spans="1:12" s="76" customFormat="1" ht="6.95" customHeight="1" thickBot="1">
      <c r="A97" s="631"/>
      <c r="B97" s="686"/>
      <c r="C97" s="685"/>
      <c r="D97" s="683"/>
      <c r="E97" s="683"/>
      <c r="F97" s="684"/>
      <c r="G97" s="684"/>
      <c r="H97" s="684"/>
      <c r="I97" s="684"/>
      <c r="J97" s="684"/>
      <c r="K97" s="684"/>
      <c r="L97" s="80"/>
    </row>
    <row r="98" spans="1:12" s="76" customFormat="1" ht="13.5" thickBot="1">
      <c r="A98" s="631"/>
      <c r="B98" s="606" t="s">
        <v>219</v>
      </c>
      <c r="C98" s="805" t="s">
        <v>220</v>
      </c>
      <c r="D98" s="806"/>
      <c r="E98" s="807"/>
      <c r="F98" s="808"/>
      <c r="G98" s="809"/>
      <c r="H98" s="809"/>
      <c r="I98" s="809"/>
      <c r="J98" s="809"/>
      <c r="K98" s="810"/>
      <c r="L98" s="80"/>
    </row>
    <row r="99" spans="1:12" s="76" customFormat="1" ht="6.95" customHeight="1" thickBot="1">
      <c r="A99" s="632" t="s">
        <v>165</v>
      </c>
      <c r="B99" s="687"/>
      <c r="C99" s="688"/>
      <c r="D99" s="688"/>
      <c r="E99" s="687"/>
      <c r="F99" s="688"/>
      <c r="G99" s="688"/>
      <c r="H99" s="688"/>
      <c r="I99" s="688"/>
      <c r="J99" s="688"/>
      <c r="K99" s="688"/>
      <c r="L99" s="80"/>
    </row>
    <row r="100" spans="1:12" s="76" customFormat="1" ht="13.5" thickBot="1">
      <c r="A100" s="632"/>
      <c r="B100" s="688"/>
      <c r="C100" s="827" t="s">
        <v>472</v>
      </c>
      <c r="D100" s="828"/>
      <c r="E100" s="623" t="s">
        <v>5</v>
      </c>
      <c r="F100" s="688"/>
      <c r="G100" s="688"/>
      <c r="H100" s="688"/>
      <c r="I100" s="688"/>
      <c r="J100" s="688"/>
      <c r="K100" s="688"/>
      <c r="L100" s="80"/>
    </row>
    <row r="101" spans="1:12" s="76" customFormat="1" ht="6.95" customHeight="1" thickBot="1">
      <c r="A101" s="632"/>
      <c r="B101" s="689"/>
      <c r="C101" s="688"/>
      <c r="D101" s="688"/>
      <c r="E101" s="689"/>
      <c r="F101" s="688"/>
      <c r="G101" s="688"/>
      <c r="H101" s="688"/>
      <c r="I101" s="688"/>
      <c r="J101" s="688"/>
      <c r="K101" s="688"/>
      <c r="L101" s="80"/>
    </row>
    <row r="102" spans="1:12" s="76" customFormat="1" ht="13.5" thickBot="1">
      <c r="A102" s="631"/>
      <c r="B102" s="607" t="s">
        <v>143</v>
      </c>
      <c r="C102" s="823"/>
      <c r="D102" s="824"/>
      <c r="E102" s="608"/>
      <c r="F102" s="688"/>
      <c r="G102" s="688"/>
      <c r="H102" s="688"/>
      <c r="I102" s="688"/>
      <c r="J102" s="688"/>
      <c r="K102" s="688"/>
      <c r="L102" s="80"/>
    </row>
    <row r="103" spans="1:12" s="76" customFormat="1" ht="6.95" customHeight="1" thickBot="1">
      <c r="A103" s="631" t="s">
        <v>128</v>
      </c>
      <c r="B103" s="688"/>
      <c r="C103" s="688"/>
      <c r="D103" s="688"/>
      <c r="E103" s="688"/>
      <c r="F103" s="688"/>
      <c r="G103" s="688"/>
      <c r="H103" s="688"/>
      <c r="I103" s="688"/>
      <c r="J103" s="688"/>
      <c r="K103" s="688"/>
      <c r="L103" s="80"/>
    </row>
    <row r="104" spans="1:12" s="76" customFormat="1" ht="13.5" thickBot="1">
      <c r="A104" s="631" t="s">
        <v>118</v>
      </c>
      <c r="B104" s="574" t="s">
        <v>144</v>
      </c>
      <c r="C104" s="814" t="s">
        <v>973</v>
      </c>
      <c r="D104" s="815"/>
      <c r="E104" s="816"/>
      <c r="F104" s="688"/>
      <c r="G104" s="688"/>
      <c r="H104" s="688"/>
      <c r="I104" s="688"/>
      <c r="J104" s="688"/>
      <c r="K104" s="688"/>
      <c r="L104" s="80"/>
    </row>
    <row r="105" spans="1:12" s="76" customFormat="1" ht="6.95" customHeight="1" thickBot="1">
      <c r="A105" s="631" t="s">
        <v>119</v>
      </c>
      <c r="B105" s="688"/>
      <c r="C105" s="688"/>
      <c r="D105" s="688"/>
      <c r="E105" s="688"/>
      <c r="F105" s="688"/>
      <c r="G105" s="688"/>
      <c r="H105" s="688"/>
      <c r="I105" s="688"/>
      <c r="J105" s="688"/>
      <c r="K105" s="688"/>
      <c r="L105" s="80"/>
    </row>
    <row r="106" spans="1:12" s="76" customFormat="1" ht="13.5" thickBot="1">
      <c r="A106" s="631"/>
      <c r="B106" s="574" t="s">
        <v>221</v>
      </c>
      <c r="C106" s="817"/>
      <c r="D106" s="818"/>
      <c r="E106" s="818"/>
      <c r="F106" s="819"/>
      <c r="G106" s="688"/>
      <c r="H106" s="688"/>
      <c r="I106" s="688"/>
      <c r="J106" s="688"/>
      <c r="K106" s="688"/>
      <c r="L106" s="80"/>
    </row>
    <row r="107" spans="1:12" s="76" customFormat="1" ht="6.95" customHeight="1" thickBot="1">
      <c r="A107" s="631">
        <v>1</v>
      </c>
      <c r="B107" s="688"/>
      <c r="C107" s="690"/>
      <c r="D107" s="688"/>
      <c r="E107" s="688"/>
      <c r="F107" s="688"/>
      <c r="G107" s="688"/>
      <c r="H107" s="688"/>
      <c r="I107" s="688"/>
      <c r="J107" s="688"/>
      <c r="K107" s="688"/>
      <c r="L107" s="80"/>
    </row>
    <row r="108" spans="1:12" s="76" customFormat="1" ht="13.5" thickBot="1">
      <c r="A108" s="631">
        <v>10</v>
      </c>
      <c r="B108" s="574" t="s">
        <v>134</v>
      </c>
      <c r="C108" s="906"/>
      <c r="D108" s="818"/>
      <c r="E108" s="818"/>
      <c r="F108" s="819"/>
      <c r="G108" s="688"/>
      <c r="H108" s="688"/>
      <c r="I108" s="688"/>
      <c r="J108" s="688"/>
      <c r="K108" s="688"/>
      <c r="L108" s="80"/>
    </row>
    <row r="109" spans="1:12" s="76" customFormat="1" ht="6.95" customHeight="1" thickBot="1">
      <c r="A109" s="631"/>
      <c r="B109" s="688"/>
      <c r="C109" s="690"/>
      <c r="D109" s="688"/>
      <c r="E109" s="688"/>
      <c r="F109" s="688"/>
      <c r="G109" s="688"/>
      <c r="H109" s="688"/>
      <c r="I109" s="688"/>
      <c r="J109" s="688"/>
      <c r="K109" s="688"/>
      <c r="L109" s="80"/>
    </row>
    <row r="110" spans="1:12" s="76" customFormat="1" ht="13.5" thickBot="1">
      <c r="A110" s="631"/>
      <c r="B110" s="574" t="s">
        <v>145</v>
      </c>
      <c r="C110" s="820"/>
      <c r="D110" s="821"/>
      <c r="E110" s="821"/>
      <c r="F110" s="822"/>
      <c r="G110" s="688"/>
      <c r="H110" s="688"/>
      <c r="I110" s="688"/>
      <c r="J110" s="688"/>
      <c r="K110" s="688"/>
      <c r="L110" s="80"/>
    </row>
    <row r="111" spans="1:12" s="76" customFormat="1" ht="6.95" customHeight="1" thickBot="1">
      <c r="A111" s="631"/>
      <c r="B111" s="688"/>
      <c r="C111" s="690"/>
      <c r="D111" s="688"/>
      <c r="E111" s="688"/>
      <c r="F111" s="688"/>
      <c r="G111" s="688"/>
      <c r="H111" s="688"/>
      <c r="I111" s="688"/>
      <c r="J111" s="688"/>
      <c r="K111" s="688"/>
      <c r="L111" s="80"/>
    </row>
    <row r="112" spans="1:12" s="76" customFormat="1" ht="13.5" thickBot="1">
      <c r="A112" s="631"/>
      <c r="B112" s="574" t="s">
        <v>369</v>
      </c>
      <c r="C112" s="820"/>
      <c r="D112" s="821"/>
      <c r="E112" s="821"/>
      <c r="F112" s="822"/>
      <c r="G112" s="688"/>
      <c r="H112" s="688"/>
      <c r="I112" s="688"/>
      <c r="J112" s="688"/>
      <c r="K112" s="688"/>
      <c r="L112" s="80"/>
    </row>
    <row r="113" spans="1:12" s="76" customFormat="1" ht="6.95" customHeight="1" thickBot="1">
      <c r="A113" s="631"/>
      <c r="B113" s="688"/>
      <c r="C113" s="688"/>
      <c r="D113" s="688"/>
      <c r="E113" s="688"/>
      <c r="F113" s="688"/>
      <c r="G113" s="688"/>
      <c r="H113" s="688"/>
      <c r="I113" s="688"/>
      <c r="J113" s="688"/>
      <c r="K113" s="688"/>
      <c r="L113" s="80"/>
    </row>
    <row r="114" spans="1:12" s="76" customFormat="1" ht="13.5" thickBot="1">
      <c r="A114" s="631"/>
      <c r="B114" s="574" t="s">
        <v>147</v>
      </c>
      <c r="C114" s="811"/>
      <c r="D114" s="812"/>
      <c r="E114" s="812"/>
      <c r="F114" s="813"/>
      <c r="G114" s="688"/>
      <c r="H114" s="688"/>
      <c r="I114" s="688"/>
      <c r="J114" s="688"/>
      <c r="K114" s="688"/>
      <c r="L114" s="80"/>
    </row>
    <row r="115" spans="1:12" s="76" customFormat="1" ht="6.95" customHeight="1" thickBot="1">
      <c r="A115" s="631"/>
      <c r="B115" s="688"/>
      <c r="C115" s="688"/>
      <c r="D115" s="688"/>
      <c r="E115" s="688"/>
      <c r="F115" s="688"/>
      <c r="G115" s="688"/>
      <c r="H115" s="688"/>
      <c r="I115" s="688"/>
      <c r="J115" s="688"/>
      <c r="K115" s="688"/>
      <c r="L115" s="80"/>
    </row>
    <row r="116" spans="1:12" s="76" customFormat="1" ht="13.5" thickBot="1">
      <c r="A116" s="631" t="s">
        <v>118</v>
      </c>
      <c r="B116" s="606" t="s">
        <v>219</v>
      </c>
      <c r="C116" s="805"/>
      <c r="D116" s="806"/>
      <c r="E116" s="807"/>
      <c r="F116" s="808"/>
      <c r="G116" s="809"/>
      <c r="H116" s="809"/>
      <c r="I116" s="809"/>
      <c r="J116" s="809"/>
      <c r="K116" s="810"/>
      <c r="L116" s="80"/>
    </row>
    <row r="117" spans="1:12" s="76" customFormat="1" ht="6.95" customHeight="1" thickBot="1">
      <c r="A117" s="631" t="s">
        <v>119</v>
      </c>
      <c r="B117" s="687"/>
      <c r="C117" s="688"/>
      <c r="D117" s="688"/>
      <c r="E117" s="687"/>
      <c r="F117" s="688"/>
      <c r="G117" s="688"/>
      <c r="H117" s="688"/>
      <c r="I117" s="688"/>
      <c r="J117" s="688"/>
      <c r="K117" s="688"/>
      <c r="L117" s="80"/>
    </row>
    <row r="118" spans="1:12" s="76" customFormat="1" ht="13.5" thickBot="1">
      <c r="A118" s="631"/>
      <c r="B118" s="688"/>
      <c r="C118" s="827" t="s">
        <v>472</v>
      </c>
      <c r="D118" s="828"/>
      <c r="E118" s="623" t="s">
        <v>5</v>
      </c>
      <c r="F118" s="688"/>
      <c r="G118" s="688"/>
      <c r="H118" s="688"/>
      <c r="I118" s="688"/>
      <c r="J118" s="688"/>
      <c r="K118" s="688"/>
      <c r="L118" s="80"/>
    </row>
    <row r="119" spans="1:12" s="76" customFormat="1" ht="6" customHeight="1" thickBot="1">
      <c r="A119" s="631"/>
      <c r="B119" s="689"/>
      <c r="C119" s="688"/>
      <c r="D119" s="688"/>
      <c r="E119" s="689"/>
      <c r="F119" s="688"/>
      <c r="G119" s="688"/>
      <c r="H119" s="688"/>
      <c r="I119" s="688"/>
      <c r="J119" s="688"/>
      <c r="K119" s="688"/>
      <c r="L119" s="80"/>
    </row>
    <row r="120" spans="1:12" s="76" customFormat="1" ht="13.5" thickBot="1">
      <c r="A120" s="631"/>
      <c r="B120" s="607" t="s">
        <v>143</v>
      </c>
      <c r="C120" s="823"/>
      <c r="D120" s="824"/>
      <c r="E120" s="608"/>
      <c r="F120" s="688"/>
      <c r="G120" s="688"/>
      <c r="H120" s="688"/>
      <c r="I120" s="688"/>
      <c r="J120" s="688"/>
      <c r="K120" s="688"/>
      <c r="L120" s="80"/>
    </row>
    <row r="121" spans="1:12" s="76" customFormat="1" ht="6" customHeight="1" thickBot="1">
      <c r="A121" s="631">
        <v>1</v>
      </c>
      <c r="B121" s="688"/>
      <c r="C121" s="688"/>
      <c r="D121" s="688"/>
      <c r="E121" s="688"/>
      <c r="F121" s="688"/>
      <c r="G121" s="688"/>
      <c r="H121" s="688"/>
      <c r="I121" s="688"/>
      <c r="J121" s="688"/>
      <c r="K121" s="688"/>
      <c r="L121" s="80"/>
    </row>
    <row r="122" spans="1:12" s="76" customFormat="1" ht="13.5" thickBot="1">
      <c r="A122" s="631">
        <v>10</v>
      </c>
      <c r="B122" s="574" t="s">
        <v>144</v>
      </c>
      <c r="C122" s="814"/>
      <c r="D122" s="815"/>
      <c r="E122" s="816"/>
      <c r="F122" s="688"/>
      <c r="G122" s="688"/>
      <c r="H122" s="688"/>
      <c r="I122" s="688"/>
      <c r="J122" s="688"/>
      <c r="K122" s="688"/>
      <c r="L122" s="80"/>
    </row>
    <row r="123" spans="1:12" s="76" customFormat="1" ht="6.95" customHeight="1" thickBot="1">
      <c r="A123" s="631"/>
      <c r="B123" s="688"/>
      <c r="C123" s="688"/>
      <c r="D123" s="688"/>
      <c r="E123" s="688"/>
      <c r="F123" s="688"/>
      <c r="G123" s="688"/>
      <c r="H123" s="688"/>
      <c r="I123" s="688"/>
      <c r="J123" s="688"/>
      <c r="K123" s="688"/>
      <c r="L123" s="80"/>
    </row>
    <row r="124" spans="1:12" s="76" customFormat="1" ht="13.5" thickBot="1">
      <c r="A124" s="631"/>
      <c r="B124" s="574" t="s">
        <v>221</v>
      </c>
      <c r="C124" s="817"/>
      <c r="D124" s="818"/>
      <c r="E124" s="818"/>
      <c r="F124" s="819"/>
      <c r="G124" s="688"/>
      <c r="H124" s="688"/>
      <c r="I124" s="688"/>
      <c r="J124" s="688"/>
      <c r="K124" s="688"/>
      <c r="L124" s="80"/>
    </row>
    <row r="125" spans="1:12" s="76" customFormat="1" ht="6.95" customHeight="1" thickBot="1">
      <c r="A125" s="631"/>
      <c r="B125" s="688"/>
      <c r="C125" s="688"/>
      <c r="D125" s="688"/>
      <c r="E125" s="688"/>
      <c r="F125" s="688"/>
      <c r="G125" s="688"/>
      <c r="H125" s="688"/>
      <c r="I125" s="688"/>
      <c r="J125" s="688"/>
      <c r="K125" s="688"/>
      <c r="L125" s="80"/>
    </row>
    <row r="126" spans="1:12" s="76" customFormat="1" ht="13.5" thickBot="1">
      <c r="A126" s="631"/>
      <c r="B126" s="574" t="s">
        <v>134</v>
      </c>
      <c r="C126" s="817"/>
      <c r="D126" s="818"/>
      <c r="E126" s="818"/>
      <c r="F126" s="819"/>
      <c r="G126" s="688"/>
      <c r="H126" s="688"/>
      <c r="I126" s="688"/>
      <c r="J126" s="688"/>
      <c r="K126" s="688"/>
      <c r="L126" s="80"/>
    </row>
    <row r="127" spans="1:12" s="76" customFormat="1" ht="6.95" customHeight="1" thickBot="1">
      <c r="A127" s="631"/>
      <c r="B127" s="688"/>
      <c r="C127" s="688"/>
      <c r="D127" s="688"/>
      <c r="E127" s="688"/>
      <c r="F127" s="688"/>
      <c r="G127" s="688"/>
      <c r="H127" s="688"/>
      <c r="I127" s="688"/>
      <c r="J127" s="688"/>
      <c r="K127" s="688"/>
      <c r="L127" s="80"/>
    </row>
    <row r="128" spans="1:12" s="76" customFormat="1" ht="13.5" thickBot="1">
      <c r="A128" s="631"/>
      <c r="B128" s="574" t="s">
        <v>145</v>
      </c>
      <c r="C128" s="820"/>
      <c r="D128" s="825"/>
      <c r="E128" s="825"/>
      <c r="F128" s="826"/>
      <c r="G128" s="688"/>
      <c r="H128" s="688"/>
      <c r="I128" s="688"/>
      <c r="J128" s="688"/>
      <c r="K128" s="688"/>
      <c r="L128" s="80"/>
    </row>
    <row r="129" spans="1:18" s="76" customFormat="1" ht="6.95" customHeight="1" thickBot="1">
      <c r="A129" s="627"/>
      <c r="B129" s="688"/>
      <c r="C129" s="688"/>
      <c r="D129" s="688"/>
      <c r="E129" s="688"/>
      <c r="F129" s="688"/>
      <c r="G129" s="688"/>
      <c r="H129" s="688"/>
      <c r="I129" s="688"/>
      <c r="J129" s="688"/>
      <c r="K129" s="688"/>
      <c r="L129" s="80"/>
    </row>
    <row r="130" spans="1:18" s="76" customFormat="1" ht="13.5" thickBot="1">
      <c r="A130" s="631"/>
      <c r="B130" s="574" t="s">
        <v>369</v>
      </c>
      <c r="C130" s="820"/>
      <c r="D130" s="825"/>
      <c r="E130" s="825"/>
      <c r="F130" s="826"/>
      <c r="G130" s="688"/>
      <c r="H130" s="688"/>
      <c r="I130" s="688"/>
      <c r="J130" s="688"/>
      <c r="K130" s="688"/>
      <c r="L130" s="80"/>
    </row>
    <row r="131" spans="1:18" s="76" customFormat="1" ht="6.95" customHeight="1" thickBot="1">
      <c r="A131" s="631"/>
      <c r="B131" s="688"/>
      <c r="C131" s="688"/>
      <c r="D131" s="688"/>
      <c r="E131" s="688"/>
      <c r="F131" s="688"/>
      <c r="G131" s="688"/>
      <c r="H131" s="688"/>
      <c r="I131" s="688"/>
      <c r="J131" s="688"/>
      <c r="K131" s="688"/>
      <c r="L131" s="80"/>
    </row>
    <row r="132" spans="1:18" s="76" customFormat="1" ht="13.5" thickBot="1">
      <c r="A132" s="631"/>
      <c r="B132" s="574" t="s">
        <v>147</v>
      </c>
      <c r="C132" s="811"/>
      <c r="D132" s="812"/>
      <c r="E132" s="812"/>
      <c r="F132" s="813"/>
      <c r="G132" s="688"/>
      <c r="H132" s="688"/>
      <c r="I132" s="688"/>
      <c r="J132" s="688"/>
      <c r="K132" s="688"/>
      <c r="L132" s="80"/>
    </row>
    <row r="133" spans="1:18" s="76" customFormat="1" ht="6.95" customHeight="1" thickBot="1">
      <c r="A133" s="610"/>
      <c r="B133" s="691"/>
      <c r="C133" s="692"/>
      <c r="D133" s="692"/>
      <c r="E133" s="692"/>
      <c r="F133" s="692"/>
      <c r="G133" s="692"/>
      <c r="H133" s="692"/>
      <c r="I133" s="692"/>
      <c r="J133" s="692"/>
      <c r="K133" s="692"/>
      <c r="L133" s="488"/>
      <c r="M133" s="1"/>
      <c r="N133" s="1"/>
      <c r="O133" s="1"/>
      <c r="P133" s="1"/>
      <c r="Q133" s="1"/>
      <c r="R133" s="1"/>
    </row>
    <row r="134" spans="1:18" s="76" customFormat="1" ht="13.5" thickBot="1">
      <c r="A134" s="610"/>
      <c r="B134" s="803" t="s">
        <v>587</v>
      </c>
      <c r="C134" s="804"/>
      <c r="D134" s="791">
        <v>300</v>
      </c>
      <c r="E134" s="797"/>
      <c r="F134" s="792"/>
      <c r="G134" s="688"/>
      <c r="H134" s="688"/>
      <c r="I134" s="688"/>
      <c r="J134" s="688"/>
      <c r="K134" s="688"/>
      <c r="L134" s="488"/>
      <c r="M134" s="1"/>
      <c r="N134" s="1"/>
      <c r="O134" s="1"/>
      <c r="P134" s="1"/>
      <c r="Q134" s="1"/>
      <c r="R134" s="1"/>
    </row>
    <row r="135" spans="1:18" s="76" customFormat="1" ht="6.95" customHeight="1" thickBot="1">
      <c r="A135" s="610"/>
      <c r="B135" s="691"/>
      <c r="C135" s="692"/>
      <c r="D135" s="692"/>
      <c r="E135" s="692"/>
      <c r="F135" s="692"/>
      <c r="G135" s="692"/>
      <c r="H135" s="692"/>
      <c r="I135" s="692"/>
      <c r="J135" s="692"/>
      <c r="K135" s="692"/>
      <c r="L135" s="488"/>
      <c r="M135" s="1"/>
      <c r="N135" s="1"/>
      <c r="O135" s="1"/>
      <c r="P135" s="1"/>
      <c r="Q135" s="1"/>
      <c r="R135" s="1"/>
    </row>
    <row r="136" spans="1:18" s="76" customFormat="1" ht="13.5" thickBot="1">
      <c r="A136" s="610"/>
      <c r="B136" s="803" t="s">
        <v>588</v>
      </c>
      <c r="C136" s="804"/>
      <c r="D136" s="791">
        <v>400</v>
      </c>
      <c r="E136" s="797"/>
      <c r="F136" s="792"/>
      <c r="G136" s="688"/>
      <c r="H136" s="688"/>
      <c r="I136" s="688"/>
      <c r="J136" s="688"/>
      <c r="K136" s="688"/>
      <c r="L136" s="488"/>
      <c r="M136" s="1"/>
      <c r="N136" s="1"/>
      <c r="O136" s="1"/>
      <c r="P136" s="1"/>
      <c r="Q136" s="1"/>
      <c r="R136" s="1"/>
    </row>
    <row r="137" spans="1:18" s="76" customFormat="1" ht="6.95" customHeight="1" thickBot="1">
      <c r="A137" s="610"/>
      <c r="B137" s="688"/>
      <c r="C137" s="688"/>
      <c r="D137" s="688"/>
      <c r="E137" s="688"/>
      <c r="F137" s="688"/>
      <c r="G137" s="688"/>
      <c r="H137" s="688"/>
      <c r="I137" s="688"/>
      <c r="J137" s="688"/>
      <c r="K137" s="688"/>
      <c r="L137" s="488"/>
      <c r="M137" s="1"/>
      <c r="N137" s="1"/>
      <c r="O137" s="1"/>
      <c r="P137" s="1"/>
      <c r="Q137" s="1"/>
      <c r="R137" s="1"/>
    </row>
    <row r="138" spans="1:18" s="76" customFormat="1" ht="15" thickBot="1">
      <c r="A138" s="610"/>
      <c r="B138" s="800" t="s">
        <v>810</v>
      </c>
      <c r="C138" s="801"/>
      <c r="D138" s="801"/>
      <c r="E138" s="801"/>
      <c r="F138" s="801"/>
      <c r="G138" s="801"/>
      <c r="H138" s="801"/>
      <c r="I138" s="801"/>
      <c r="J138" s="801"/>
      <c r="K138" s="802"/>
      <c r="L138" s="488"/>
      <c r="M138" s="1"/>
      <c r="N138" s="1"/>
      <c r="O138" s="1"/>
      <c r="P138" s="1"/>
      <c r="Q138" s="1"/>
      <c r="R138" s="1"/>
    </row>
    <row r="139" spans="1:18" s="76" customFormat="1" ht="6.95" customHeight="1" thickBot="1">
      <c r="A139" s="610"/>
      <c r="B139" s="688"/>
      <c r="C139" s="688"/>
      <c r="D139" s="688"/>
      <c r="E139" s="688"/>
      <c r="F139" s="688"/>
      <c r="G139" s="688"/>
      <c r="H139" s="688"/>
      <c r="I139" s="688"/>
      <c r="J139" s="688"/>
      <c r="K139" s="688"/>
      <c r="L139" s="488"/>
      <c r="M139" s="1"/>
      <c r="N139" s="1"/>
      <c r="O139" s="1"/>
      <c r="P139" s="1"/>
      <c r="Q139" s="1"/>
      <c r="R139" s="1"/>
    </row>
    <row r="140" spans="1:18" s="76" customFormat="1" ht="13.5" thickBot="1">
      <c r="A140" s="610"/>
      <c r="B140" s="614" t="s">
        <v>800</v>
      </c>
      <c r="C140" s="701">
        <v>7</v>
      </c>
      <c r="D140" s="605"/>
      <c r="E140" s="605" t="s">
        <v>805</v>
      </c>
      <c r="F140" s="793">
        <v>25.6</v>
      </c>
      <c r="G140" s="794"/>
      <c r="H140" s="794"/>
      <c r="I140" s="795"/>
      <c r="J140" s="798"/>
      <c r="K140" s="799"/>
      <c r="L140" s="488"/>
      <c r="M140" s="1"/>
      <c r="N140" s="1"/>
      <c r="O140" s="1"/>
      <c r="P140" s="1"/>
      <c r="Q140" s="1"/>
      <c r="R140" s="1"/>
    </row>
    <row r="141" spans="1:18" s="76" customFormat="1" ht="6.95" customHeight="1" thickBot="1">
      <c r="A141" s="610"/>
      <c r="B141" s="688"/>
      <c r="C141" s="688"/>
      <c r="D141" s="688"/>
      <c r="E141" s="688"/>
      <c r="F141" s="688"/>
      <c r="G141" s="688"/>
      <c r="H141" s="688"/>
      <c r="I141" s="688"/>
      <c r="J141" s="688"/>
      <c r="K141" s="688"/>
      <c r="L141" s="488"/>
      <c r="M141" s="1"/>
      <c r="N141" s="1"/>
      <c r="O141" s="1"/>
      <c r="P141" s="1"/>
      <c r="Q141" s="1"/>
      <c r="R141" s="1"/>
    </row>
    <row r="142" spans="1:18" s="76" customFormat="1" ht="13.5" thickBot="1">
      <c r="A142" s="610"/>
      <c r="B142" s="614" t="s">
        <v>801</v>
      </c>
      <c r="C142" s="701">
        <v>12</v>
      </c>
      <c r="D142" s="605"/>
      <c r="E142" s="605" t="s">
        <v>807</v>
      </c>
      <c r="F142" s="793">
        <v>28.55</v>
      </c>
      <c r="G142" s="794"/>
      <c r="H142" s="794"/>
      <c r="I142" s="795"/>
      <c r="J142" s="798"/>
      <c r="K142" s="799"/>
      <c r="L142" s="488"/>
      <c r="M142" s="1"/>
      <c r="N142" s="1"/>
      <c r="O142" s="1"/>
      <c r="P142" s="1"/>
      <c r="Q142" s="1"/>
      <c r="R142" s="1"/>
    </row>
    <row r="143" spans="1:18" s="76" customFormat="1" ht="6.95" customHeight="1" thickBot="1">
      <c r="A143" s="610"/>
      <c r="B143" s="688"/>
      <c r="C143" s="688"/>
      <c r="D143" s="688"/>
      <c r="E143" s="688"/>
      <c r="F143" s="688"/>
      <c r="G143" s="688"/>
      <c r="H143" s="688"/>
      <c r="I143" s="688"/>
      <c r="J143" s="688"/>
      <c r="K143" s="688"/>
      <c r="L143" s="488"/>
      <c r="M143" s="1"/>
      <c r="N143" s="1"/>
      <c r="O143" s="1"/>
      <c r="P143" s="1"/>
      <c r="Q143" s="1"/>
      <c r="R143" s="1"/>
    </row>
    <row r="144" spans="1:18" s="76" customFormat="1" ht="13.5" thickBot="1">
      <c r="A144" s="610"/>
      <c r="B144" s="614" t="s">
        <v>802</v>
      </c>
      <c r="C144" s="701">
        <v>16</v>
      </c>
      <c r="D144" s="605"/>
      <c r="E144" s="605" t="s">
        <v>809</v>
      </c>
      <c r="F144" s="789">
        <v>0</v>
      </c>
      <c r="G144" s="796"/>
      <c r="H144" s="796"/>
      <c r="I144" s="790"/>
      <c r="J144" s="789"/>
      <c r="K144" s="790"/>
      <c r="L144" s="488"/>
      <c r="M144" s="1"/>
      <c r="N144" s="1"/>
      <c r="O144" s="1"/>
      <c r="P144" s="1"/>
      <c r="Q144" s="1"/>
      <c r="R144" s="1"/>
    </row>
    <row r="145" spans="1:18" s="76" customFormat="1" ht="6.95" customHeight="1" thickBot="1">
      <c r="A145" s="610"/>
      <c r="B145" s="688"/>
      <c r="C145" s="688"/>
      <c r="D145" s="688"/>
      <c r="E145" s="688"/>
      <c r="F145" s="688"/>
      <c r="G145" s="688"/>
      <c r="H145" s="688"/>
      <c r="I145" s="688"/>
      <c r="J145" s="688"/>
      <c r="K145" s="688"/>
      <c r="L145" s="488"/>
      <c r="M145" s="1"/>
      <c r="N145" s="1"/>
      <c r="O145" s="1"/>
      <c r="P145" s="1"/>
      <c r="Q145" s="1"/>
      <c r="R145" s="1"/>
    </row>
    <row r="146" spans="1:18" s="76" customFormat="1" ht="13.5" thickBot="1">
      <c r="A146" s="610"/>
      <c r="B146" s="614" t="s">
        <v>803</v>
      </c>
      <c r="C146" s="701">
        <v>20</v>
      </c>
      <c r="D146" s="748"/>
      <c r="E146" s="613"/>
      <c r="F146" s="791"/>
      <c r="G146" s="797"/>
      <c r="H146" s="797"/>
      <c r="I146" s="792"/>
      <c r="J146" s="791"/>
      <c r="K146" s="792"/>
      <c r="L146" s="488"/>
      <c r="M146" s="1"/>
      <c r="N146" s="1"/>
      <c r="O146" s="1"/>
      <c r="P146" s="1"/>
      <c r="Q146" s="1"/>
      <c r="R146" s="1"/>
    </row>
    <row r="147" spans="1:18" s="76" customFormat="1" ht="6.95" customHeight="1" thickBot="1">
      <c r="A147" s="610"/>
      <c r="B147" s="688"/>
      <c r="C147" s="688"/>
      <c r="D147" s="688"/>
      <c r="E147" s="688"/>
      <c r="F147" s="688"/>
      <c r="G147" s="688"/>
      <c r="H147" s="688"/>
      <c r="I147" s="688"/>
      <c r="J147" s="688"/>
      <c r="K147" s="688"/>
      <c r="L147" s="488"/>
      <c r="M147" s="1"/>
      <c r="N147" s="1"/>
      <c r="O147" s="1"/>
      <c r="P147" s="1"/>
      <c r="Q147" s="1"/>
      <c r="R147" s="1"/>
    </row>
    <row r="148" spans="1:18" s="76" customFormat="1" ht="13.5" thickBot="1">
      <c r="A148" s="610"/>
      <c r="B148" s="614" t="s">
        <v>804</v>
      </c>
      <c r="C148" s="701">
        <v>23</v>
      </c>
      <c r="D148" s="748"/>
      <c r="E148" s="613"/>
      <c r="F148" s="791"/>
      <c r="G148" s="797"/>
      <c r="H148" s="797"/>
      <c r="I148" s="792"/>
      <c r="J148" s="791"/>
      <c r="K148" s="792"/>
      <c r="L148" s="488"/>
      <c r="M148" s="1"/>
      <c r="N148" s="1"/>
      <c r="O148" s="1"/>
      <c r="P148" s="1"/>
      <c r="Q148" s="1"/>
      <c r="R148" s="1"/>
    </row>
    <row r="149" spans="1:18" s="76" customFormat="1" ht="6.95" customHeight="1">
      <c r="A149" s="488"/>
      <c r="B149" s="609"/>
      <c r="C149" s="610"/>
      <c r="D149" s="610"/>
      <c r="E149" s="610"/>
      <c r="F149" s="610"/>
      <c r="G149" s="610"/>
      <c r="H149" s="610"/>
      <c r="I149" s="610"/>
      <c r="J149" s="610"/>
      <c r="K149" s="610"/>
      <c r="L149" s="488"/>
      <c r="M149" s="1"/>
      <c r="N149" s="1"/>
      <c r="O149" s="1"/>
      <c r="P149" s="1"/>
      <c r="Q149" s="1"/>
      <c r="R149" s="1"/>
    </row>
    <row r="150" spans="1:18" s="76" customFormat="1">
      <c r="A150" s="79"/>
      <c r="B150" s="78"/>
      <c r="C150" s="78"/>
      <c r="D150" s="78"/>
      <c r="E150" s="78"/>
      <c r="F150" s="78"/>
      <c r="G150" s="78"/>
      <c r="H150" s="78"/>
      <c r="I150" s="78"/>
      <c r="J150" s="78"/>
      <c r="K150" s="78"/>
      <c r="L150" s="78"/>
      <c r="M150" s="1"/>
      <c r="N150" s="1"/>
      <c r="O150" s="1"/>
      <c r="P150" s="1"/>
      <c r="Q150" s="1"/>
      <c r="R150" s="1"/>
    </row>
    <row r="151" spans="1:18" s="76" customFormat="1" ht="6.95" customHeight="1">
      <c r="A151" s="79"/>
      <c r="B151" s="78"/>
      <c r="C151" s="78"/>
      <c r="D151" s="78"/>
      <c r="E151" s="78"/>
      <c r="F151" s="78"/>
      <c r="G151" s="78"/>
      <c r="H151" s="78"/>
      <c r="I151" s="78"/>
      <c r="J151" s="78"/>
      <c r="K151" s="78"/>
      <c r="L151" s="78"/>
      <c r="M151" s="1"/>
      <c r="N151" s="1"/>
      <c r="O151" s="1"/>
      <c r="P151" s="1"/>
      <c r="Q151" s="1"/>
      <c r="R151" s="1"/>
    </row>
    <row r="152" spans="1:18" s="76" customFormat="1">
      <c r="A152" s="79"/>
      <c r="B152" s="78"/>
      <c r="C152" s="78"/>
      <c r="D152" s="78"/>
      <c r="E152" s="78"/>
      <c r="F152" s="78"/>
      <c r="G152" s="78"/>
      <c r="H152" s="78"/>
      <c r="I152" s="78"/>
      <c r="J152" s="78"/>
      <c r="K152" s="78"/>
      <c r="L152" s="78"/>
      <c r="M152" s="1"/>
      <c r="N152" s="1"/>
      <c r="O152" s="1"/>
      <c r="P152" s="1"/>
      <c r="Q152" s="1"/>
      <c r="R152" s="1"/>
    </row>
    <row r="153" spans="1:18" s="76" customFormat="1" ht="6.95" customHeight="1">
      <c r="A153" s="79"/>
      <c r="B153" s="78"/>
      <c r="C153" s="78"/>
      <c r="D153" s="78"/>
      <c r="E153" s="78"/>
      <c r="F153" s="78"/>
      <c r="G153" s="78"/>
      <c r="H153" s="78"/>
      <c r="I153" s="78"/>
      <c r="J153" s="78"/>
      <c r="K153" s="78"/>
      <c r="L153" s="78"/>
      <c r="M153" s="1"/>
      <c r="N153" s="1"/>
      <c r="O153" s="1"/>
      <c r="P153" s="1"/>
      <c r="Q153" s="1"/>
      <c r="R153" s="1"/>
    </row>
    <row r="154" spans="1:18" s="76" customFormat="1" ht="12.75" customHeight="1">
      <c r="A154" s="79"/>
      <c r="B154" s="78"/>
      <c r="C154" s="78"/>
      <c r="D154" s="78"/>
      <c r="E154" s="78"/>
      <c r="F154" s="78"/>
      <c r="G154" s="78"/>
      <c r="H154" s="78"/>
      <c r="I154" s="78"/>
      <c r="J154" s="78"/>
      <c r="K154" s="78"/>
      <c r="L154" s="78"/>
      <c r="M154" s="1"/>
      <c r="N154" s="1"/>
      <c r="O154" s="1"/>
      <c r="P154" s="1"/>
      <c r="Q154" s="1"/>
      <c r="R154" s="1"/>
    </row>
    <row r="155" spans="1:18" s="76" customFormat="1">
      <c r="A155" s="79"/>
      <c r="B155" s="78"/>
      <c r="C155" s="78"/>
      <c r="D155" s="78"/>
      <c r="E155" s="78"/>
      <c r="F155" s="78"/>
      <c r="G155" s="78"/>
      <c r="H155" s="78"/>
      <c r="I155" s="78"/>
      <c r="J155" s="78"/>
      <c r="K155" s="78"/>
      <c r="L155" s="78"/>
      <c r="M155" s="1"/>
      <c r="N155" s="1"/>
      <c r="O155" s="1"/>
      <c r="P155" s="1"/>
      <c r="Q155" s="1"/>
      <c r="R155" s="1"/>
    </row>
    <row r="156" spans="1:18" s="76" customFormat="1" ht="6.95" customHeight="1">
      <c r="A156" s="79"/>
      <c r="B156" s="78"/>
      <c r="C156" s="78"/>
      <c r="D156" s="78"/>
      <c r="E156" s="78"/>
      <c r="F156" s="78"/>
      <c r="G156" s="78"/>
      <c r="H156" s="78"/>
      <c r="I156" s="78"/>
      <c r="J156" s="78"/>
      <c r="K156" s="78"/>
      <c r="L156" s="78"/>
      <c r="M156" s="1"/>
      <c r="N156" s="1"/>
      <c r="O156" s="1"/>
      <c r="P156" s="1"/>
      <c r="Q156" s="1"/>
      <c r="R156" s="1"/>
    </row>
    <row r="157" spans="1:18" s="76" customFormat="1">
      <c r="A157" s="79"/>
      <c r="B157" s="78"/>
      <c r="C157" s="78"/>
      <c r="D157" s="78"/>
      <c r="E157" s="78"/>
      <c r="F157" s="78"/>
      <c r="G157" s="78"/>
      <c r="H157" s="78"/>
      <c r="I157" s="78"/>
      <c r="J157" s="78"/>
      <c r="K157" s="78"/>
      <c r="L157" s="78"/>
      <c r="M157" s="1"/>
      <c r="N157" s="1"/>
      <c r="O157" s="1"/>
      <c r="P157" s="1"/>
      <c r="Q157" s="1"/>
      <c r="R157" s="1"/>
    </row>
    <row r="158" spans="1:18" s="76" customFormat="1">
      <c r="A158" s="79"/>
      <c r="B158" s="78"/>
      <c r="C158" s="78"/>
      <c r="D158" s="78"/>
      <c r="E158" s="78"/>
      <c r="F158" s="78"/>
      <c r="G158" s="78"/>
      <c r="H158" s="78"/>
      <c r="I158" s="78"/>
      <c r="J158" s="78"/>
      <c r="K158" s="78"/>
      <c r="L158" s="78"/>
      <c r="M158" s="1"/>
      <c r="N158" s="1"/>
      <c r="O158" s="1"/>
      <c r="P158" s="1"/>
      <c r="Q158" s="1"/>
      <c r="R158" s="1"/>
    </row>
    <row r="159" spans="1:18" s="76" customFormat="1">
      <c r="A159" s="79"/>
      <c r="B159" s="78"/>
      <c r="C159" s="78"/>
      <c r="D159" s="78"/>
      <c r="E159" s="78"/>
      <c r="F159" s="78"/>
      <c r="G159" s="78"/>
      <c r="H159" s="78"/>
      <c r="I159" s="78"/>
      <c r="J159" s="78"/>
      <c r="K159" s="78"/>
      <c r="L159" s="78"/>
    </row>
    <row r="171" spans="1:1" hidden="1">
      <c r="A171" s="78"/>
    </row>
    <row r="172" spans="1:1" hidden="1">
      <c r="A172" s="78"/>
    </row>
    <row r="173" spans="1:1">
      <c r="A173" s="78"/>
    </row>
    <row r="174" spans="1:1">
      <c r="A174" s="78"/>
    </row>
    <row r="175" spans="1:1">
      <c r="A175" s="78"/>
    </row>
    <row r="176" spans="1:1">
      <c r="A176" s="78"/>
    </row>
    <row r="177" spans="1:1">
      <c r="A177" s="78"/>
    </row>
    <row r="178" spans="1:1">
      <c r="A178" s="78"/>
    </row>
    <row r="179" spans="1:1">
      <c r="A179" s="78"/>
    </row>
    <row r="180" spans="1:1">
      <c r="A180" s="78"/>
    </row>
    <row r="181" spans="1:1">
      <c r="A181" s="78"/>
    </row>
    <row r="182" spans="1:1">
      <c r="A182" s="78"/>
    </row>
    <row r="183" spans="1:1">
      <c r="A183" s="78"/>
    </row>
    <row r="184" spans="1:1">
      <c r="A184" s="78"/>
    </row>
    <row r="185" spans="1:1">
      <c r="A185" s="78"/>
    </row>
    <row r="186" spans="1:1">
      <c r="A186" s="78"/>
    </row>
    <row r="187" spans="1:1">
      <c r="A187" s="78"/>
    </row>
    <row r="188" spans="1:1">
      <c r="A188" s="78"/>
    </row>
    <row r="189" spans="1:1">
      <c r="A189" s="78"/>
    </row>
    <row r="190" spans="1:1">
      <c r="A190" s="78"/>
    </row>
    <row r="191" spans="1:1">
      <c r="A191" s="78"/>
    </row>
    <row r="192" spans="1:1">
      <c r="A192" s="78"/>
    </row>
    <row r="193" spans="1:1">
      <c r="A193" s="78"/>
    </row>
    <row r="194" spans="1:1">
      <c r="A194" s="78"/>
    </row>
    <row r="195" spans="1:1">
      <c r="A195" s="78"/>
    </row>
    <row r="196" spans="1:1">
      <c r="A196" s="78"/>
    </row>
    <row r="197" spans="1:1">
      <c r="A197" s="78"/>
    </row>
    <row r="198" spans="1:1">
      <c r="A198" s="78"/>
    </row>
    <row r="199" spans="1:1">
      <c r="A199" s="78"/>
    </row>
    <row r="200" spans="1:1">
      <c r="A200" s="78"/>
    </row>
    <row r="201" spans="1:1">
      <c r="A201" s="78"/>
    </row>
    <row r="202" spans="1:1">
      <c r="A202" s="78"/>
    </row>
    <row r="203" spans="1:1">
      <c r="A203" s="78"/>
    </row>
    <row r="204" spans="1:1">
      <c r="A204" s="78"/>
    </row>
    <row r="205" spans="1:1">
      <c r="A205" s="78"/>
    </row>
    <row r="206" spans="1:1">
      <c r="A206" s="78"/>
    </row>
    <row r="207" spans="1:1">
      <c r="A207" s="78"/>
    </row>
    <row r="208" spans="1:1">
      <c r="A208" s="78"/>
    </row>
    <row r="209" spans="1:1">
      <c r="A209" s="78"/>
    </row>
    <row r="210" spans="1:1">
      <c r="A210" s="78"/>
    </row>
    <row r="211" spans="1:1">
      <c r="A211" s="78"/>
    </row>
    <row r="212" spans="1:1">
      <c r="A212" s="78"/>
    </row>
    <row r="213" spans="1:1">
      <c r="A213" s="78"/>
    </row>
    <row r="214" spans="1:1">
      <c r="A214" s="78"/>
    </row>
    <row r="215" spans="1:1">
      <c r="A215" s="78"/>
    </row>
    <row r="216" spans="1:1">
      <c r="A216" s="78"/>
    </row>
    <row r="217" spans="1:1">
      <c r="A217" s="78"/>
    </row>
    <row r="218" spans="1:1">
      <c r="A218" s="78"/>
    </row>
    <row r="219" spans="1:1">
      <c r="A219" s="78"/>
    </row>
    <row r="220" spans="1:1">
      <c r="A220" s="78"/>
    </row>
    <row r="221" spans="1:1">
      <c r="A221" s="78"/>
    </row>
    <row r="222" spans="1:1">
      <c r="A222" s="78"/>
    </row>
    <row r="223" spans="1:1">
      <c r="A223" s="78"/>
    </row>
    <row r="224" spans="1:1">
      <c r="A224" s="78"/>
    </row>
    <row r="225" spans="1:1">
      <c r="A225" s="78"/>
    </row>
    <row r="226" spans="1:1">
      <c r="A226" s="78"/>
    </row>
    <row r="227" spans="1:1">
      <c r="A227" s="78"/>
    </row>
    <row r="228" spans="1:1">
      <c r="A228" s="78"/>
    </row>
    <row r="229" spans="1:1">
      <c r="A229" s="78"/>
    </row>
    <row r="230" spans="1:1">
      <c r="A230" s="78"/>
    </row>
    <row r="231" spans="1:1">
      <c r="A231" s="78"/>
    </row>
    <row r="232" spans="1:1">
      <c r="A232" s="78"/>
    </row>
    <row r="233" spans="1:1">
      <c r="A233" s="78"/>
    </row>
    <row r="234" spans="1:1">
      <c r="A234" s="78"/>
    </row>
    <row r="235" spans="1:1">
      <c r="A235" s="78"/>
    </row>
    <row r="236" spans="1:1">
      <c r="A236" s="78"/>
    </row>
    <row r="237" spans="1:1">
      <c r="A237" s="78"/>
    </row>
    <row r="238" spans="1:1">
      <c r="A238" s="78"/>
    </row>
    <row r="239" spans="1:1">
      <c r="A239" s="78"/>
    </row>
    <row r="240" spans="1:1">
      <c r="A240" s="78"/>
    </row>
    <row r="241" spans="1:1">
      <c r="A241" s="78"/>
    </row>
    <row r="242" spans="1:1">
      <c r="A242" s="78"/>
    </row>
    <row r="243" spans="1:1">
      <c r="A243" s="78"/>
    </row>
    <row r="244" spans="1:1" hidden="1">
      <c r="A244" s="78"/>
    </row>
    <row r="245" spans="1:1" hidden="1">
      <c r="A245" s="78"/>
    </row>
    <row r="246" spans="1:1" hidden="1">
      <c r="A246" s="78"/>
    </row>
    <row r="247" spans="1:1" hidden="1">
      <c r="A247" s="78"/>
    </row>
    <row r="248" spans="1:1" hidden="1">
      <c r="A248" s="78"/>
    </row>
    <row r="249" spans="1:1" hidden="1">
      <c r="A249" s="78"/>
    </row>
    <row r="250" spans="1:1" hidden="1">
      <c r="A250" s="78"/>
    </row>
    <row r="251" spans="1:1" hidden="1">
      <c r="A251" s="78"/>
    </row>
    <row r="252" spans="1:1" hidden="1">
      <c r="A252" s="78"/>
    </row>
    <row r="253" spans="1:1" hidden="1">
      <c r="A253" s="78"/>
    </row>
    <row r="254" spans="1:1" hidden="1">
      <c r="A254" s="78"/>
    </row>
    <row r="255" spans="1:1" hidden="1">
      <c r="A255" s="78"/>
    </row>
    <row r="256" spans="1:1" hidden="1">
      <c r="A256" s="78"/>
    </row>
    <row r="257" spans="1:1" hidden="1">
      <c r="A257" s="78"/>
    </row>
    <row r="258" spans="1:1" hidden="1">
      <c r="A258" s="78"/>
    </row>
    <row r="259" spans="1:1" hidden="1">
      <c r="A259" s="78"/>
    </row>
    <row r="260" spans="1:1">
      <c r="A260" s="78"/>
    </row>
    <row r="261" spans="1:1">
      <c r="A261" s="78"/>
    </row>
    <row r="262" spans="1:1" hidden="1">
      <c r="A262" s="78"/>
    </row>
    <row r="263" spans="1:1" hidden="1">
      <c r="A263" s="78"/>
    </row>
    <row r="264" spans="1:1" hidden="1">
      <c r="A264" s="78"/>
    </row>
    <row r="265" spans="1:1" hidden="1">
      <c r="A265" s="78"/>
    </row>
    <row r="266" spans="1:1" hidden="1">
      <c r="A266" s="78"/>
    </row>
    <row r="267" spans="1:1" hidden="1">
      <c r="A267" s="78"/>
    </row>
    <row r="268" spans="1:1">
      <c r="A268" s="78"/>
    </row>
    <row r="269" spans="1:1">
      <c r="A269" s="78"/>
    </row>
    <row r="270" spans="1:1">
      <c r="A270" s="78"/>
    </row>
    <row r="271" spans="1:1">
      <c r="A271" s="78"/>
    </row>
    <row r="272" spans="1:1"/>
    <row r="273"/>
  </sheetData>
  <mergeCells count="87">
    <mergeCell ref="B71:K71"/>
    <mergeCell ref="B79:K79"/>
    <mergeCell ref="C104:E104"/>
    <mergeCell ref="C106:F106"/>
    <mergeCell ref="E51:K51"/>
    <mergeCell ref="B62:K62"/>
    <mergeCell ref="B67:K67"/>
    <mergeCell ref="B69:K69"/>
    <mergeCell ref="B81:K81"/>
    <mergeCell ref="B77:K77"/>
    <mergeCell ref="B63:C63"/>
    <mergeCell ref="B58:K58"/>
    <mergeCell ref="B75:K75"/>
    <mergeCell ref="F82:J82"/>
    <mergeCell ref="C68:E68"/>
    <mergeCell ref="E61:K61"/>
    <mergeCell ref="C108:F108"/>
    <mergeCell ref="C94:K94"/>
    <mergeCell ref="C90:K90"/>
    <mergeCell ref="C96:K96"/>
    <mergeCell ref="F98:K98"/>
    <mergeCell ref="C102:D102"/>
    <mergeCell ref="C92:K92"/>
    <mergeCell ref="C100:D100"/>
    <mergeCell ref="C98:E98"/>
    <mergeCell ref="D65:D66"/>
    <mergeCell ref="B65:C66"/>
    <mergeCell ref="C27:E27"/>
    <mergeCell ref="C43:K43"/>
    <mergeCell ref="F49:K49"/>
    <mergeCell ref="E53:K53"/>
    <mergeCell ref="C59:K59"/>
    <mergeCell ref="C45:K45"/>
    <mergeCell ref="C47:E47"/>
    <mergeCell ref="E63:K63"/>
    <mergeCell ref="E65:K66"/>
    <mergeCell ref="C33:K33"/>
    <mergeCell ref="C29:J29"/>
    <mergeCell ref="B2:K2"/>
    <mergeCell ref="C31:K31"/>
    <mergeCell ref="H11:I11"/>
    <mergeCell ref="J19:K19"/>
    <mergeCell ref="B3:D18"/>
    <mergeCell ref="F3:G3"/>
    <mergeCell ref="I5:K7"/>
    <mergeCell ref="H3:K3"/>
    <mergeCell ref="H9:I9"/>
    <mergeCell ref="H13:I13"/>
    <mergeCell ref="F9:G9"/>
    <mergeCell ref="B20:K20"/>
    <mergeCell ref="F21:I21"/>
    <mergeCell ref="H15:I15"/>
    <mergeCell ref="H17:I17"/>
    <mergeCell ref="J21:K21"/>
    <mergeCell ref="F19:I19"/>
    <mergeCell ref="C21:D21"/>
    <mergeCell ref="C19:D19"/>
    <mergeCell ref="C23:I23"/>
    <mergeCell ref="C25:I25"/>
    <mergeCell ref="C110:F110"/>
    <mergeCell ref="C126:F126"/>
    <mergeCell ref="C120:D120"/>
    <mergeCell ref="C130:F130"/>
    <mergeCell ref="C128:F128"/>
    <mergeCell ref="C112:F112"/>
    <mergeCell ref="C118:D118"/>
    <mergeCell ref="C114:F114"/>
    <mergeCell ref="B138:K138"/>
    <mergeCell ref="B136:C136"/>
    <mergeCell ref="D136:F136"/>
    <mergeCell ref="C116:E116"/>
    <mergeCell ref="F116:K116"/>
    <mergeCell ref="C132:F132"/>
    <mergeCell ref="C122:E122"/>
    <mergeCell ref="C124:F124"/>
    <mergeCell ref="B134:C134"/>
    <mergeCell ref="D134:F134"/>
    <mergeCell ref="J144:K144"/>
    <mergeCell ref="J146:K146"/>
    <mergeCell ref="J148:K148"/>
    <mergeCell ref="F140:I140"/>
    <mergeCell ref="F142:I142"/>
    <mergeCell ref="F144:I144"/>
    <mergeCell ref="F146:I146"/>
    <mergeCell ref="F148:I148"/>
    <mergeCell ref="J140:K140"/>
    <mergeCell ref="J142:K142"/>
  </mergeCells>
  <phoneticPr fontId="13" type="noConversion"/>
  <dataValidations count="3">
    <dataValidation type="whole" allowBlank="1" showInputMessage="1" showErrorMessage="1" sqref="C80 C78" xr:uid="{00000000-0002-0000-0000-000000000000}">
      <formula1>0</formula1>
      <formula2>60</formula2>
    </dataValidation>
    <dataValidation type="list" allowBlank="1" showInputMessage="1" showErrorMessage="1" sqref="C96:K96" xr:uid="{00000000-0002-0000-0000-000001000000}">
      <formula1>"Rəsmi,Qeyri rəsmi"</formula1>
    </dataValidation>
    <dataValidation type="list" allowBlank="1" showInputMessage="1" showErrorMessage="1" sqref="C90:K90" xr:uid="{00000000-0002-0000-0000-000002000000}">
      <formula1>"Daşınar əmlak-İstehlak malları,Zaminlik,Yoxdur"</formula1>
    </dataValidation>
  </dataValidations>
  <pageMargins left="0.78740157480314965" right="0.78740157480314965" top="0.98425196850393704" bottom="0.98425196850393704" header="0.51181102362204722" footer="0.51181102362204722"/>
  <pageSetup paperSize="9" scale="65" orientation="portrait" r:id="rId1"/>
  <headerFooter alignWithMargins="0"/>
  <cellWatches>
    <cellWatch r="I5"/>
    <cellWatch r="J5"/>
    <cellWatch r="K5"/>
    <cellWatch r="I6"/>
    <cellWatch r="J6"/>
    <cellWatch r="K6"/>
    <cellWatch r="I7"/>
    <cellWatch r="J7"/>
    <cellWatch r="K7"/>
  </cellWatches>
  <drawing r:id="rId2"/>
  <legacyDrawing r:id="rId3"/>
  <mc:AlternateContent xmlns:mc="http://schemas.openxmlformats.org/markup-compatibility/2006">
    <mc:Choice Requires="x14">
      <controls>
        <mc:AlternateContent xmlns:mc="http://schemas.openxmlformats.org/markup-compatibility/2006">
          <mc:Choice Requires="x14">
            <control shapeId="3076" r:id="rId4" name="Drop Down 4">
              <controlPr locked="0" defaultSize="0" autoLine="0" autoPict="0">
                <anchor moveWithCells="1">
                  <from>
                    <xdr:col>5</xdr:col>
                    <xdr:colOff>19050</xdr:colOff>
                    <xdr:row>73</xdr:row>
                    <xdr:rowOff>9525</xdr:rowOff>
                  </from>
                  <to>
                    <xdr:col>6</xdr:col>
                    <xdr:colOff>0</xdr:colOff>
                    <xdr:row>74</xdr:row>
                    <xdr:rowOff>28575</xdr:rowOff>
                  </to>
                </anchor>
              </controlPr>
            </control>
          </mc:Choice>
        </mc:AlternateContent>
        <mc:AlternateContent xmlns:mc="http://schemas.openxmlformats.org/markup-compatibility/2006">
          <mc:Choice Requires="x14">
            <control shapeId="3077" r:id="rId5" name="Drop Down 5">
              <controlPr locked="0" defaultSize="0" autoLine="0" autoPict="0">
                <anchor moveWithCells="1">
                  <from>
                    <xdr:col>5</xdr:col>
                    <xdr:colOff>285750</xdr:colOff>
                    <xdr:row>75</xdr:row>
                    <xdr:rowOff>0</xdr:rowOff>
                  </from>
                  <to>
                    <xdr:col>8</xdr:col>
                    <xdr:colOff>0</xdr:colOff>
                    <xdr:row>75</xdr:row>
                    <xdr:rowOff>190500</xdr:rowOff>
                  </to>
                </anchor>
              </controlPr>
            </control>
          </mc:Choice>
        </mc:AlternateContent>
        <mc:AlternateContent xmlns:mc="http://schemas.openxmlformats.org/markup-compatibility/2006">
          <mc:Choice Requires="x14">
            <control shapeId="3079" r:id="rId6" name="Check Box 7">
              <controlPr defaultSize="0" autoFill="0" autoLine="0" autoPict="0">
                <anchor moveWithCells="1">
                  <from>
                    <xdr:col>1</xdr:col>
                    <xdr:colOff>1390650</xdr:colOff>
                    <xdr:row>24</xdr:row>
                    <xdr:rowOff>9525</xdr:rowOff>
                  </from>
                  <to>
                    <xdr:col>1</xdr:col>
                    <xdr:colOff>1695450</xdr:colOff>
                    <xdr:row>25</xdr:row>
                    <xdr:rowOff>9525</xdr:rowOff>
                  </to>
                </anchor>
              </controlPr>
            </control>
          </mc:Choice>
        </mc:AlternateContent>
        <mc:AlternateContent xmlns:mc="http://schemas.openxmlformats.org/markup-compatibility/2006">
          <mc:Choice Requires="x14">
            <control shapeId="3097" r:id="rId7" name="Drop Down 25">
              <controlPr locked="0" defaultSize="0" autoLine="0" autoPict="0">
                <anchor moveWithCells="1">
                  <from>
                    <xdr:col>2</xdr:col>
                    <xdr:colOff>19050</xdr:colOff>
                    <xdr:row>69</xdr:row>
                    <xdr:rowOff>38100</xdr:rowOff>
                  </from>
                  <to>
                    <xdr:col>3</xdr:col>
                    <xdr:colOff>209550</xdr:colOff>
                    <xdr:row>70</xdr:row>
                    <xdr:rowOff>28575</xdr:rowOff>
                  </to>
                </anchor>
              </controlPr>
            </control>
          </mc:Choice>
        </mc:AlternateContent>
      </controls>
    </mc:Choice>
  </mc:AlternateConten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Worksheet____8">
    <tabColor indexed="32"/>
  </sheetPr>
  <dimension ref="B6:AX39"/>
  <sheetViews>
    <sheetView tabSelected="1" topLeftCell="A4" zoomScaleNormal="100" workbookViewId="0">
      <selection activeCell="W15" sqref="W15"/>
    </sheetView>
  </sheetViews>
  <sheetFormatPr defaultColWidth="1.7109375" defaultRowHeight="12.75"/>
  <cols>
    <col min="1" max="1" width="1.7109375" style="326"/>
    <col min="2" max="11" width="1.7109375" style="326" customWidth="1"/>
    <col min="12" max="12" width="1.5703125" style="326" customWidth="1"/>
    <col min="13" max="18" width="1.7109375" style="326"/>
    <col min="19" max="19" width="2.28515625" style="326" customWidth="1"/>
    <col min="20" max="41" width="1.7109375" style="326"/>
    <col min="42" max="42" width="1.85546875" style="326" customWidth="1"/>
    <col min="43" max="43" width="2.42578125" style="326" customWidth="1"/>
    <col min="44" max="16384" width="1.7109375" style="326"/>
  </cols>
  <sheetData>
    <row r="6" spans="23:46" ht="15.75">
      <c r="W6" s="327" t="s">
        <v>934</v>
      </c>
      <c r="X6" s="327"/>
      <c r="Y6" s="327"/>
      <c r="Z6" s="327"/>
      <c r="AA6" s="327"/>
      <c r="AB6" s="327"/>
      <c r="AC6" s="327"/>
      <c r="AD6" s="327"/>
      <c r="AE6" s="327"/>
      <c r="AF6" s="327"/>
      <c r="AG6" s="327"/>
      <c r="AH6" s="327"/>
      <c r="AI6" s="327"/>
      <c r="AJ6" s="327"/>
      <c r="AK6" s="327"/>
      <c r="AL6" s="327"/>
      <c r="AM6" s="327"/>
      <c r="AN6" s="327"/>
      <c r="AO6" s="327"/>
      <c r="AP6" s="327"/>
      <c r="AQ6" s="327"/>
    </row>
    <row r="7" spans="23:46" ht="32.25" customHeight="1">
      <c r="W7" s="931" t="s">
        <v>935</v>
      </c>
      <c r="X7" s="931"/>
      <c r="Y7" s="931"/>
      <c r="Z7" s="931"/>
      <c r="AA7" s="931"/>
      <c r="AB7" s="931"/>
      <c r="AC7" s="931"/>
      <c r="AD7" s="931"/>
      <c r="AE7" s="931"/>
      <c r="AF7" s="931"/>
      <c r="AG7" s="931"/>
      <c r="AH7" s="931"/>
      <c r="AI7" s="931"/>
      <c r="AJ7" s="931"/>
      <c r="AK7" s="931"/>
      <c r="AL7" s="931"/>
      <c r="AM7" s="931"/>
      <c r="AN7" s="931"/>
      <c r="AO7" s="931"/>
      <c r="AP7" s="931"/>
      <c r="AQ7" s="327"/>
    </row>
    <row r="8" spans="23:46" ht="12.75" customHeight="1">
      <c r="W8" s="936" t="str">
        <f>Data!C29</f>
        <v>NEFTÇALA RAYONU, XOL QARABUCAQ Ə/D, DÖRDLƏR KƏNDİ</v>
      </c>
      <c r="X8" s="936"/>
      <c r="Y8" s="936"/>
      <c r="Z8" s="936"/>
      <c r="AA8" s="936"/>
      <c r="AB8" s="936"/>
      <c r="AC8" s="936"/>
      <c r="AD8" s="936"/>
      <c r="AE8" s="936"/>
      <c r="AF8" s="936"/>
      <c r="AG8" s="936"/>
      <c r="AH8" s="936"/>
      <c r="AI8" s="936"/>
      <c r="AJ8" s="936"/>
      <c r="AK8" s="936"/>
      <c r="AL8" s="936"/>
      <c r="AM8" s="936"/>
      <c r="AN8" s="936"/>
      <c r="AO8" s="936"/>
      <c r="AP8" s="936"/>
      <c r="AQ8" s="936"/>
      <c r="AR8" s="936"/>
      <c r="AS8" s="936"/>
    </row>
    <row r="9" spans="23:46" ht="15.6" customHeight="1">
      <c r="W9" s="936"/>
      <c r="X9" s="936"/>
      <c r="Y9" s="936"/>
      <c r="Z9" s="936"/>
      <c r="AA9" s="936"/>
      <c r="AB9" s="936"/>
      <c r="AC9" s="936"/>
      <c r="AD9" s="936"/>
      <c r="AE9" s="936"/>
      <c r="AF9" s="936"/>
      <c r="AG9" s="936"/>
      <c r="AH9" s="936"/>
      <c r="AI9" s="936"/>
      <c r="AJ9" s="936"/>
      <c r="AK9" s="936"/>
      <c r="AL9" s="936"/>
      <c r="AM9" s="936"/>
      <c r="AN9" s="936"/>
      <c r="AO9" s="936"/>
      <c r="AP9" s="936"/>
      <c r="AQ9" s="936"/>
      <c r="AR9" s="936"/>
      <c r="AS9" s="936"/>
    </row>
    <row r="10" spans="23:46" ht="15.75">
      <c r="W10" s="327" t="s">
        <v>435</v>
      </c>
      <c r="X10" s="327"/>
      <c r="Y10" s="327"/>
      <c r="Z10" s="327"/>
      <c r="AA10" s="327"/>
      <c r="AB10" s="327"/>
      <c r="AC10" s="327"/>
      <c r="AD10" s="327"/>
      <c r="AE10" s="327"/>
      <c r="AF10" s="327"/>
      <c r="AG10" s="327"/>
      <c r="AH10" s="327"/>
      <c r="AI10" s="327"/>
      <c r="AJ10" s="327"/>
      <c r="AK10" s="327"/>
      <c r="AL10" s="327"/>
      <c r="AM10" s="327"/>
      <c r="AN10" s="327"/>
      <c r="AO10" s="327"/>
      <c r="AP10" s="327"/>
      <c r="AQ10" s="327"/>
    </row>
    <row r="11" spans="23:46" ht="15.75">
      <c r="W11" s="934" t="str">
        <f>Data!C23</f>
        <v>Yunusov Vüqar Fikrət oğlu</v>
      </c>
      <c r="X11" s="934"/>
      <c r="Y11" s="934"/>
      <c r="Z11" s="934"/>
      <c r="AA11" s="934"/>
      <c r="AB11" s="934"/>
      <c r="AC11" s="934"/>
      <c r="AD11" s="934"/>
      <c r="AE11" s="934"/>
      <c r="AF11" s="934"/>
      <c r="AG11" s="934"/>
      <c r="AH11" s="934"/>
      <c r="AI11" s="934"/>
      <c r="AJ11" s="934"/>
      <c r="AK11" s="934"/>
      <c r="AL11" s="934"/>
      <c r="AM11" s="934"/>
      <c r="AN11" s="934"/>
      <c r="AO11" s="934"/>
      <c r="AP11" s="934"/>
      <c r="AQ11" s="934"/>
    </row>
    <row r="12" spans="23:46" ht="15.75">
      <c r="W12" s="324" t="s">
        <v>438</v>
      </c>
      <c r="X12" s="324"/>
      <c r="Y12" s="324"/>
      <c r="Z12" s="324"/>
      <c r="AA12" s="324"/>
      <c r="AB12" s="324"/>
      <c r="AC12" s="324"/>
      <c r="AD12" s="324"/>
      <c r="AE12" s="324"/>
      <c r="AF12" s="324"/>
      <c r="AG12" s="327"/>
      <c r="AI12" s="935" t="str">
        <f>Data!C21</f>
        <v>AA5512135</v>
      </c>
      <c r="AJ12" s="935"/>
      <c r="AK12" s="935"/>
      <c r="AL12" s="935"/>
      <c r="AM12" s="935"/>
      <c r="AN12" s="935"/>
      <c r="AO12" s="935"/>
      <c r="AP12" s="935"/>
      <c r="AQ12" s="935"/>
    </row>
    <row r="13" spans="23:46" ht="15.75">
      <c r="W13" s="938"/>
      <c r="X13" s="938"/>
      <c r="Y13" s="938"/>
      <c r="Z13" s="938"/>
      <c r="AA13" s="938"/>
      <c r="AB13" s="938"/>
      <c r="AC13" s="938"/>
      <c r="AD13" s="938"/>
      <c r="AE13" s="938"/>
      <c r="AF13" s="938"/>
      <c r="AG13" s="327"/>
      <c r="AI13" s="327"/>
      <c r="AJ13" s="327"/>
      <c r="AM13" s="937" t="str">
        <f>Data!E21</f>
        <v>29.10.2023</v>
      </c>
      <c r="AN13" s="937"/>
      <c r="AO13" s="937"/>
      <c r="AP13" s="937"/>
      <c r="AQ13" s="937"/>
      <c r="AR13" s="937"/>
      <c r="AS13" s="937"/>
      <c r="AT13" s="326" t="s">
        <v>86</v>
      </c>
    </row>
    <row r="14" spans="23:46" ht="15.75">
      <c r="W14" s="327"/>
      <c r="X14" s="327"/>
      <c r="Y14" s="327"/>
      <c r="Z14" s="327"/>
      <c r="AA14" s="327"/>
      <c r="AB14" s="327"/>
      <c r="AC14" s="327"/>
      <c r="AD14" s="327"/>
      <c r="AE14" s="327"/>
      <c r="AF14" s="327"/>
      <c r="AG14" s="327"/>
      <c r="AH14" s="327"/>
      <c r="AI14" s="327"/>
      <c r="AJ14" s="327"/>
      <c r="AK14" s="327"/>
      <c r="AL14" s="327"/>
      <c r="AM14" s="327"/>
      <c r="AN14" s="327"/>
      <c r="AO14" s="327"/>
      <c r="AP14" s="327"/>
      <c r="AQ14" s="327"/>
    </row>
    <row r="24" spans="2:50" ht="15">
      <c r="C24" s="325"/>
      <c r="D24" s="325"/>
      <c r="E24" s="325"/>
      <c r="F24" s="325"/>
      <c r="G24" s="325"/>
      <c r="H24" s="325"/>
      <c r="I24" s="325"/>
      <c r="J24" s="325"/>
      <c r="K24" s="325"/>
      <c r="L24" s="325"/>
      <c r="M24" s="325"/>
      <c r="N24" s="83" t="s">
        <v>130</v>
      </c>
      <c r="O24" s="325"/>
      <c r="P24" s="325"/>
      <c r="Q24" s="325"/>
      <c r="R24" s="325"/>
      <c r="S24" s="325"/>
      <c r="T24" s="325"/>
      <c r="U24" s="325"/>
      <c r="V24" s="325"/>
      <c r="W24" s="325"/>
      <c r="X24" s="325"/>
      <c r="Y24" s="325"/>
      <c r="Z24" s="325"/>
      <c r="AA24" s="325"/>
      <c r="AB24" s="325"/>
      <c r="AC24" s="325"/>
      <c r="AD24" s="325"/>
      <c r="AE24" s="325"/>
      <c r="AF24" s="325"/>
      <c r="AG24" s="325"/>
      <c r="AH24" s="325"/>
      <c r="AI24" s="325"/>
      <c r="AJ24" s="325"/>
      <c r="AK24" s="325"/>
      <c r="AL24" s="325"/>
      <c r="AM24" s="325"/>
      <c r="AN24" s="325"/>
      <c r="AO24" s="325"/>
      <c r="AP24" s="325"/>
      <c r="AQ24" s="325"/>
      <c r="AR24" s="325"/>
      <c r="AS24" s="325"/>
      <c r="AT24" s="325"/>
      <c r="AU24" s="325"/>
      <c r="AV24" s="325"/>
      <c r="AW24" s="325"/>
      <c r="AX24" s="325"/>
    </row>
    <row r="25" spans="2:50" ht="15">
      <c r="C25" s="325"/>
      <c r="D25" s="325"/>
      <c r="E25" s="325"/>
      <c r="F25" s="325"/>
      <c r="G25" s="325"/>
      <c r="H25" s="325"/>
      <c r="I25" s="325"/>
      <c r="J25" s="325"/>
      <c r="K25" s="325"/>
      <c r="L25" s="325"/>
      <c r="M25" s="325"/>
      <c r="N25" s="83"/>
      <c r="O25" s="325"/>
      <c r="P25" s="325"/>
      <c r="Q25" s="325"/>
      <c r="R25" s="325"/>
      <c r="S25" s="325"/>
      <c r="T25" s="325"/>
      <c r="U25" s="325"/>
      <c r="V25" s="325"/>
      <c r="W25" s="325"/>
      <c r="X25" s="325"/>
      <c r="Y25" s="325"/>
      <c r="Z25" s="325"/>
      <c r="AA25" s="325"/>
      <c r="AB25" s="325"/>
      <c r="AC25" s="325"/>
      <c r="AD25" s="325"/>
      <c r="AE25" s="325"/>
      <c r="AF25" s="325"/>
      <c r="AG25" s="325"/>
      <c r="AH25" s="325"/>
      <c r="AI25" s="325"/>
      <c r="AJ25" s="325"/>
      <c r="AK25" s="325"/>
      <c r="AL25" s="325"/>
      <c r="AM25" s="325"/>
      <c r="AN25" s="325"/>
      <c r="AO25" s="325"/>
      <c r="AP25" s="325"/>
      <c r="AQ25" s="325"/>
      <c r="AR25" s="325"/>
      <c r="AS25" s="325"/>
      <c r="AT25" s="325"/>
      <c r="AU25" s="325"/>
      <c r="AV25" s="325"/>
      <c r="AW25" s="325"/>
      <c r="AX25" s="325"/>
    </row>
    <row r="26" spans="2:50" ht="15">
      <c r="B26" s="325"/>
      <c r="D26" s="325"/>
      <c r="E26" s="325"/>
      <c r="F26" s="325" t="s">
        <v>483</v>
      </c>
      <c r="G26" s="325"/>
      <c r="H26" s="325"/>
      <c r="I26" s="325"/>
      <c r="J26" s="325"/>
      <c r="K26" s="325"/>
      <c r="L26" s="325"/>
      <c r="M26" s="325"/>
      <c r="N26" s="325"/>
      <c r="O26" s="325"/>
      <c r="P26" s="325"/>
      <c r="Q26" s="325"/>
      <c r="R26" s="325"/>
      <c r="S26" s="325"/>
      <c r="T26" s="941" t="str">
        <f>Data!C68</f>
        <v>İstehlak mal(lar)ının alınması üçün</v>
      </c>
      <c r="U26" s="941"/>
      <c r="V26" s="941"/>
      <c r="W26" s="941"/>
      <c r="X26" s="941"/>
      <c r="Y26" s="941"/>
      <c r="Z26" s="941"/>
      <c r="AA26" s="941"/>
      <c r="AB26" s="941"/>
      <c r="AC26" s="941"/>
      <c r="AD26" s="941"/>
      <c r="AE26" s="941"/>
      <c r="AF26" s="941"/>
      <c r="AG26" s="941"/>
      <c r="AH26" s="941"/>
      <c r="AI26" s="941"/>
      <c r="AJ26" s="941"/>
      <c r="AK26" s="941"/>
      <c r="AL26" s="941"/>
      <c r="AM26" s="941"/>
      <c r="AN26" s="941"/>
      <c r="AO26" s="325" t="s">
        <v>706</v>
      </c>
      <c r="AQ26" s="412"/>
      <c r="AR26" s="939">
        <f>Data!C78</f>
        <v>12</v>
      </c>
      <c r="AS26" s="939"/>
      <c r="AT26" s="939"/>
      <c r="AU26" s="325" t="s">
        <v>481</v>
      </c>
      <c r="AV26" s="325"/>
      <c r="AW26" s="325"/>
      <c r="AX26" s="325"/>
    </row>
    <row r="27" spans="2:50" ht="12.75" customHeight="1">
      <c r="C27" s="325"/>
      <c r="D27" s="325"/>
      <c r="E27" s="325"/>
      <c r="F27" s="325"/>
      <c r="G27" s="325"/>
      <c r="H27" s="325"/>
      <c r="I27" s="325"/>
      <c r="J27" s="325"/>
      <c r="K27" s="325"/>
      <c r="L27" s="325"/>
      <c r="M27" s="325"/>
      <c r="N27" s="325"/>
      <c r="O27" s="325"/>
      <c r="P27" s="325"/>
      <c r="Q27" s="325"/>
      <c r="R27" s="325"/>
      <c r="S27" s="325"/>
      <c r="T27" s="325"/>
      <c r="U27" s="325"/>
      <c r="V27" s="325"/>
      <c r="W27" s="325"/>
      <c r="X27" s="325"/>
      <c r="Y27" s="325"/>
      <c r="Z27" s="325"/>
      <c r="AA27" s="325"/>
      <c r="AB27" s="325"/>
      <c r="AC27" s="325"/>
      <c r="AD27" s="325"/>
      <c r="AE27" s="325"/>
      <c r="AF27" s="325"/>
      <c r="AG27" s="325"/>
      <c r="AH27" s="325"/>
      <c r="AI27" s="325"/>
      <c r="AJ27" s="325"/>
      <c r="AK27" s="325"/>
      <c r="AL27" s="325"/>
      <c r="AM27" s="325"/>
      <c r="AN27" s="325"/>
      <c r="AO27" s="325"/>
      <c r="AP27" s="325"/>
      <c r="AQ27" s="325"/>
      <c r="AR27" s="325"/>
      <c r="AS27" s="325"/>
      <c r="AT27" s="325"/>
      <c r="AU27" s="325"/>
      <c r="AV27" s="325"/>
      <c r="AW27" s="325"/>
      <c r="AX27" s="325"/>
    </row>
    <row r="28" spans="2:50" ht="15">
      <c r="C28" s="325" t="s">
        <v>482</v>
      </c>
      <c r="E28" s="447"/>
      <c r="F28" s="447"/>
      <c r="G28" s="447"/>
      <c r="H28" s="447"/>
      <c r="I28" s="932">
        <f>Data!C74</f>
        <v>1272</v>
      </c>
      <c r="J28" s="932"/>
      <c r="K28" s="932"/>
      <c r="L28" s="932"/>
      <c r="M28" s="932"/>
      <c r="N28" s="932"/>
      <c r="O28" s="932"/>
      <c r="P28" s="932"/>
      <c r="Q28" s="448"/>
      <c r="R28" s="940" t="str">
        <f>PP!AK6</f>
        <v>(Bir min iki yüz yetmiş iki manat )</v>
      </c>
      <c r="S28" s="940"/>
      <c r="T28" s="940"/>
      <c r="U28" s="940"/>
      <c r="V28" s="940"/>
      <c r="W28" s="940"/>
      <c r="X28" s="940"/>
      <c r="Y28" s="940"/>
      <c r="Z28" s="940"/>
      <c r="AA28" s="940"/>
      <c r="AB28" s="940"/>
      <c r="AC28" s="940"/>
      <c r="AD28" s="940"/>
      <c r="AE28" s="940"/>
      <c r="AF28" s="940"/>
      <c r="AG28" s="940"/>
      <c r="AH28" s="940"/>
      <c r="AI28" s="940"/>
      <c r="AJ28" s="940"/>
      <c r="AK28" s="940"/>
      <c r="AL28" s="940"/>
      <c r="AM28" s="940"/>
      <c r="AN28" s="940"/>
      <c r="AO28" s="940"/>
      <c r="AP28" s="449"/>
      <c r="AQ28" s="325" t="s">
        <v>384</v>
      </c>
      <c r="AR28" s="325"/>
      <c r="AS28" s="325"/>
      <c r="AT28" s="325"/>
      <c r="AU28" s="325"/>
      <c r="AV28" s="325"/>
      <c r="AW28" s="325"/>
      <c r="AX28" s="325"/>
    </row>
    <row r="29" spans="2:50" ht="12.75" customHeight="1">
      <c r="C29" s="325"/>
      <c r="D29" s="325"/>
      <c r="E29" s="325"/>
      <c r="F29" s="325"/>
      <c r="G29" s="325"/>
      <c r="H29" s="325"/>
      <c r="I29" s="325"/>
      <c r="J29" s="325"/>
      <c r="K29" s="325"/>
      <c r="L29" s="325"/>
      <c r="M29" s="325"/>
      <c r="N29" s="325"/>
      <c r="O29" s="325"/>
      <c r="P29" s="325"/>
      <c r="Q29" s="325"/>
      <c r="R29" s="325"/>
      <c r="S29" s="325"/>
      <c r="T29" s="325"/>
      <c r="U29" s="325"/>
      <c r="V29" s="325"/>
      <c r="W29" s="325"/>
      <c r="X29" s="325"/>
      <c r="Y29" s="325"/>
      <c r="Z29" s="325"/>
      <c r="AA29" s="325"/>
      <c r="AB29" s="325"/>
      <c r="AC29" s="325"/>
      <c r="AD29" s="325"/>
      <c r="AE29" s="325"/>
      <c r="AF29" s="325"/>
      <c r="AG29" s="325"/>
      <c r="AH29" s="325"/>
      <c r="AI29" s="325"/>
      <c r="AJ29" s="325"/>
      <c r="AK29" s="325"/>
      <c r="AL29" s="325"/>
      <c r="AM29" s="325"/>
      <c r="AN29" s="325"/>
      <c r="AO29" s="325"/>
      <c r="AP29" s="325"/>
      <c r="AQ29" s="325"/>
      <c r="AR29" s="325"/>
      <c r="AS29" s="325"/>
      <c r="AT29" s="325"/>
      <c r="AU29" s="325"/>
      <c r="AV29" s="325"/>
      <c r="AW29" s="325"/>
      <c r="AX29" s="325"/>
    </row>
    <row r="30" spans="2:50" ht="15">
      <c r="C30" s="325" t="s">
        <v>385</v>
      </c>
      <c r="E30" s="325"/>
      <c r="F30" s="325"/>
      <c r="G30" s="325"/>
      <c r="H30" s="325"/>
      <c r="I30" s="325"/>
      <c r="J30" s="325"/>
      <c r="K30" s="325"/>
      <c r="L30" s="325"/>
      <c r="M30" s="325"/>
      <c r="N30" s="325"/>
      <c r="O30" s="325"/>
      <c r="P30" s="325"/>
      <c r="Q30" s="325"/>
      <c r="R30" s="325"/>
      <c r="S30" s="325"/>
      <c r="T30" s="325"/>
      <c r="U30" s="325"/>
      <c r="V30" s="325"/>
      <c r="W30" s="325"/>
      <c r="X30" s="325"/>
      <c r="Y30" s="325"/>
      <c r="Z30" s="325"/>
      <c r="AA30" s="325"/>
      <c r="AB30" s="325"/>
      <c r="AC30" s="325"/>
      <c r="AD30" s="325"/>
      <c r="AE30" s="325"/>
      <c r="AF30" s="325"/>
      <c r="AG30" s="325"/>
      <c r="AH30" s="325"/>
      <c r="AI30" s="325"/>
      <c r="AJ30" s="325"/>
      <c r="AK30" s="325"/>
      <c r="AL30" s="325"/>
      <c r="AM30" s="325"/>
      <c r="AN30" s="325"/>
      <c r="AO30" s="325"/>
      <c r="AP30" s="325"/>
      <c r="AQ30" s="325"/>
      <c r="AR30" s="325"/>
      <c r="AS30" s="325"/>
      <c r="AT30" s="325"/>
      <c r="AU30" s="325"/>
      <c r="AV30" s="325"/>
      <c r="AW30" s="325"/>
      <c r="AX30" s="325"/>
    </row>
    <row r="31" spans="2:50" ht="15">
      <c r="C31" s="325"/>
      <c r="D31" s="325"/>
      <c r="E31" s="325"/>
      <c r="F31" s="325"/>
      <c r="G31" s="325"/>
      <c r="H31" s="325"/>
      <c r="I31" s="325"/>
      <c r="J31" s="325"/>
      <c r="K31" s="325"/>
      <c r="L31" s="325"/>
      <c r="M31" s="325"/>
      <c r="N31" s="325"/>
      <c r="O31" s="325"/>
      <c r="P31" s="325"/>
      <c r="Q31" s="325"/>
      <c r="R31" s="325"/>
      <c r="S31" s="325"/>
      <c r="T31" s="325"/>
      <c r="U31" s="325"/>
      <c r="V31" s="325"/>
      <c r="W31" s="325"/>
      <c r="X31" s="325"/>
      <c r="Y31" s="325"/>
      <c r="Z31" s="325"/>
      <c r="AA31" s="325"/>
      <c r="AB31" s="325"/>
      <c r="AC31" s="325"/>
      <c r="AD31" s="325"/>
      <c r="AE31" s="325"/>
      <c r="AF31" s="325"/>
      <c r="AG31" s="325"/>
      <c r="AH31" s="325"/>
      <c r="AI31" s="325"/>
      <c r="AJ31" s="325"/>
      <c r="AK31" s="325"/>
      <c r="AL31" s="325"/>
      <c r="AM31" s="325"/>
      <c r="AN31" s="325"/>
      <c r="AO31" s="325"/>
      <c r="AP31" s="325"/>
      <c r="AQ31" s="325"/>
      <c r="AR31" s="325"/>
      <c r="AS31" s="325"/>
      <c r="AT31" s="325"/>
      <c r="AU31" s="325"/>
      <c r="AV31" s="325"/>
      <c r="AW31" s="325"/>
      <c r="AX31" s="325"/>
    </row>
    <row r="32" spans="2:50" ht="15">
      <c r="C32" s="325"/>
      <c r="D32" s="325"/>
      <c r="E32" s="325"/>
      <c r="F32" s="325"/>
      <c r="G32" s="325"/>
      <c r="H32" s="325"/>
      <c r="I32" s="325"/>
      <c r="J32" s="325"/>
      <c r="K32" s="325"/>
      <c r="L32" s="325"/>
      <c r="M32" s="325"/>
      <c r="N32" s="325"/>
      <c r="O32" s="325"/>
      <c r="P32" s="325"/>
      <c r="Q32" s="325"/>
      <c r="R32" s="325"/>
      <c r="S32" s="325"/>
      <c r="T32" s="325"/>
      <c r="U32" s="325"/>
      <c r="V32" s="325"/>
      <c r="W32" s="325"/>
      <c r="X32" s="325"/>
      <c r="Y32" s="325"/>
      <c r="Z32" s="325"/>
      <c r="AA32" s="325"/>
      <c r="AB32" s="325"/>
      <c r="AC32" s="325"/>
      <c r="AD32" s="325"/>
      <c r="AE32" s="325"/>
      <c r="AF32" s="325"/>
      <c r="AG32" s="325"/>
      <c r="AH32" s="325"/>
      <c r="AI32" s="325"/>
      <c r="AJ32" s="325"/>
      <c r="AK32" s="325"/>
      <c r="AL32" s="325"/>
      <c r="AM32" s="325"/>
      <c r="AN32" s="325"/>
      <c r="AO32" s="325"/>
      <c r="AP32" s="325"/>
      <c r="AQ32" s="325"/>
      <c r="AR32" s="325"/>
      <c r="AS32" s="325"/>
      <c r="AT32" s="325"/>
      <c r="AU32" s="325"/>
      <c r="AV32" s="325"/>
      <c r="AW32" s="325"/>
      <c r="AX32" s="325"/>
    </row>
    <row r="33" spans="3:50" ht="15">
      <c r="C33" s="325"/>
      <c r="D33" s="325"/>
      <c r="E33" s="325"/>
      <c r="F33" s="325"/>
      <c r="G33" s="325"/>
      <c r="H33" s="325"/>
      <c r="I33" s="325"/>
      <c r="J33" s="325"/>
      <c r="K33" s="325"/>
      <c r="L33" s="325"/>
      <c r="M33" s="325"/>
      <c r="N33" s="325"/>
      <c r="O33" s="325"/>
      <c r="P33" s="325"/>
      <c r="Q33" s="325"/>
      <c r="R33" s="325"/>
      <c r="S33" s="325"/>
      <c r="T33" s="325"/>
      <c r="U33" s="325"/>
      <c r="V33" s="325"/>
      <c r="W33" s="325"/>
      <c r="X33" s="325"/>
      <c r="Y33" s="325"/>
      <c r="Z33" s="325"/>
      <c r="AA33" s="325"/>
      <c r="AB33" s="325"/>
      <c r="AC33" s="325"/>
      <c r="AD33" s="325"/>
      <c r="AE33" s="325"/>
      <c r="AF33" s="325"/>
      <c r="AG33" s="325"/>
      <c r="AH33" s="325"/>
      <c r="AI33" s="325"/>
      <c r="AJ33" s="325"/>
      <c r="AK33" s="325"/>
      <c r="AL33" s="325"/>
      <c r="AM33" s="325"/>
      <c r="AN33" s="325"/>
      <c r="AO33" s="325"/>
      <c r="AP33" s="325"/>
      <c r="AQ33" s="325"/>
      <c r="AR33" s="325"/>
      <c r="AS33" s="325"/>
      <c r="AT33" s="325"/>
      <c r="AU33" s="325"/>
      <c r="AV33" s="325"/>
      <c r="AW33" s="325"/>
      <c r="AX33" s="325"/>
    </row>
    <row r="34" spans="3:50" ht="15">
      <c r="C34" s="325"/>
      <c r="D34" s="325"/>
      <c r="E34" s="325"/>
      <c r="F34" s="325"/>
      <c r="G34" s="325"/>
      <c r="H34" s="325"/>
      <c r="I34" s="325"/>
      <c r="J34" s="325"/>
      <c r="K34" s="325"/>
      <c r="L34" s="325"/>
      <c r="M34" s="325"/>
      <c r="N34" s="325"/>
      <c r="O34" s="325"/>
      <c r="P34" s="325"/>
      <c r="Q34" s="325"/>
      <c r="R34" s="325"/>
      <c r="S34" s="325"/>
      <c r="T34" s="325"/>
      <c r="U34" s="325"/>
      <c r="V34" s="325"/>
      <c r="W34" s="325"/>
      <c r="X34" s="325"/>
      <c r="Y34" s="325"/>
      <c r="Z34" s="325"/>
      <c r="AA34" s="325"/>
      <c r="AB34" s="325"/>
      <c r="AC34" s="325"/>
      <c r="AD34" s="325"/>
      <c r="AE34" s="325"/>
      <c r="AF34" s="325"/>
      <c r="AG34" s="325"/>
      <c r="AH34" s="325"/>
      <c r="AI34" s="325"/>
      <c r="AJ34" s="325"/>
      <c r="AK34" s="325"/>
      <c r="AL34" s="325"/>
      <c r="AM34" s="325"/>
      <c r="AN34" s="325"/>
      <c r="AO34" s="325"/>
      <c r="AP34" s="325"/>
      <c r="AQ34" s="325"/>
      <c r="AR34" s="325"/>
      <c r="AS34" s="325"/>
      <c r="AT34" s="325"/>
      <c r="AU34" s="325"/>
      <c r="AV34" s="325"/>
      <c r="AW34" s="325"/>
      <c r="AX34" s="325"/>
    </row>
    <row r="35" spans="3:50" ht="15">
      <c r="C35" s="325"/>
      <c r="D35" s="325"/>
      <c r="E35" s="325"/>
      <c r="F35" s="325"/>
      <c r="G35" s="325"/>
      <c r="H35" s="325"/>
      <c r="I35" s="325"/>
      <c r="J35" s="325"/>
      <c r="K35" s="325"/>
      <c r="L35" s="325"/>
      <c r="M35" s="325"/>
      <c r="N35" s="325"/>
      <c r="O35" s="325"/>
      <c r="P35" s="325"/>
      <c r="Q35" s="325"/>
      <c r="R35" s="325"/>
      <c r="S35" s="325"/>
      <c r="T35" s="325"/>
      <c r="U35" s="325"/>
      <c r="V35" s="325"/>
      <c r="W35" s="325"/>
      <c r="X35" s="325"/>
      <c r="Y35" s="325"/>
      <c r="Z35" s="325"/>
      <c r="AA35" s="325"/>
      <c r="AB35" s="325"/>
      <c r="AC35" s="325"/>
      <c r="AD35" s="325"/>
      <c r="AE35" s="325"/>
      <c r="AF35" s="325"/>
      <c r="AG35" s="325"/>
      <c r="AH35" s="325"/>
      <c r="AI35" s="325"/>
      <c r="AJ35" s="325"/>
      <c r="AK35" s="325"/>
      <c r="AL35" s="325"/>
      <c r="AM35" s="325"/>
      <c r="AN35" s="325"/>
      <c r="AO35" s="325"/>
      <c r="AP35" s="325"/>
      <c r="AQ35" s="325"/>
      <c r="AR35" s="325"/>
      <c r="AS35" s="325"/>
      <c r="AT35" s="325"/>
      <c r="AU35" s="325"/>
      <c r="AV35" s="325"/>
      <c r="AW35" s="325"/>
      <c r="AX35" s="325"/>
    </row>
    <row r="36" spans="3:50" ht="15">
      <c r="C36" s="325" t="str">
        <f>Data!C25</f>
        <v>Yunusov Vüqar Fikrət oğlu</v>
      </c>
      <c r="D36" s="325"/>
      <c r="E36" s="325"/>
      <c r="F36" s="325"/>
      <c r="G36" s="325"/>
      <c r="H36" s="325"/>
      <c r="I36" s="325"/>
      <c r="J36" s="325"/>
      <c r="K36" s="325"/>
      <c r="L36" s="325"/>
      <c r="M36" s="325"/>
      <c r="N36" s="325"/>
      <c r="O36" s="325"/>
      <c r="P36" s="325"/>
      <c r="Q36" s="325"/>
      <c r="R36" s="325"/>
      <c r="S36" s="325"/>
      <c r="T36" s="325"/>
      <c r="U36" s="325"/>
      <c r="V36" s="325"/>
      <c r="W36" s="325"/>
      <c r="X36" s="325"/>
      <c r="Y36" s="325"/>
      <c r="Z36" s="325"/>
      <c r="AA36" s="325"/>
      <c r="AB36" s="325"/>
      <c r="AC36" s="325"/>
      <c r="AD36" s="325"/>
      <c r="AE36" s="933" t="str">
        <f>Data!F5</f>
        <v>20.04.2025</v>
      </c>
      <c r="AF36" s="933"/>
      <c r="AG36" s="933"/>
      <c r="AH36" s="933"/>
      <c r="AI36" s="933"/>
      <c r="AJ36" s="933"/>
      <c r="AK36" s="933"/>
      <c r="AL36" s="933"/>
      <c r="AM36" s="933"/>
      <c r="AN36" s="933"/>
      <c r="AO36" s="325"/>
      <c r="AP36" s="325" t="s">
        <v>293</v>
      </c>
      <c r="AQ36" s="325"/>
      <c r="AR36" s="325"/>
      <c r="AS36" s="325"/>
      <c r="AT36" s="325"/>
      <c r="AU36" s="325"/>
      <c r="AV36" s="325"/>
      <c r="AW36" s="325"/>
      <c r="AX36" s="325"/>
    </row>
    <row r="37" spans="3:50" ht="15">
      <c r="C37" s="325"/>
      <c r="D37" s="325"/>
      <c r="E37" s="325"/>
      <c r="F37" s="325"/>
      <c r="G37" s="325"/>
      <c r="H37" s="325"/>
      <c r="I37" s="325"/>
      <c r="J37" s="325"/>
      <c r="K37" s="325"/>
      <c r="L37" s="325"/>
      <c r="M37" s="325"/>
      <c r="N37" s="325"/>
      <c r="O37" s="325"/>
      <c r="P37" s="325"/>
      <c r="Q37" s="325"/>
      <c r="R37" s="325"/>
      <c r="S37" s="325"/>
      <c r="T37" s="325"/>
      <c r="U37" s="325"/>
      <c r="V37" s="325"/>
      <c r="W37" s="325"/>
      <c r="X37" s="325"/>
      <c r="Y37" s="325"/>
      <c r="Z37" s="325"/>
      <c r="AA37" s="325"/>
      <c r="AB37" s="325"/>
      <c r="AC37" s="325"/>
      <c r="AD37" s="325"/>
      <c r="AE37" s="325"/>
      <c r="AF37" s="325"/>
      <c r="AG37" s="325"/>
      <c r="AH37" s="325"/>
      <c r="AI37" s="325"/>
      <c r="AJ37" s="325"/>
      <c r="AK37" s="325"/>
      <c r="AL37" s="325"/>
      <c r="AM37" s="325"/>
      <c r="AN37" s="325"/>
      <c r="AO37" s="325"/>
      <c r="AP37" s="325"/>
      <c r="AQ37" s="325"/>
      <c r="AR37" s="325"/>
      <c r="AS37" s="325"/>
      <c r="AT37" s="325"/>
      <c r="AU37" s="325"/>
      <c r="AV37" s="325"/>
      <c r="AW37" s="325"/>
      <c r="AX37" s="325"/>
    </row>
    <row r="38" spans="3:50" ht="15">
      <c r="C38" s="325"/>
      <c r="D38" s="325"/>
      <c r="E38" s="325"/>
      <c r="F38" s="325"/>
      <c r="G38" s="325"/>
      <c r="H38" s="325"/>
      <c r="I38" s="325"/>
      <c r="J38" s="325"/>
      <c r="K38" s="325"/>
      <c r="L38" s="325"/>
      <c r="M38" s="325"/>
      <c r="N38" s="325"/>
      <c r="O38" s="325"/>
      <c r="P38" s="325"/>
      <c r="Q38" s="325"/>
      <c r="R38" s="325"/>
      <c r="S38" s="325"/>
      <c r="T38" s="325"/>
      <c r="U38" s="325"/>
      <c r="V38" s="325"/>
      <c r="W38" s="325"/>
      <c r="X38" s="325"/>
      <c r="Y38" s="325"/>
      <c r="Z38" s="325"/>
      <c r="AA38" s="325"/>
      <c r="AB38" s="325"/>
      <c r="AC38" s="325"/>
      <c r="AD38" s="325"/>
      <c r="AE38" s="325"/>
      <c r="AF38" s="325"/>
      <c r="AG38" s="325"/>
      <c r="AH38" s="325"/>
      <c r="AI38" s="325"/>
      <c r="AJ38" s="325"/>
      <c r="AK38" s="325"/>
      <c r="AL38" s="325"/>
      <c r="AM38" s="325"/>
      <c r="AN38" s="325"/>
      <c r="AO38" s="325"/>
      <c r="AP38" s="325"/>
      <c r="AQ38" s="325"/>
      <c r="AR38" s="325"/>
      <c r="AS38" s="325"/>
      <c r="AT38" s="325"/>
      <c r="AU38" s="325"/>
      <c r="AV38" s="325"/>
      <c r="AW38" s="325"/>
      <c r="AX38" s="325"/>
    </row>
    <row r="39" spans="3:50" ht="15">
      <c r="C39" s="325"/>
      <c r="D39" s="325"/>
      <c r="E39" s="325"/>
      <c r="F39" s="325"/>
      <c r="G39" s="325"/>
      <c r="H39" s="325"/>
      <c r="I39" s="325"/>
      <c r="J39" s="325"/>
      <c r="K39" s="325"/>
      <c r="L39" s="325"/>
      <c r="M39" s="325"/>
      <c r="N39" s="325"/>
      <c r="O39" s="325"/>
      <c r="P39" s="325"/>
      <c r="Q39" s="325"/>
      <c r="R39" s="325"/>
      <c r="S39" s="325"/>
      <c r="T39" s="325"/>
      <c r="U39" s="325"/>
      <c r="V39" s="325"/>
      <c r="W39" s="325"/>
      <c r="X39" s="325"/>
      <c r="Y39" s="325"/>
      <c r="Z39" s="325"/>
      <c r="AA39" s="325"/>
      <c r="AB39" s="325"/>
      <c r="AC39" s="325"/>
      <c r="AD39" s="325"/>
      <c r="AE39" s="325"/>
      <c r="AF39" s="325"/>
      <c r="AG39" s="325"/>
      <c r="AH39" s="325"/>
      <c r="AI39" s="325"/>
      <c r="AJ39" s="325"/>
      <c r="AK39" s="325"/>
      <c r="AL39" s="325"/>
      <c r="AM39" s="325"/>
      <c r="AN39" s="325"/>
      <c r="AO39" s="325"/>
      <c r="AP39" s="325"/>
      <c r="AQ39" s="325"/>
      <c r="AR39" s="325"/>
      <c r="AS39" s="325"/>
      <c r="AT39" s="325"/>
      <c r="AU39" s="325"/>
      <c r="AV39" s="325"/>
      <c r="AW39" s="325"/>
      <c r="AX39" s="325"/>
    </row>
  </sheetData>
  <mergeCells count="11">
    <mergeCell ref="W7:AP7"/>
    <mergeCell ref="I28:P28"/>
    <mergeCell ref="AE36:AN36"/>
    <mergeCell ref="W11:AQ11"/>
    <mergeCell ref="AI12:AQ12"/>
    <mergeCell ref="W8:AS9"/>
    <mergeCell ref="AM13:AS13"/>
    <mergeCell ref="W13:AF13"/>
    <mergeCell ref="AR26:AT26"/>
    <mergeCell ref="R28:AO28"/>
    <mergeCell ref="T26:AN26"/>
  </mergeCells>
  <phoneticPr fontId="3" type="noConversion"/>
  <pageMargins left="0.55118110236220474" right="0.43307086614173229" top="0.98425196850393704" bottom="0.98425196850393704" header="0.51181102362204722" footer="0.51181102362204722"/>
  <pageSetup paperSize="9" scale="105" orientation="portrait" verticalDpi="300"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Worksheet____2">
    <tabColor indexed="45"/>
  </sheetPr>
  <dimension ref="A1:AO89"/>
  <sheetViews>
    <sheetView showGridLines="0" view="pageBreakPreview" topLeftCell="C1" zoomScaleNormal="100" zoomScaleSheetLayoutView="100" workbookViewId="0">
      <selection activeCell="J18" sqref="J18"/>
    </sheetView>
  </sheetViews>
  <sheetFormatPr defaultRowHeight="15"/>
  <cols>
    <col min="1" max="1" width="10.140625" style="255" hidden="1" customWidth="1"/>
    <col min="2" max="2" width="2" style="251" hidden="1" customWidth="1"/>
    <col min="3" max="3" width="11.85546875" style="246" customWidth="1"/>
    <col min="4" max="4" width="11.42578125" style="247" customWidth="1"/>
    <col min="5" max="8" width="10" style="248" customWidth="1"/>
    <col min="9" max="9" width="1.5703125" style="248" customWidth="1"/>
    <col min="10" max="13" width="10.28515625" style="248" customWidth="1"/>
    <col min="14" max="14" width="2.42578125" style="248" customWidth="1"/>
    <col min="15" max="15" width="10.28515625" style="248" hidden="1" customWidth="1"/>
    <col min="16" max="38" width="11" style="248" hidden="1" customWidth="1"/>
    <col min="39" max="41" width="9.140625" style="248" hidden="1" customWidth="1"/>
    <col min="42" max="43" width="9.140625" style="248" customWidth="1"/>
    <col min="44" max="16384" width="9.140625" style="248"/>
  </cols>
  <sheetData>
    <row r="1" spans="1:40" ht="19.149999999999999" customHeight="1">
      <c r="I1" s="248" t="s">
        <v>479</v>
      </c>
      <c r="P1" s="955"/>
      <c r="Q1" s="955"/>
      <c r="R1" s="955"/>
      <c r="S1" s="955"/>
      <c r="T1" s="955"/>
      <c r="U1" s="955"/>
      <c r="V1" s="955"/>
    </row>
    <row r="2" spans="1:40" ht="17.25" customHeight="1">
      <c r="E2" s="963"/>
      <c r="F2" s="963"/>
      <c r="G2" s="436"/>
      <c r="P2" s="955"/>
      <c r="Q2" s="955"/>
      <c r="R2" s="955"/>
      <c r="S2" s="955"/>
      <c r="T2" s="955"/>
      <c r="U2" s="955"/>
      <c r="V2" s="955"/>
    </row>
    <row r="3" spans="1:40" ht="17.25" customHeight="1" thickBot="1">
      <c r="E3" s="963"/>
      <c r="F3" s="963"/>
      <c r="G3" s="436"/>
      <c r="H3" s="257"/>
      <c r="I3" s="257"/>
      <c r="J3" s="351" t="s">
        <v>394</v>
      </c>
      <c r="K3" s="444"/>
      <c r="L3" s="358"/>
      <c r="M3" s="358"/>
      <c r="N3" s="364"/>
      <c r="O3" s="364"/>
    </row>
    <row r="4" spans="1:40" ht="17.25" customHeight="1">
      <c r="E4" s="947"/>
      <c r="F4" s="947"/>
      <c r="G4" s="436"/>
      <c r="J4" s="959" t="s">
        <v>476</v>
      </c>
      <c r="K4" s="960"/>
      <c r="L4" s="951" t="str">
        <f>Data!F21</f>
        <v>6AEE7KZ</v>
      </c>
      <c r="M4" s="952"/>
      <c r="N4" s="364"/>
      <c r="O4" s="364"/>
    </row>
    <row r="5" spans="1:40" ht="18" customHeight="1" thickBot="1">
      <c r="C5" s="344" t="s">
        <v>6</v>
      </c>
      <c r="D5" s="958">
        <v>1300480591</v>
      </c>
      <c r="E5" s="958"/>
      <c r="J5" s="961" t="s">
        <v>395</v>
      </c>
      <c r="K5" s="962"/>
      <c r="L5" s="964" t="str">
        <f>Data!E35</f>
        <v>25.12.1964</v>
      </c>
      <c r="M5" s="965"/>
      <c r="R5" s="437"/>
      <c r="S5" s="437"/>
      <c r="T5" s="437"/>
      <c r="U5" s="437"/>
      <c r="V5" s="437"/>
      <c r="W5" s="437"/>
      <c r="X5" s="437"/>
      <c r="Y5" s="438">
        <f ca="1">TODAY()</f>
        <v>45786</v>
      </c>
      <c r="Z5" s="437"/>
      <c r="AA5" s="437"/>
      <c r="AB5" s="437"/>
      <c r="AC5" s="437"/>
      <c r="AD5" s="437"/>
      <c r="AE5" s="437"/>
      <c r="AF5" s="437"/>
      <c r="AG5" s="437"/>
      <c r="AH5" s="437"/>
      <c r="AI5" s="437"/>
      <c r="AJ5" s="437"/>
    </row>
    <row r="6" spans="1:40" ht="20.25" thickBot="1">
      <c r="D6" s="957" t="s">
        <v>405</v>
      </c>
      <c r="E6" s="957"/>
      <c r="J6" s="351" t="s">
        <v>396</v>
      </c>
      <c r="R6" s="437"/>
      <c r="S6" s="437"/>
      <c r="T6" s="437"/>
      <c r="U6" s="437"/>
      <c r="V6" s="437"/>
      <c r="W6" s="437"/>
      <c r="X6" s="437"/>
      <c r="Y6" s="439" t="str">
        <f ca="1">IF(MONTH(Y5)=1,"йанвар",(IF(MONTH(Y5)=2,"феврал",(IF(MONTH(Y5)=3,"март",(IF(MONTH(Y5)=4,"апрел",(IF(MONTH(Y5)=5,"май",(IF(MONTH(Y5)=6,"ийун",(IF(MONTH(Y5)=7,"ийул","")))))))))))))</f>
        <v>май</v>
      </c>
      <c r="Z6" s="437"/>
      <c r="AA6" s="437"/>
      <c r="AB6" s="437"/>
      <c r="AC6" s="437"/>
      <c r="AD6" s="437"/>
      <c r="AE6" s="437"/>
      <c r="AF6" s="437"/>
      <c r="AG6" s="437"/>
      <c r="AH6" s="437"/>
      <c r="AI6" s="437"/>
      <c r="AJ6" s="437"/>
      <c r="AK6" s="942" t="str">
        <f>CONCATENATE("(",R16,")")</f>
        <v>(Bir min iki yüz yetmiş iki manat )</v>
      </c>
      <c r="AL6" s="942"/>
      <c r="AM6" s="942"/>
      <c r="AN6" s="942"/>
    </row>
    <row r="7" spans="1:40" ht="18" customHeight="1">
      <c r="C7" s="249" t="str">
        <f>Data!I5</f>
        <v>04/2078-25</v>
      </c>
      <c r="D7" s="248" t="s">
        <v>386</v>
      </c>
      <c r="E7" s="440"/>
      <c r="F7" s="440"/>
      <c r="G7" s="440"/>
      <c r="H7" s="440"/>
      <c r="I7" s="440"/>
      <c r="J7" s="352"/>
      <c r="K7" s="406"/>
      <c r="L7" s="966"/>
      <c r="M7" s="967"/>
      <c r="N7" s="251"/>
      <c r="O7" s="251"/>
      <c r="R7" s="437"/>
      <c r="S7" s="437" t="s">
        <v>358</v>
      </c>
      <c r="T7" s="437"/>
      <c r="U7" s="437"/>
      <c r="V7" s="437"/>
      <c r="W7" s="437"/>
      <c r="X7" s="437"/>
      <c r="Y7" s="439" t="str">
        <f ca="1">IF(Y6="",(IF(MONTH(Y5)=8,"август",(IF(MONTH(Y5)=9,"сентйабр",(IF(MONTH(Y5)=10,"октйабр",(IF(MONTH(Y5)=11,"нойабр",(IF(MONTH(Y5)=12,"декабр","")))))))))),"")</f>
        <v/>
      </c>
      <c r="Z7" s="437"/>
      <c r="AA7" s="437"/>
      <c r="AB7" s="437"/>
      <c r="AC7" s="437"/>
      <c r="AD7" s="437"/>
      <c r="AE7" s="437"/>
      <c r="AF7" s="437"/>
      <c r="AG7" s="437"/>
      <c r="AH7" s="437"/>
      <c r="AI7" s="437"/>
      <c r="AJ7" s="437"/>
    </row>
    <row r="8" spans="1:40" ht="9" customHeight="1">
      <c r="J8" s="353"/>
      <c r="K8" s="251"/>
      <c r="L8" s="968"/>
      <c r="M8" s="969"/>
      <c r="N8" s="251"/>
      <c r="O8" s="251"/>
      <c r="R8" s="437"/>
      <c r="S8" s="437" t="s">
        <v>359</v>
      </c>
      <c r="T8" s="437"/>
      <c r="U8" s="437"/>
      <c r="V8" s="437"/>
      <c r="W8" s="437"/>
      <c r="X8" s="437"/>
      <c r="Y8" s="439">
        <f ca="1">YEAR(Y5)</f>
        <v>2025</v>
      </c>
      <c r="Z8" s="437"/>
      <c r="AA8" s="437"/>
      <c r="AB8" s="437"/>
      <c r="AC8" s="437"/>
      <c r="AD8" s="437"/>
      <c r="AE8" s="437"/>
      <c r="AF8" s="437"/>
      <c r="AG8" s="437"/>
      <c r="AH8" s="437"/>
      <c r="AI8" s="437"/>
      <c r="AJ8" s="437"/>
    </row>
    <row r="9" spans="1:40" ht="17.100000000000001" customHeight="1">
      <c r="C9" s="346" t="s">
        <v>0</v>
      </c>
      <c r="D9" s="970">
        <f>Data!E5</f>
        <v>45768</v>
      </c>
      <c r="E9" s="970"/>
      <c r="F9" s="257"/>
      <c r="G9" s="257"/>
      <c r="J9" s="407"/>
      <c r="L9" s="407"/>
      <c r="M9" s="408"/>
      <c r="R9" s="437"/>
      <c r="S9" s="437" t="s">
        <v>361</v>
      </c>
      <c r="T9" s="437"/>
      <c r="U9" s="437"/>
      <c r="V9" s="437"/>
      <c r="W9" s="437"/>
      <c r="X9" s="437"/>
      <c r="Y9" s="437"/>
      <c r="Z9" s="437"/>
      <c r="AA9" s="437"/>
      <c r="AB9" s="437"/>
      <c r="AC9" s="437"/>
      <c r="AD9" s="437"/>
      <c r="AE9" s="437"/>
      <c r="AF9" s="437"/>
      <c r="AG9" s="437"/>
      <c r="AH9" s="437"/>
      <c r="AI9" s="437"/>
      <c r="AJ9" s="437"/>
    </row>
    <row r="10" spans="1:40" ht="18.75" customHeight="1" thickBot="1">
      <c r="C10" s="253" t="s">
        <v>93</v>
      </c>
      <c r="D10" s="410">
        <f>Data!C74</f>
        <v>1272</v>
      </c>
      <c r="E10" s="347" t="s">
        <v>224</v>
      </c>
      <c r="G10" s="486"/>
      <c r="J10" s="382"/>
      <c r="K10" s="383"/>
      <c r="L10" s="382"/>
      <c r="M10" s="384"/>
      <c r="R10" s="956">
        <f>D10</f>
        <v>1272</v>
      </c>
      <c r="S10" s="956"/>
      <c r="T10" s="956"/>
      <c r="U10" s="956"/>
      <c r="V10" s="956"/>
      <c r="W10" s="956"/>
      <c r="X10" s="956"/>
      <c r="Y10" s="956"/>
      <c r="Z10" s="956"/>
      <c r="AA10" s="956"/>
      <c r="AB10" s="956"/>
      <c r="AC10" s="956"/>
      <c r="AD10" s="956"/>
      <c r="AE10" s="956"/>
      <c r="AF10" s="956"/>
      <c r="AG10" s="956"/>
      <c r="AH10" s="956"/>
      <c r="AI10" s="956"/>
      <c r="AJ10" s="956"/>
    </row>
    <row r="11" spans="1:40" ht="17.100000000000001" customHeight="1" thickBot="1">
      <c r="C11" s="254" t="s">
        <v>94</v>
      </c>
      <c r="D11" s="410">
        <f>Data!C76</f>
        <v>0</v>
      </c>
      <c r="E11" s="348" t="s">
        <v>87</v>
      </c>
      <c r="G11" s="485"/>
      <c r="J11" s="351" t="s">
        <v>397</v>
      </c>
      <c r="N11" s="365"/>
      <c r="O11" s="365"/>
      <c r="P11" s="486">
        <f>Data!C86</f>
        <v>20</v>
      </c>
      <c r="R11" s="441">
        <f>INT(R10/10000000000)</f>
        <v>0</v>
      </c>
      <c r="S11" s="441">
        <f>INT(R10/1000000000)-R11*10</f>
        <v>0</v>
      </c>
      <c r="T11" s="441"/>
      <c r="U11" s="441">
        <f>INT(R10/100000000)-(S11*10+R11*100)</f>
        <v>0</v>
      </c>
      <c r="V11" s="441"/>
      <c r="W11" s="441">
        <f>INT(R10/10000000)-(U11*10+S11*100+R11*1000)</f>
        <v>0</v>
      </c>
      <c r="X11" s="441">
        <f>INT(R10/1000000)-(R11*10000+S11*1000+U11*100+W11*10)</f>
        <v>0</v>
      </c>
      <c r="Y11" s="441"/>
      <c r="Z11" s="441">
        <f>INT(R10/100000)-(R11*100000+S11*10000+U11*1000+W11*100+X11*10)</f>
        <v>0</v>
      </c>
      <c r="AA11" s="441"/>
      <c r="AB11" s="441">
        <f>INT(R10/10000)-(R11*1000000+S11*100000+U11*10000+W11*1000+X11*100+Z11*10)</f>
        <v>0</v>
      </c>
      <c r="AC11" s="441">
        <f>INT(R10/1000)-(R11*10000000+S11*1000000+U11*100000+W11*10000+X11*1000+Z11*100+AB11*10)</f>
        <v>1</v>
      </c>
      <c r="AD11" s="441"/>
      <c r="AE11" s="441">
        <f>INT(R10/100)-(R11*100000000+S11*10000000+U11*1000000+W11*100000+X11*10000+Z11*1000+AB11*100+AC11*10)</f>
        <v>2</v>
      </c>
      <c r="AF11" s="441"/>
      <c r="AG11" s="441">
        <f>INT(R10/10)-(R11*1000000000+S11*100000000+U11*10000000+W11*1000000+X11*100000+Z11*10000+AB11*1000+AC11*100+AE11*10)</f>
        <v>7</v>
      </c>
      <c r="AH11" s="441">
        <f>INT(R10)-(R11*10000000000+S11*1000000000+U11*100000000+W11*10000000+X11*1000000+Z11*100000+AB11*10000+AC11*1000+AE11*100+AG11*10)</f>
        <v>2</v>
      </c>
      <c r="AI11" s="442">
        <f>INT(R10*10)-(R11*100000000000+S11*10000000000+U11*1000000000+W11*100000000+X11*10000000+Z11*1000000+AB11*100000+AC11*10000+AE11*1000+AG11*100+AH11*10)</f>
        <v>0</v>
      </c>
      <c r="AJ11" s="442">
        <f>INT(R10*100)-(R11*1000000000000+S11*100000000000+U11*10000000000+W11*1000000000+X11*100000000+Z11*10000000+AB11*1000000+AC11*100000+AE11*10000+AG11*1000+AH11*100+AI11*10)</f>
        <v>0</v>
      </c>
    </row>
    <row r="12" spans="1:40" ht="17.100000000000001" customHeight="1">
      <c r="C12" s="254" t="s">
        <v>95</v>
      </c>
      <c r="D12" s="410">
        <f>Data!C78</f>
        <v>12</v>
      </c>
      <c r="E12" s="345" t="s">
        <v>96</v>
      </c>
      <c r="G12" s="485"/>
      <c r="J12" s="354" t="s">
        <v>398</v>
      </c>
      <c r="K12" s="355"/>
      <c r="L12" s="355"/>
      <c r="M12" s="356"/>
      <c r="N12" s="366"/>
      <c r="O12" s="366"/>
      <c r="P12" s="486">
        <f>(Data!C74+(Data!C74*Data!C86%)+Data!C88+G78)</f>
        <v>1526.4</v>
      </c>
      <c r="R12" s="441" t="str">
        <f>IF(R11=0," ",IF(R11=1," On ",IF(R11=2," İyirmi",IF(R11=3," Otuz",IF(R11=4," Qırx"," ")))))&amp;IF(R11=5," Əlli",IF(R11=6," Altmış",IF(R11=7," Yetmiş",IF(R11=8," Səksən",IF(R11=9," Doxsan"," ")))))</f>
        <v xml:space="preserve">  </v>
      </c>
      <c r="S12" s="441" t="str">
        <f>IF(S11=0," ",IF(S11=1," bir",IF(S11=2," iki",IF(S11=3," üç",IF(S11=4," dörd"," ")))))&amp;IF(S11=5," beş",IF(S11=6," altı",IF(S11=7," yeddi",IF(S11=8," səkkiz",IF(S11=9," doqquz"," ")))))</f>
        <v xml:space="preserve">  </v>
      </c>
      <c r="T12" s="441" t="str">
        <f>IF(AND(S11=0,R11=0)," "," milyard ")</f>
        <v xml:space="preserve"> </v>
      </c>
      <c r="U12" s="441" t="str">
        <f>IF(U11=0," ",IF(U11=1,"bir ",IF(U11=2,"iki ",IF(U11=3,"üç ",IF(U11=4,"dörd "," ")))))&amp;IF(U11=5,"beş ",IF(U11=6,"altı ",IF(U11=7,"yeddi ",IF(U11=8,"səkkiz ",IF(U11=9,"doqquz "," ")))))</f>
        <v xml:space="preserve">  </v>
      </c>
      <c r="V12" s="441" t="str">
        <f>IF(U12="  "," "," yüz ")</f>
        <v xml:space="preserve"> </v>
      </c>
      <c r="W12" s="441" t="str">
        <f>IF(W11=0," ",IF(W11=1,"on ",IF(W11=2,"iyirmi ",IF(W11=3,"otuz ",IF(W11=4,"qırx "," ")))))&amp;IF(W11=5,"əlli ",IF(W11=6,"altmış ",IF(W11=7,"yetmiş ",IF(W11=8,"səksən ",IF(W11=9,"doxsan "," ")))))</f>
        <v xml:space="preserve">  </v>
      </c>
      <c r="X12" s="441" t="str">
        <f>IF(X11=0," ",IF(X11=1,"bir",IF(X11=2,"iki",IF(X11=3,"üç",IF(X11=4,"dörd"," ")))))&amp;IF(X11=5,"beş",IF(X11=6,"altı",IF(X11=7,"yeddi",IF(X11=8,"səkkiz",IF(X11=9,"doqquz"," ")))))</f>
        <v xml:space="preserve">  </v>
      </c>
      <c r="Y12" s="441" t="str">
        <f>IF(AND(W11=0,U11=0,X11=0)," "," milyon ")</f>
        <v xml:space="preserve"> </v>
      </c>
      <c r="Z12" s="441" t="str">
        <f>IF(Z11=0," ",IF(Z11=1,"bir  ",IF(Z11=2,"iki  ",IF(Z11=3,"üç  ",IF(Z11=4,"dörd  "," ")))))&amp;IF(Z11=5,"beş  ",IF(Z11=6,"altı  ",IF(Z11=7,"yeddi  ",IF(Z11=8,"səkkiz  ",IF(Z11=9,"doqquz  "," ")))))</f>
        <v xml:space="preserve">  </v>
      </c>
      <c r="AA12" s="441" t="str">
        <f>IF(Z12="  "," "," yüz ")</f>
        <v xml:space="preserve"> </v>
      </c>
      <c r="AB12" s="441" t="str">
        <f>IF(AB11=0," ",IF(AB11=1,"on ",IF(AB11=2,"iyirmi ",IF(AB11=3,"otuz ",IF(AB11=4,"qırx "," ")))))&amp;IF(AB11=5,"əlli ",IF(AB11=6,"altmış ",IF(AB11=7,"yetmiş ",IF(AB11=8,"səksən ",IF(AB11=9,"doxsan "," ")))))</f>
        <v xml:space="preserve">  </v>
      </c>
      <c r="AC12" s="441" t="str">
        <f>IF(AC11=0," ",IF(AC11=1,"bir",IF(AC11=2,"iki",IF(AC11=3,"üç",IF(AC11=4,"dörd"," ")))))&amp;IF(AC11=5,"beş",IF(AC11=6,"altı",IF(AC11=7,"yeddi",IF(AC11=8,"səkkiz",IF(AC11=9,"doqquz"," ")))))</f>
        <v xml:space="preserve">bir </v>
      </c>
      <c r="AD12" s="441" t="str">
        <f>IF(AND(AB11=0,Z11=0,AC11=0)," "," min ")</f>
        <v xml:space="preserve"> min </v>
      </c>
      <c r="AE12" s="441" t="str">
        <f>IF(AE11=0," ",IF(AE11=1,"bir  ",IF(AE11=2,"iki  ",IF(AE11=3,"üç  ",IF(AE11=4,"dörd  "," ")))))&amp;IF(AE11=5,"beş  ",IF(AE11=6,"altı  ",IF(AE11=7,"yeddi  ",IF(AE11=8,"səkkiz  ",IF(AE11=9,"doqquz  "," ")))))</f>
        <v xml:space="preserve">iki   </v>
      </c>
      <c r="AF12" s="441" t="str">
        <f>IF(AE12="  "," "," yüz ")</f>
        <v xml:space="preserve"> yüz </v>
      </c>
      <c r="AG12" s="441" t="str">
        <f>IF(AG11=0," ",IF(AG11=1," on",IF(AG11=2," iyirmi",IF(AG11=3," otuz",IF(AG11=4," qırx"," ")))))&amp;IF(AG11=5," əlli",IF(AG11=6," altmış",IF(AG11=7," yetmiş",IF(AG11=8," səksən",IF(AG11=9," doxsan"," ")))))</f>
        <v xml:space="preserve">  yetmiş</v>
      </c>
      <c r="AH12" s="441" t="str">
        <f>IF(AH11=0," ",IF(AH11=1," bir",IF(AH11=2," iki",IF(AH11=3," üç",IF(AH11=4," dörd"," ")))))&amp;IF(AH11=5," beş",IF(AH11=6," altı",IF(AH11=7," yeddi",IF(AH11=8," səkkiz",IF(AH11=9," doqquz"," ")))))</f>
        <v xml:space="preserve"> iki </v>
      </c>
      <c r="AI12" s="441" t="str">
        <f>IF(AI11=0," ",IF(AI11=1," он",IF(AI11=2," ийирми",IF(AI11=3," отуз",IF(AI11=4," гырх"," ")))))&amp;IF(AI11=5," ялли",IF(AI11=6," алтмыш",IF(AI11=7," йетмиш",IF(AI11=8," сяксян",IF(AI11=9," дохсан"," ")))))</f>
        <v xml:space="preserve">  </v>
      </c>
      <c r="AJ12" s="441" t="str">
        <f>IF(AJ11=0," ",IF(AJ11=1," bir",IF(AJ11=2," iki",IF(AJ11=3," üç",IF(AJ11=4," dörd"," ")))))&amp;IF(AJ11=5," beş",IF(AJ11=6," altı",IF(AJ11=7," yeddi",IF(AJ11=8," səkkiz",IF(AJ11=9," doqquz"," ")))))</f>
        <v xml:space="preserve">  </v>
      </c>
    </row>
    <row r="13" spans="1:40" ht="17.100000000000001" customHeight="1" thickBot="1">
      <c r="C13" s="253" t="s">
        <v>387</v>
      </c>
      <c r="D13" s="411">
        <f>Data!C80</f>
        <v>0</v>
      </c>
      <c r="E13" s="250" t="s">
        <v>96</v>
      </c>
      <c r="G13" s="486"/>
      <c r="J13" s="357" t="s">
        <v>399</v>
      </c>
      <c r="K13" s="358"/>
      <c r="L13" s="358"/>
      <c r="M13" s="359"/>
      <c r="P13" s="486">
        <f>P12-D10</f>
        <v>254.40000000000009</v>
      </c>
      <c r="R13" s="437" t="str">
        <f>PROPER(R12)</f>
        <v xml:space="preserve">  </v>
      </c>
      <c r="S13" s="437" t="str">
        <f>IF(R12="  ",PROPER(S12),S12)</f>
        <v xml:space="preserve">  </v>
      </c>
      <c r="T13" s="437" t="str">
        <f>T12</f>
        <v xml:space="preserve"> </v>
      </c>
      <c r="U13" s="437" t="str">
        <f>IF(AND(R12="  ",S12="  ",T12=" "),PROPER(U12),U12)</f>
        <v xml:space="preserve">  </v>
      </c>
      <c r="V13" s="437" t="str">
        <f>V12</f>
        <v xml:space="preserve"> </v>
      </c>
      <c r="W13" s="437" t="str">
        <f>IF(AND(R12="  ",S12="  ",T12=" ",U12="  ",V12=" "),PROPER(W12),W12)</f>
        <v xml:space="preserve">  </v>
      </c>
      <c r="X13" s="437" t="str">
        <f>IF(AND(R12="  ",S12="  ",T12=" ",U12="  ",V12=" ",W12="  "),PROPER(X12),X12)</f>
        <v xml:space="preserve">  </v>
      </c>
      <c r="Y13" s="437" t="str">
        <f>Y12</f>
        <v xml:space="preserve"> </v>
      </c>
      <c r="Z13" s="437" t="str">
        <f>IF(AND(R12="  ",S12="  ",T12=" ",U12="  ",V12=" ",W12="  ",X12="  ",Y12=" "),PROPER(Z12),Z12)</f>
        <v xml:space="preserve">  </v>
      </c>
      <c r="AA13" s="437" t="str">
        <f>AA12</f>
        <v xml:space="preserve"> </v>
      </c>
      <c r="AB13" s="437" t="str">
        <f>IF(AND(R12="  ",S12="  ",T12=" ",U12="  ",V12=" ",W12="  ",X12="  ",Y12=" ",Z12="  ",AA12=" "),PROPER(AB12),AB12)</f>
        <v xml:space="preserve">  </v>
      </c>
      <c r="AC13" s="437" t="str">
        <f>IF(AND(R12="  ",S12="  ",T12=" ",U12="  ",V12=" ",W12="  ",X12="  ",Y12=" ",Z12="  ",AA12=" ",AB12="  "),PROPER(AC12),AC12)</f>
        <v xml:space="preserve">Bir </v>
      </c>
      <c r="AD13" s="437" t="str">
        <f>AD12</f>
        <v xml:space="preserve"> min </v>
      </c>
      <c r="AE13" s="437" t="str">
        <f>IF(AND(R12="  ",S12="  ",T12=" ",U12="  ",V12=" ",W12="  ",X12="  ",Y12=" ",Z12="  ",AA12=" ",AB12="  ",AC12="  ",AD12=" "),PROPER(AE12),AE12)</f>
        <v xml:space="preserve">iki   </v>
      </c>
      <c r="AF13" s="437" t="str">
        <f>AF12</f>
        <v xml:space="preserve"> yüz </v>
      </c>
      <c r="AG13" s="437" t="str">
        <f>IF(AND(R12="  ",S12="  ",T12=" ",U12="  ",V12=" ",W12="  ",X12="  ",Y12=" ",Z12="  ",AA12=" ",AB12="  ",AC12="  ",AD12=" ",AE12="  ",AF12=" "),PROPER(AG12),AG12)</f>
        <v xml:space="preserve">  yetmiş</v>
      </c>
      <c r="AH13" s="437" t="str">
        <f>IF(AND(R12="  ",S12="  ",T12=" ",U12="  ",V12=" ",W12="  ",X12="  ",Y12=" ",Z12="  ",AA12=" ",AB12="  ",AC12="  ",AD12=" ",AE12="  ",AF12=" ",AG12="  "),PROPER(AH12),AH12)</f>
        <v xml:space="preserve"> iki </v>
      </c>
      <c r="AI13" s="437" t="str">
        <f>IF(AND(S12="  ",T12="  ",U12=" ",V12="  ",W12=" ",X12="  ",Y12="  ",Z12=" ",AA12="  ",AB12=" ",AC12="  ",AD12="  ",AE12=" ",AF12="  ",AG12=" ",AH12="  "),PROPER(AI12),AI12)</f>
        <v xml:space="preserve">  </v>
      </c>
      <c r="AJ13" s="437" t="str">
        <f>IF(AND(T12="  ",U12="  ",V12=" ",W12="  ",X12=" ",Y12="  ",Z12="  ",AA12=" ",AB12="  ",AC12=" ",AD12="  ",AE12="  ",AF12=" ",AG12="  ",AH12=" ",AI12="  "),PROPER(AJ12),AJ12)</f>
        <v xml:space="preserve">  </v>
      </c>
    </row>
    <row r="14" spans="1:40" ht="17.100000000000001" customHeight="1">
      <c r="C14" s="253" t="s">
        <v>388</v>
      </c>
      <c r="D14" s="338">
        <f>Annuity!F1</f>
        <v>106</v>
      </c>
      <c r="E14" s="347" t="s">
        <v>224</v>
      </c>
      <c r="G14" s="487"/>
      <c r="H14" s="440"/>
      <c r="I14" s="440"/>
      <c r="J14" s="360" t="s">
        <v>400</v>
      </c>
      <c r="P14" s="486">
        <f>D10-P13</f>
        <v>1017.5999999999999</v>
      </c>
      <c r="R14" s="944" t="str">
        <f>TRIM(R13&amp;S13&amp;T13&amp;U13&amp;V13&amp;W13&amp;X13&amp;Y13&amp;Z13&amp;AA13&amp;AB13&amp;AC13&amp;AD13&amp;AE13&amp;AF13&amp;AG13&amp;AH13&amp;" manat")</f>
        <v>Bir min iki yüz yetmiş iki manat</v>
      </c>
      <c r="S14" s="944"/>
      <c r="T14" s="944"/>
      <c r="U14" s="944"/>
      <c r="V14" s="944"/>
      <c r="W14" s="944"/>
      <c r="X14" s="944"/>
      <c r="Y14" s="944"/>
      <c r="Z14" s="944"/>
      <c r="AA14" s="944"/>
      <c r="AB14" s="944"/>
      <c r="AC14" s="944"/>
      <c r="AD14" s="944"/>
      <c r="AE14" s="944"/>
      <c r="AF14" s="944"/>
      <c r="AG14" s="944"/>
      <c r="AH14" s="944"/>
      <c r="AI14" s="944"/>
      <c r="AJ14" s="944"/>
    </row>
    <row r="15" spans="1:40" ht="18.75" customHeight="1" thickBot="1">
      <c r="C15" s="387" t="s">
        <v>392</v>
      </c>
      <c r="D15" s="950" t="s">
        <v>393</v>
      </c>
      <c r="E15" s="950"/>
      <c r="F15" s="950"/>
      <c r="G15" s="950"/>
      <c r="H15" s="950"/>
      <c r="I15" s="349"/>
      <c r="N15" s="366"/>
      <c r="O15" s="366"/>
      <c r="P15" s="248">
        <f>D10*Data!C86%</f>
        <v>254.4</v>
      </c>
      <c r="R15" s="943"/>
      <c r="S15" s="943"/>
      <c r="T15" s="943"/>
      <c r="U15" s="943"/>
      <c r="V15" s="943"/>
      <c r="W15" s="943"/>
      <c r="X15" s="943"/>
      <c r="Y15" s="943"/>
      <c r="Z15" s="943"/>
      <c r="AA15" s="943"/>
      <c r="AB15" s="943"/>
      <c r="AC15" s="943"/>
      <c r="AD15" s="943"/>
      <c r="AE15" s="943"/>
      <c r="AF15" s="943"/>
      <c r="AG15" s="943"/>
      <c r="AH15" s="943"/>
      <c r="AI15" s="943"/>
      <c r="AJ15" s="943"/>
    </row>
    <row r="16" spans="1:40" s="257" customFormat="1" ht="15.75">
      <c r="A16" s="256"/>
      <c r="C16" s="372" t="s">
        <v>97</v>
      </c>
      <c r="D16" s="373" t="s">
        <v>389</v>
      </c>
      <c r="E16" s="374" t="s">
        <v>98</v>
      </c>
      <c r="F16" s="374" t="s">
        <v>390</v>
      </c>
      <c r="G16" s="374" t="s">
        <v>280</v>
      </c>
      <c r="H16" s="374" t="s">
        <v>391</v>
      </c>
      <c r="J16" s="361" t="s">
        <v>401</v>
      </c>
      <c r="K16" s="362"/>
      <c r="L16" s="362"/>
      <c r="M16" s="363"/>
      <c r="N16" s="366"/>
      <c r="O16" s="366"/>
      <c r="P16" s="338">
        <f>Data!C78</f>
        <v>12</v>
      </c>
      <c r="R16" s="944" t="str">
        <f>CONCATENATE(R14," ",R15)</f>
        <v xml:space="preserve">Bir min iki yüz yetmiş iki manat </v>
      </c>
      <c r="S16" s="944"/>
      <c r="T16" s="944"/>
      <c r="U16" s="944"/>
      <c r="V16" s="944"/>
      <c r="W16" s="944"/>
      <c r="X16" s="944"/>
      <c r="Y16" s="944"/>
      <c r="Z16" s="944"/>
      <c r="AA16" s="944"/>
      <c r="AB16" s="944"/>
      <c r="AC16" s="944"/>
      <c r="AD16" s="944"/>
      <c r="AE16" s="944"/>
      <c r="AF16" s="944"/>
      <c r="AG16" s="944"/>
      <c r="AH16" s="944"/>
      <c r="AI16" s="944"/>
      <c r="AJ16" s="944"/>
    </row>
    <row r="17" spans="1:36" ht="16.5" thickBot="1">
      <c r="C17" s="375">
        <f>Data!E5</f>
        <v>45768</v>
      </c>
      <c r="D17" s="376">
        <v>0</v>
      </c>
      <c r="E17" s="377"/>
      <c r="F17" s="377"/>
      <c r="G17" s="377"/>
      <c r="H17" s="377"/>
      <c r="I17" s="262"/>
      <c r="J17" s="357" t="s">
        <v>402</v>
      </c>
      <c r="K17" s="358"/>
      <c r="L17" s="358"/>
      <c r="M17" s="359"/>
      <c r="P17" s="486">
        <f>(P14-D10)*(P13%/P11)</f>
        <v>-32.359680000000019</v>
      </c>
      <c r="R17" s="437"/>
      <c r="S17" s="437"/>
      <c r="T17" s="437"/>
      <c r="U17" s="437"/>
      <c r="V17" s="437"/>
      <c r="W17" s="437"/>
      <c r="X17" s="437"/>
      <c r="Y17" s="437"/>
      <c r="Z17" s="437"/>
      <c r="AA17" s="437"/>
      <c r="AB17" s="437"/>
      <c r="AC17" s="437"/>
      <c r="AD17" s="437"/>
      <c r="AE17" s="437"/>
      <c r="AF17" s="437"/>
      <c r="AG17" s="437"/>
      <c r="AH17" s="437"/>
      <c r="AI17" s="437"/>
      <c r="AJ17" s="437"/>
    </row>
    <row r="18" spans="1:36">
      <c r="A18" s="255">
        <f>IF(C17,DATE((YEAR(C17)-1900),MONTH(C17)+1,IF(DAY(C17)&gt;DAY(DATE((YEAR(C17)-1900),MONTH(C17)+2,1)-1),DAY(DATE((YEAR(C17)-1900),MONTH(C17)+2,1)-1),DAY(C$17))))</f>
        <v>45798</v>
      </c>
      <c r="B18" s="251">
        <f t="shared" ref="B18:B49" si="0">WEEKDAY(A18,2)</f>
        <v>3</v>
      </c>
      <c r="C18" s="375">
        <f t="shared" ref="C18:C77" si="1">IF(D18="-","-",IF(MONTH(IF(B18=6,A18-1,IF(B18=7,A18+1,A18)))=MONTH(C17),A18+2,IF(MONTH(IF(B18=6,A18-1,IF(B18=7,A18+1,A18)))=MONTH(A19),A18-2,IF(B18=6,A18-1,IF(B18=7,A18+1,A18)))))</f>
        <v>45798</v>
      </c>
      <c r="D18" s="376">
        <f t="shared" ref="D18:D49" si="2">IF(D$12&gt;D17,D17+1,"-")</f>
        <v>1</v>
      </c>
      <c r="E18" s="378">
        <f t="shared" ref="E18:E49" si="3">SUM(F18:G18)</f>
        <v>106</v>
      </c>
      <c r="F18" s="379">
        <f>Annuity!E8</f>
        <v>106</v>
      </c>
      <c r="G18" s="377">
        <f>Annuity!F8</f>
        <v>0</v>
      </c>
      <c r="H18" s="379">
        <f>D10-F18</f>
        <v>1166</v>
      </c>
      <c r="I18" s="350"/>
      <c r="J18" s="360" t="s">
        <v>400</v>
      </c>
      <c r="R18" s="437"/>
      <c r="S18" s="437"/>
      <c r="T18" s="437"/>
      <c r="U18" s="437"/>
      <c r="V18" s="437"/>
      <c r="W18" s="437"/>
      <c r="X18" s="437"/>
      <c r="Y18" s="437"/>
      <c r="Z18" s="437"/>
      <c r="AA18" s="437"/>
      <c r="AB18" s="437"/>
      <c r="AC18" s="437"/>
      <c r="AD18" s="437"/>
      <c r="AE18" s="437"/>
      <c r="AF18" s="437"/>
      <c r="AG18" s="437"/>
      <c r="AH18" s="437"/>
      <c r="AI18" s="437"/>
      <c r="AJ18" s="437"/>
    </row>
    <row r="19" spans="1:36">
      <c r="A19" s="255">
        <f t="shared" ref="A19:A50" si="4">IF(A18,DATE((YEAR(A18)-1900),MONTH(A18)+1,IF(DAY(A18)&gt;DAY(DATE((YEAR(A18)-1900),MONTH(A18)+2,1)-1),DAY(DATE((YEAR(A18)-1900),MONTH(A18)+2,1)-1),DAY(C$17))))</f>
        <v>45829</v>
      </c>
      <c r="B19" s="251">
        <f t="shared" si="0"/>
        <v>6</v>
      </c>
      <c r="C19" s="375">
        <f t="shared" si="1"/>
        <v>45828</v>
      </c>
      <c r="D19" s="376">
        <f t="shared" si="2"/>
        <v>2</v>
      </c>
      <c r="E19" s="378">
        <f t="shared" si="3"/>
        <v>106</v>
      </c>
      <c r="F19" s="379">
        <f>Annuity!E9</f>
        <v>106</v>
      </c>
      <c r="G19" s="377">
        <f>Annuity!F9</f>
        <v>0</v>
      </c>
      <c r="H19" s="379">
        <f t="shared" ref="H19:H50" si="5">H18-F19</f>
        <v>1060</v>
      </c>
      <c r="I19" s="350"/>
      <c r="N19" s="257"/>
      <c r="O19" s="257"/>
      <c r="P19" s="248" t="e">
        <f>(PP!O12-PP!F78)*PP!D11/PP!G78</f>
        <v>#DIV/0!</v>
      </c>
      <c r="R19" s="437"/>
      <c r="S19" s="437"/>
      <c r="T19" s="437"/>
      <c r="U19" s="437"/>
      <c r="V19" s="437"/>
      <c r="W19" s="437"/>
      <c r="X19" s="437"/>
      <c r="Y19" s="437"/>
      <c r="Z19" s="437"/>
      <c r="AA19" s="437"/>
      <c r="AB19" s="437"/>
      <c r="AC19" s="437"/>
      <c r="AD19" s="437"/>
      <c r="AE19" s="437"/>
      <c r="AF19" s="437"/>
      <c r="AG19" s="437"/>
      <c r="AH19" s="437"/>
      <c r="AI19" s="437"/>
      <c r="AJ19" s="437"/>
    </row>
    <row r="20" spans="1:36">
      <c r="A20" s="255">
        <f t="shared" si="4"/>
        <v>45859</v>
      </c>
      <c r="B20" s="251">
        <f t="shared" si="0"/>
        <v>1</v>
      </c>
      <c r="C20" s="375">
        <f t="shared" si="1"/>
        <v>45859</v>
      </c>
      <c r="D20" s="376">
        <f t="shared" si="2"/>
        <v>3</v>
      </c>
      <c r="E20" s="378">
        <f t="shared" si="3"/>
        <v>106</v>
      </c>
      <c r="F20" s="379">
        <f>Annuity!E10</f>
        <v>106</v>
      </c>
      <c r="G20" s="377">
        <f>Annuity!F10</f>
        <v>0</v>
      </c>
      <c r="H20" s="379">
        <f t="shared" si="5"/>
        <v>954</v>
      </c>
      <c r="I20" s="350"/>
      <c r="J20" s="947" t="s">
        <v>403</v>
      </c>
      <c r="K20" s="947"/>
      <c r="L20" s="947"/>
      <c r="M20" s="947"/>
      <c r="N20" s="257"/>
      <c r="O20" s="257"/>
      <c r="R20" s="437"/>
      <c r="S20" s="437"/>
      <c r="T20" s="437"/>
      <c r="U20" s="437"/>
      <c r="V20" s="437"/>
      <c r="W20" s="437"/>
      <c r="X20" s="437"/>
      <c r="Y20" s="437"/>
      <c r="Z20" s="437"/>
      <c r="AA20" s="437"/>
      <c r="AB20" s="437"/>
      <c r="AC20" s="437"/>
      <c r="AD20" s="437"/>
      <c r="AE20" s="437"/>
      <c r="AF20" s="437"/>
      <c r="AG20" s="437"/>
      <c r="AH20" s="437"/>
      <c r="AI20" s="437"/>
      <c r="AJ20" s="437"/>
    </row>
    <row r="21" spans="1:36">
      <c r="A21" s="255">
        <f t="shared" si="4"/>
        <v>45890</v>
      </c>
      <c r="B21" s="251">
        <f t="shared" si="0"/>
        <v>4</v>
      </c>
      <c r="C21" s="375">
        <f t="shared" si="1"/>
        <v>45890</v>
      </c>
      <c r="D21" s="376">
        <f t="shared" si="2"/>
        <v>4</v>
      </c>
      <c r="E21" s="378">
        <f t="shared" si="3"/>
        <v>106</v>
      </c>
      <c r="F21" s="379">
        <f>Annuity!E11</f>
        <v>106</v>
      </c>
      <c r="G21" s="377">
        <f>Annuity!F11</f>
        <v>0</v>
      </c>
      <c r="H21" s="379">
        <f t="shared" si="5"/>
        <v>848</v>
      </c>
      <c r="I21" s="350"/>
      <c r="J21" s="954" t="s">
        <v>936</v>
      </c>
      <c r="K21" s="954"/>
      <c r="L21" s="954"/>
      <c r="M21" s="954"/>
      <c r="N21" s="338"/>
      <c r="O21" s="338"/>
      <c r="R21" s="437"/>
      <c r="S21" s="437"/>
      <c r="T21" s="437"/>
      <c r="U21" s="437"/>
      <c r="V21" s="437"/>
      <c r="W21" s="437"/>
      <c r="X21" s="437"/>
      <c r="Y21" s="437"/>
      <c r="Z21" s="437"/>
      <c r="AA21" s="437"/>
      <c r="AB21" s="437"/>
      <c r="AC21" s="437"/>
      <c r="AD21" s="437"/>
      <c r="AE21" s="437"/>
      <c r="AF21" s="437"/>
      <c r="AG21" s="437"/>
      <c r="AH21" s="437"/>
      <c r="AI21" s="437"/>
      <c r="AJ21" s="437"/>
    </row>
    <row r="22" spans="1:36">
      <c r="A22" s="255">
        <f t="shared" si="4"/>
        <v>45921</v>
      </c>
      <c r="B22" s="251">
        <f t="shared" si="0"/>
        <v>7</v>
      </c>
      <c r="C22" s="375">
        <f t="shared" si="1"/>
        <v>45922</v>
      </c>
      <c r="D22" s="376">
        <f t="shared" si="2"/>
        <v>5</v>
      </c>
      <c r="E22" s="378">
        <f t="shared" si="3"/>
        <v>106</v>
      </c>
      <c r="F22" s="379">
        <f>Annuity!E12</f>
        <v>106</v>
      </c>
      <c r="G22" s="377">
        <f>Annuity!F12</f>
        <v>0</v>
      </c>
      <c r="H22" s="379">
        <f t="shared" si="5"/>
        <v>742</v>
      </c>
      <c r="I22" s="350"/>
      <c r="J22" s="945" t="s">
        <v>937</v>
      </c>
      <c r="K22" s="945"/>
      <c r="L22" s="945"/>
      <c r="M22" s="945"/>
      <c r="N22" s="257"/>
      <c r="O22" s="257"/>
      <c r="R22" s="437"/>
      <c r="S22" s="437"/>
      <c r="T22" s="437"/>
      <c r="U22" s="437"/>
      <c r="V22" s="437"/>
      <c r="W22" s="437"/>
      <c r="X22" s="437"/>
      <c r="Y22" s="437"/>
      <c r="Z22" s="437"/>
      <c r="AA22" s="437"/>
      <c r="AB22" s="437"/>
      <c r="AC22" s="437"/>
      <c r="AD22" s="437"/>
      <c r="AE22" s="437"/>
      <c r="AF22" s="437"/>
      <c r="AG22" s="437"/>
      <c r="AH22" s="437"/>
      <c r="AI22" s="437"/>
      <c r="AJ22" s="437"/>
    </row>
    <row r="23" spans="1:36">
      <c r="A23" s="255">
        <f t="shared" si="4"/>
        <v>45951</v>
      </c>
      <c r="B23" s="251">
        <f t="shared" si="0"/>
        <v>2</v>
      </c>
      <c r="C23" s="375">
        <f t="shared" si="1"/>
        <v>45951</v>
      </c>
      <c r="D23" s="376">
        <f t="shared" si="2"/>
        <v>6</v>
      </c>
      <c r="E23" s="378">
        <f t="shared" si="3"/>
        <v>106</v>
      </c>
      <c r="F23" s="379">
        <f>Annuity!E13</f>
        <v>106</v>
      </c>
      <c r="G23" s="377">
        <f>Annuity!F13</f>
        <v>0</v>
      </c>
      <c r="H23" s="379">
        <f t="shared" si="5"/>
        <v>636</v>
      </c>
      <c r="I23" s="350"/>
      <c r="J23" s="947" t="s">
        <v>478</v>
      </c>
      <c r="K23" s="947"/>
      <c r="L23" s="947"/>
      <c r="M23" s="947"/>
      <c r="N23" s="350"/>
      <c r="O23" s="350"/>
      <c r="R23" s="437"/>
      <c r="S23" s="437"/>
      <c r="T23" s="437"/>
      <c r="U23" s="437"/>
      <c r="V23" s="437"/>
      <c r="W23" s="437"/>
      <c r="X23" s="437"/>
      <c r="Y23" s="437"/>
      <c r="Z23" s="437"/>
      <c r="AA23" s="437"/>
      <c r="AB23" s="437"/>
      <c r="AC23" s="437"/>
      <c r="AD23" s="437"/>
      <c r="AE23" s="437"/>
      <c r="AF23" s="437"/>
      <c r="AG23" s="437"/>
      <c r="AH23" s="437"/>
      <c r="AI23" s="437"/>
      <c r="AJ23" s="437"/>
    </row>
    <row r="24" spans="1:36">
      <c r="A24" s="255">
        <f t="shared" si="4"/>
        <v>45982</v>
      </c>
      <c r="B24" s="251">
        <f t="shared" si="0"/>
        <v>5</v>
      </c>
      <c r="C24" s="375">
        <f t="shared" si="1"/>
        <v>45982</v>
      </c>
      <c r="D24" s="376">
        <f t="shared" si="2"/>
        <v>7</v>
      </c>
      <c r="E24" s="378">
        <f t="shared" si="3"/>
        <v>106</v>
      </c>
      <c r="F24" s="379">
        <f>Annuity!E14</f>
        <v>106</v>
      </c>
      <c r="G24" s="377">
        <f>Annuity!F14</f>
        <v>0</v>
      </c>
      <c r="H24" s="379">
        <f t="shared" si="5"/>
        <v>530</v>
      </c>
      <c r="I24" s="350"/>
      <c r="J24" s="350"/>
      <c r="K24" s="350"/>
      <c r="L24" s="350"/>
      <c r="M24" s="350"/>
      <c r="N24" s="350"/>
      <c r="O24" s="350"/>
      <c r="R24" s="437"/>
      <c r="S24" s="437"/>
      <c r="T24" s="437"/>
      <c r="U24" s="437"/>
      <c r="V24" s="437"/>
      <c r="W24" s="437"/>
      <c r="X24" s="437"/>
      <c r="Y24" s="437"/>
      <c r="Z24" s="437"/>
      <c r="AA24" s="437"/>
      <c r="AB24" s="437"/>
      <c r="AC24" s="437"/>
      <c r="AD24" s="437"/>
      <c r="AE24" s="437"/>
      <c r="AF24" s="437"/>
      <c r="AG24" s="437"/>
      <c r="AH24" s="437"/>
      <c r="AI24" s="437"/>
      <c r="AJ24" s="437"/>
    </row>
    <row r="25" spans="1:36">
      <c r="A25" s="255">
        <f t="shared" si="4"/>
        <v>46012</v>
      </c>
      <c r="B25" s="251">
        <f t="shared" si="0"/>
        <v>7</v>
      </c>
      <c r="C25" s="375">
        <f t="shared" si="1"/>
        <v>46013</v>
      </c>
      <c r="D25" s="376">
        <f t="shared" si="2"/>
        <v>8</v>
      </c>
      <c r="E25" s="378">
        <f t="shared" si="3"/>
        <v>106</v>
      </c>
      <c r="F25" s="379">
        <f>Annuity!E15</f>
        <v>106</v>
      </c>
      <c r="G25" s="377">
        <f>Annuity!F15</f>
        <v>0</v>
      </c>
      <c r="H25" s="379">
        <f t="shared" si="5"/>
        <v>424</v>
      </c>
      <c r="I25" s="350"/>
      <c r="J25" s="350"/>
      <c r="K25" s="350"/>
      <c r="L25" s="350"/>
      <c r="M25" s="350"/>
      <c r="N25" s="350"/>
      <c r="O25" s="350"/>
      <c r="R25" s="437"/>
      <c r="S25" s="437"/>
      <c r="T25" s="437"/>
      <c r="U25" s="437"/>
      <c r="V25" s="437"/>
      <c r="W25" s="437"/>
      <c r="X25" s="437"/>
      <c r="Y25" s="437"/>
      <c r="Z25" s="437"/>
      <c r="AA25" s="437"/>
      <c r="AB25" s="437"/>
      <c r="AC25" s="437"/>
      <c r="AD25" s="437"/>
      <c r="AE25" s="437"/>
      <c r="AF25" s="437"/>
      <c r="AG25" s="437"/>
      <c r="AH25" s="437"/>
      <c r="AI25" s="437"/>
      <c r="AJ25" s="437"/>
    </row>
    <row r="26" spans="1:36">
      <c r="A26" s="255">
        <f t="shared" si="4"/>
        <v>46043</v>
      </c>
      <c r="B26" s="251">
        <f t="shared" si="0"/>
        <v>3</v>
      </c>
      <c r="C26" s="375">
        <f t="shared" si="1"/>
        <v>46043</v>
      </c>
      <c r="D26" s="376">
        <f t="shared" si="2"/>
        <v>9</v>
      </c>
      <c r="E26" s="378">
        <f t="shared" si="3"/>
        <v>106</v>
      </c>
      <c r="F26" s="379">
        <f>Annuity!E16</f>
        <v>106</v>
      </c>
      <c r="G26" s="377">
        <f>Annuity!F16</f>
        <v>0</v>
      </c>
      <c r="H26" s="379">
        <f t="shared" si="5"/>
        <v>318</v>
      </c>
      <c r="I26" s="350"/>
      <c r="J26" s="350"/>
      <c r="K26" s="350"/>
      <c r="L26" s="350"/>
      <c r="M26" s="350"/>
      <c r="N26" s="350"/>
      <c r="O26" s="350"/>
      <c r="R26" s="437"/>
      <c r="S26" s="437"/>
      <c r="T26" s="437"/>
      <c r="U26" s="437"/>
      <c r="V26" s="437"/>
      <c r="W26" s="437"/>
      <c r="X26" s="437"/>
      <c r="Y26" s="437"/>
      <c r="Z26" s="437"/>
      <c r="AA26" s="437"/>
      <c r="AB26" s="437"/>
      <c r="AC26" s="437"/>
      <c r="AD26" s="437"/>
      <c r="AE26" s="437"/>
      <c r="AF26" s="437"/>
      <c r="AG26" s="437"/>
      <c r="AH26" s="437"/>
      <c r="AI26" s="437"/>
      <c r="AJ26" s="437"/>
    </row>
    <row r="27" spans="1:36">
      <c r="A27" s="255">
        <f t="shared" si="4"/>
        <v>46074</v>
      </c>
      <c r="B27" s="251">
        <f t="shared" si="0"/>
        <v>6</v>
      </c>
      <c r="C27" s="375">
        <f t="shared" si="1"/>
        <v>46073</v>
      </c>
      <c r="D27" s="376">
        <f t="shared" si="2"/>
        <v>10</v>
      </c>
      <c r="E27" s="378">
        <f t="shared" si="3"/>
        <v>106</v>
      </c>
      <c r="F27" s="379">
        <f>Annuity!E17</f>
        <v>106</v>
      </c>
      <c r="G27" s="377">
        <f>Annuity!F17</f>
        <v>0</v>
      </c>
      <c r="H27" s="379">
        <f t="shared" si="5"/>
        <v>212</v>
      </c>
      <c r="I27" s="350"/>
      <c r="J27" s="350"/>
      <c r="K27" s="350"/>
      <c r="L27" s="350"/>
      <c r="M27" s="350"/>
      <c r="N27" s="350"/>
      <c r="O27" s="350"/>
      <c r="R27" s="437"/>
      <c r="S27" s="437"/>
      <c r="T27" s="437"/>
      <c r="U27" s="437"/>
      <c r="V27" s="437"/>
      <c r="W27" s="437"/>
      <c r="X27" s="437"/>
      <c r="Y27" s="437"/>
      <c r="Z27" s="437"/>
      <c r="AA27" s="437"/>
      <c r="AB27" s="437"/>
      <c r="AC27" s="437"/>
      <c r="AD27" s="437"/>
      <c r="AE27" s="437"/>
      <c r="AF27" s="437"/>
      <c r="AG27" s="437"/>
      <c r="AH27" s="437"/>
      <c r="AI27" s="437"/>
      <c r="AJ27" s="437"/>
    </row>
    <row r="28" spans="1:36">
      <c r="A28" s="255">
        <f t="shared" si="4"/>
        <v>46102</v>
      </c>
      <c r="B28" s="251">
        <f t="shared" si="0"/>
        <v>6</v>
      </c>
      <c r="C28" s="375">
        <f t="shared" si="1"/>
        <v>46101</v>
      </c>
      <c r="D28" s="376">
        <f t="shared" si="2"/>
        <v>11</v>
      </c>
      <c r="E28" s="378">
        <f t="shared" si="3"/>
        <v>106</v>
      </c>
      <c r="F28" s="379">
        <f>Annuity!E18</f>
        <v>106</v>
      </c>
      <c r="G28" s="377">
        <f>Annuity!F18</f>
        <v>0</v>
      </c>
      <c r="H28" s="379">
        <f t="shared" si="5"/>
        <v>106</v>
      </c>
      <c r="I28" s="350"/>
      <c r="J28" s="350"/>
      <c r="K28" s="350"/>
      <c r="L28" s="350"/>
      <c r="M28" s="350"/>
      <c r="N28" s="350"/>
      <c r="O28" s="350"/>
    </row>
    <row r="29" spans="1:36">
      <c r="A29" s="255">
        <f t="shared" si="4"/>
        <v>46133</v>
      </c>
      <c r="B29" s="251">
        <f t="shared" si="0"/>
        <v>2</v>
      </c>
      <c r="C29" s="375">
        <f t="shared" si="1"/>
        <v>46133</v>
      </c>
      <c r="D29" s="376">
        <f t="shared" si="2"/>
        <v>12</v>
      </c>
      <c r="E29" s="378">
        <f t="shared" si="3"/>
        <v>106</v>
      </c>
      <c r="F29" s="379">
        <f>Annuity!E19</f>
        <v>106</v>
      </c>
      <c r="G29" s="377">
        <f>Annuity!F19</f>
        <v>0</v>
      </c>
      <c r="H29" s="379">
        <f t="shared" si="5"/>
        <v>0</v>
      </c>
      <c r="I29" s="350"/>
      <c r="J29" s="350"/>
      <c r="K29" s="350"/>
      <c r="L29" s="350"/>
      <c r="M29" s="350"/>
      <c r="N29" s="350"/>
      <c r="O29" s="350"/>
    </row>
    <row r="30" spans="1:36">
      <c r="A30" s="255">
        <f t="shared" si="4"/>
        <v>46163</v>
      </c>
      <c r="B30" s="251">
        <f t="shared" si="0"/>
        <v>4</v>
      </c>
      <c r="C30" s="375" t="str">
        <f t="shared" si="1"/>
        <v>-</v>
      </c>
      <c r="D30" s="376" t="str">
        <f t="shared" si="2"/>
        <v>-</v>
      </c>
      <c r="E30" s="378">
        <f>SUM(F30:G30)</f>
        <v>0</v>
      </c>
      <c r="F30" s="379">
        <f>Annuity!E20</f>
        <v>0</v>
      </c>
      <c r="G30" s="377">
        <f>Annuity!F20</f>
        <v>0</v>
      </c>
      <c r="H30" s="379">
        <f t="shared" si="5"/>
        <v>0</v>
      </c>
      <c r="I30" s="350"/>
      <c r="J30" s="350"/>
      <c r="K30" s="350"/>
      <c r="L30" s="350"/>
      <c r="M30" s="350"/>
      <c r="N30" s="350"/>
      <c r="O30" s="350"/>
    </row>
    <row r="31" spans="1:36">
      <c r="A31" s="255">
        <f t="shared" si="4"/>
        <v>46194</v>
      </c>
      <c r="B31" s="251">
        <f t="shared" si="0"/>
        <v>7</v>
      </c>
      <c r="C31" s="375" t="str">
        <f t="shared" si="1"/>
        <v>-</v>
      </c>
      <c r="D31" s="376" t="str">
        <f t="shared" si="2"/>
        <v>-</v>
      </c>
      <c r="E31" s="378">
        <f t="shared" si="3"/>
        <v>0</v>
      </c>
      <c r="F31" s="379">
        <f>Annuity!E21</f>
        <v>0</v>
      </c>
      <c r="G31" s="377">
        <f>Annuity!F21</f>
        <v>0</v>
      </c>
      <c r="H31" s="379">
        <f t="shared" si="5"/>
        <v>0</v>
      </c>
      <c r="I31" s="350"/>
      <c r="J31" s="350"/>
      <c r="K31" s="948" t="s">
        <v>581</v>
      </c>
      <c r="L31" s="949"/>
      <c r="N31" s="350"/>
      <c r="O31" s="350"/>
    </row>
    <row r="32" spans="1:36">
      <c r="A32" s="255">
        <f t="shared" si="4"/>
        <v>46224</v>
      </c>
      <c r="B32" s="251">
        <f t="shared" si="0"/>
        <v>2</v>
      </c>
      <c r="C32" s="375" t="str">
        <f t="shared" si="1"/>
        <v>-</v>
      </c>
      <c r="D32" s="376" t="str">
        <f t="shared" si="2"/>
        <v>-</v>
      </c>
      <c r="E32" s="378">
        <f t="shared" si="3"/>
        <v>0</v>
      </c>
      <c r="F32" s="379">
        <f>Annuity!E22</f>
        <v>0</v>
      </c>
      <c r="G32" s="377">
        <f>Annuity!F22</f>
        <v>0</v>
      </c>
      <c r="H32" s="379">
        <f t="shared" si="5"/>
        <v>0</v>
      </c>
      <c r="I32" s="350"/>
      <c r="J32" s="945" t="s">
        <v>582</v>
      </c>
      <c r="K32" s="945"/>
      <c r="L32" s="945"/>
      <c r="M32" s="945"/>
      <c r="N32" s="350"/>
      <c r="O32" s="350"/>
    </row>
    <row r="33" spans="1:15">
      <c r="A33" s="255">
        <f t="shared" si="4"/>
        <v>46255</v>
      </c>
      <c r="B33" s="251">
        <f t="shared" si="0"/>
        <v>5</v>
      </c>
      <c r="C33" s="375" t="str">
        <f t="shared" si="1"/>
        <v>-</v>
      </c>
      <c r="D33" s="376" t="str">
        <f t="shared" si="2"/>
        <v>-</v>
      </c>
      <c r="E33" s="378">
        <f t="shared" si="3"/>
        <v>0</v>
      </c>
      <c r="F33" s="379">
        <f>Annuity!E23</f>
        <v>0</v>
      </c>
      <c r="G33" s="377">
        <f>Annuity!F23</f>
        <v>0</v>
      </c>
      <c r="H33" s="379">
        <f t="shared" si="5"/>
        <v>0</v>
      </c>
      <c r="I33" s="350"/>
      <c r="J33" s="946" t="s">
        <v>583</v>
      </c>
      <c r="K33" s="946"/>
      <c r="L33" s="946"/>
      <c r="M33" s="946"/>
      <c r="N33" s="350"/>
      <c r="O33" s="350"/>
    </row>
    <row r="34" spans="1:15">
      <c r="A34" s="255">
        <f t="shared" si="4"/>
        <v>46286</v>
      </c>
      <c r="B34" s="251">
        <f t="shared" si="0"/>
        <v>1</v>
      </c>
      <c r="C34" s="375" t="str">
        <f t="shared" si="1"/>
        <v>-</v>
      </c>
      <c r="D34" s="376" t="str">
        <f t="shared" si="2"/>
        <v>-</v>
      </c>
      <c r="E34" s="378">
        <f t="shared" si="3"/>
        <v>0</v>
      </c>
      <c r="F34" s="379">
        <f>Annuity!E24</f>
        <v>0</v>
      </c>
      <c r="G34" s="377">
        <f>Annuity!F24</f>
        <v>0</v>
      </c>
      <c r="H34" s="379">
        <f t="shared" si="5"/>
        <v>0</v>
      </c>
      <c r="I34" s="350"/>
      <c r="J34" s="946" t="s">
        <v>584</v>
      </c>
      <c r="K34" s="946"/>
      <c r="L34" s="946"/>
      <c r="M34" s="946"/>
      <c r="N34" s="350"/>
      <c r="O34" s="350"/>
    </row>
    <row r="35" spans="1:15">
      <c r="A35" s="255">
        <f t="shared" si="4"/>
        <v>46316</v>
      </c>
      <c r="B35" s="251">
        <f t="shared" si="0"/>
        <v>3</v>
      </c>
      <c r="C35" s="375" t="str">
        <f t="shared" si="1"/>
        <v>-</v>
      </c>
      <c r="D35" s="376" t="str">
        <f t="shared" si="2"/>
        <v>-</v>
      </c>
      <c r="E35" s="378">
        <f t="shared" si="3"/>
        <v>0</v>
      </c>
      <c r="F35" s="379">
        <f>Annuity!E25</f>
        <v>0</v>
      </c>
      <c r="G35" s="377">
        <f>Annuity!F25</f>
        <v>0</v>
      </c>
      <c r="H35" s="377">
        <f t="shared" si="5"/>
        <v>0</v>
      </c>
      <c r="I35" s="262"/>
      <c r="J35" s="946" t="s">
        <v>585</v>
      </c>
      <c r="K35" s="946"/>
      <c r="L35" s="946"/>
      <c r="M35" s="946"/>
      <c r="N35" s="262"/>
      <c r="O35" s="262"/>
    </row>
    <row r="36" spans="1:15">
      <c r="A36" s="255">
        <f t="shared" si="4"/>
        <v>46347</v>
      </c>
      <c r="B36" s="251">
        <f t="shared" si="0"/>
        <v>6</v>
      </c>
      <c r="C36" s="375" t="str">
        <f t="shared" si="1"/>
        <v>-</v>
      </c>
      <c r="D36" s="376" t="str">
        <f t="shared" si="2"/>
        <v>-</v>
      </c>
      <c r="E36" s="380">
        <f t="shared" si="3"/>
        <v>0</v>
      </c>
      <c r="F36" s="377">
        <f>Annuity!E26</f>
        <v>0</v>
      </c>
      <c r="G36" s="377">
        <f>Annuity!F26</f>
        <v>0</v>
      </c>
      <c r="H36" s="377">
        <f t="shared" si="5"/>
        <v>0</v>
      </c>
      <c r="I36" s="262"/>
      <c r="J36" s="946" t="s">
        <v>586</v>
      </c>
      <c r="K36" s="946"/>
      <c r="L36" s="946"/>
      <c r="M36" s="946"/>
      <c r="N36" s="262"/>
      <c r="O36" s="262"/>
    </row>
    <row r="37" spans="1:15">
      <c r="A37" s="255">
        <f t="shared" si="4"/>
        <v>46377</v>
      </c>
      <c r="B37" s="251">
        <f t="shared" si="0"/>
        <v>1</v>
      </c>
      <c r="C37" s="375" t="str">
        <f t="shared" si="1"/>
        <v>-</v>
      </c>
      <c r="D37" s="376" t="str">
        <f t="shared" si="2"/>
        <v>-</v>
      </c>
      <c r="E37" s="380">
        <f t="shared" si="3"/>
        <v>0</v>
      </c>
      <c r="F37" s="377">
        <f>Annuity!E27</f>
        <v>0</v>
      </c>
      <c r="G37" s="377">
        <f>Annuity!F27</f>
        <v>0</v>
      </c>
      <c r="H37" s="377">
        <f t="shared" si="5"/>
        <v>0</v>
      </c>
      <c r="I37" s="262"/>
      <c r="J37" s="262"/>
      <c r="K37" s="262"/>
      <c r="L37" s="262"/>
      <c r="M37" s="262"/>
      <c r="N37" s="262"/>
      <c r="O37" s="262"/>
    </row>
    <row r="38" spans="1:15">
      <c r="A38" s="255">
        <f t="shared" si="4"/>
        <v>46408</v>
      </c>
      <c r="B38" s="251">
        <f t="shared" si="0"/>
        <v>4</v>
      </c>
      <c r="C38" s="375" t="str">
        <f t="shared" si="1"/>
        <v>-</v>
      </c>
      <c r="D38" s="376" t="str">
        <f t="shared" si="2"/>
        <v>-</v>
      </c>
      <c r="E38" s="380">
        <f t="shared" si="3"/>
        <v>0</v>
      </c>
      <c r="F38" s="377">
        <f>Annuity!E28</f>
        <v>0</v>
      </c>
      <c r="G38" s="377">
        <f>Annuity!F28</f>
        <v>0</v>
      </c>
      <c r="H38" s="377">
        <f t="shared" si="5"/>
        <v>0</v>
      </c>
      <c r="I38" s="262"/>
      <c r="J38" s="953" t="s">
        <v>687</v>
      </c>
      <c r="K38" s="953"/>
      <c r="L38" s="953"/>
      <c r="M38" s="953"/>
      <c r="N38" s="953"/>
      <c r="O38" s="262"/>
    </row>
    <row r="39" spans="1:15">
      <c r="A39" s="255">
        <f t="shared" si="4"/>
        <v>46439</v>
      </c>
      <c r="B39" s="251">
        <f t="shared" si="0"/>
        <v>7</v>
      </c>
      <c r="C39" s="375" t="str">
        <f t="shared" si="1"/>
        <v>-</v>
      </c>
      <c r="D39" s="376" t="str">
        <f t="shared" si="2"/>
        <v>-</v>
      </c>
      <c r="E39" s="380">
        <f t="shared" si="3"/>
        <v>0</v>
      </c>
      <c r="F39" s="377">
        <f>Annuity!E29</f>
        <v>0</v>
      </c>
      <c r="G39" s="377">
        <f>Annuity!F29</f>
        <v>0</v>
      </c>
      <c r="H39" s="377">
        <f t="shared" si="5"/>
        <v>0</v>
      </c>
      <c r="I39" s="262"/>
      <c r="J39" s="262"/>
      <c r="K39" s="262"/>
      <c r="L39" s="262"/>
      <c r="M39" s="262"/>
      <c r="N39" s="262"/>
      <c r="O39" s="262"/>
    </row>
    <row r="40" spans="1:15">
      <c r="A40" s="255">
        <f t="shared" si="4"/>
        <v>46467</v>
      </c>
      <c r="B40" s="251">
        <f t="shared" si="0"/>
        <v>7</v>
      </c>
      <c r="C40" s="375" t="str">
        <f t="shared" si="1"/>
        <v>-</v>
      </c>
      <c r="D40" s="376" t="str">
        <f t="shared" si="2"/>
        <v>-</v>
      </c>
      <c r="E40" s="380">
        <f t="shared" si="3"/>
        <v>0</v>
      </c>
      <c r="F40" s="377">
        <f>Annuity!E30</f>
        <v>0</v>
      </c>
      <c r="G40" s="377">
        <f>Annuity!F30</f>
        <v>0</v>
      </c>
      <c r="H40" s="377">
        <f t="shared" si="5"/>
        <v>0</v>
      </c>
      <c r="I40" s="262"/>
      <c r="J40" s="262"/>
      <c r="K40" s="262"/>
      <c r="L40" s="262"/>
      <c r="M40" s="262"/>
      <c r="N40" s="262"/>
      <c r="O40" s="262"/>
    </row>
    <row r="41" spans="1:15">
      <c r="A41" s="255">
        <f t="shared" si="4"/>
        <v>46498</v>
      </c>
      <c r="B41" s="251">
        <f t="shared" si="0"/>
        <v>3</v>
      </c>
      <c r="C41" s="375" t="str">
        <f t="shared" si="1"/>
        <v>-</v>
      </c>
      <c r="D41" s="376" t="str">
        <f t="shared" si="2"/>
        <v>-</v>
      </c>
      <c r="E41" s="380">
        <f t="shared" si="3"/>
        <v>0</v>
      </c>
      <c r="F41" s="377">
        <f>Annuity!E31</f>
        <v>0</v>
      </c>
      <c r="G41" s="377">
        <f>Annuity!F31</f>
        <v>0</v>
      </c>
      <c r="H41" s="377">
        <f t="shared" si="5"/>
        <v>0</v>
      </c>
      <c r="I41" s="262"/>
      <c r="J41" s="262"/>
      <c r="K41" s="262"/>
      <c r="L41" s="262"/>
      <c r="M41" s="262"/>
      <c r="N41" s="262"/>
      <c r="O41" s="262"/>
    </row>
    <row r="42" spans="1:15" ht="15" customHeight="1">
      <c r="A42" s="255">
        <f t="shared" si="4"/>
        <v>46528</v>
      </c>
      <c r="B42" s="251">
        <f t="shared" si="0"/>
        <v>5</v>
      </c>
      <c r="C42" s="381" t="str">
        <f t="shared" si="1"/>
        <v>-</v>
      </c>
      <c r="D42" s="376" t="str">
        <f t="shared" si="2"/>
        <v>-</v>
      </c>
      <c r="E42" s="380">
        <f t="shared" si="3"/>
        <v>0</v>
      </c>
      <c r="F42" s="377">
        <f>Annuity!E32</f>
        <v>0</v>
      </c>
      <c r="G42" s="377">
        <f>Annuity!F32</f>
        <v>0</v>
      </c>
      <c r="H42" s="377">
        <f t="shared" si="5"/>
        <v>0</v>
      </c>
      <c r="I42" s="262"/>
      <c r="J42" s="262"/>
      <c r="K42" s="262"/>
      <c r="L42" s="262"/>
      <c r="M42" s="262"/>
      <c r="N42" s="262"/>
      <c r="O42" s="262"/>
    </row>
    <row r="43" spans="1:15" ht="15" customHeight="1">
      <c r="A43" s="255">
        <f t="shared" si="4"/>
        <v>46559</v>
      </c>
      <c r="B43" s="251">
        <f t="shared" si="0"/>
        <v>1</v>
      </c>
      <c r="C43" s="381" t="str">
        <f t="shared" si="1"/>
        <v>-</v>
      </c>
      <c r="D43" s="376" t="str">
        <f t="shared" si="2"/>
        <v>-</v>
      </c>
      <c r="E43" s="380">
        <f t="shared" si="3"/>
        <v>0</v>
      </c>
      <c r="F43" s="377">
        <f>Annuity!E33</f>
        <v>0</v>
      </c>
      <c r="G43" s="377">
        <f>Annuity!F33</f>
        <v>0</v>
      </c>
      <c r="H43" s="377">
        <f t="shared" si="5"/>
        <v>0</v>
      </c>
      <c r="I43" s="262"/>
      <c r="J43" s="262"/>
      <c r="K43" s="262"/>
      <c r="L43" s="262"/>
      <c r="M43" s="262"/>
      <c r="N43" s="262"/>
      <c r="O43" s="262"/>
    </row>
    <row r="44" spans="1:15" ht="15" customHeight="1">
      <c r="A44" s="255">
        <f t="shared" si="4"/>
        <v>46589</v>
      </c>
      <c r="B44" s="251">
        <f t="shared" si="0"/>
        <v>3</v>
      </c>
      <c r="C44" s="381" t="str">
        <f t="shared" si="1"/>
        <v>-</v>
      </c>
      <c r="D44" s="376" t="str">
        <f t="shared" si="2"/>
        <v>-</v>
      </c>
      <c r="E44" s="380">
        <f t="shared" si="3"/>
        <v>0</v>
      </c>
      <c r="F44" s="377">
        <f>Annuity!E34</f>
        <v>0</v>
      </c>
      <c r="G44" s="377">
        <f>Annuity!F34</f>
        <v>0</v>
      </c>
      <c r="H44" s="377">
        <f t="shared" si="5"/>
        <v>0</v>
      </c>
      <c r="I44" s="262"/>
      <c r="J44" s="262"/>
      <c r="K44" s="262"/>
      <c r="L44" s="262"/>
      <c r="M44" s="262"/>
      <c r="N44" s="262"/>
      <c r="O44" s="262"/>
    </row>
    <row r="45" spans="1:15" ht="15" customHeight="1">
      <c r="A45" s="255">
        <f t="shared" si="4"/>
        <v>46620</v>
      </c>
      <c r="B45" s="251">
        <f t="shared" si="0"/>
        <v>6</v>
      </c>
      <c r="C45" s="381" t="str">
        <f t="shared" si="1"/>
        <v>-</v>
      </c>
      <c r="D45" s="376" t="str">
        <f t="shared" si="2"/>
        <v>-</v>
      </c>
      <c r="E45" s="380">
        <f t="shared" si="3"/>
        <v>0</v>
      </c>
      <c r="F45" s="377">
        <f>Annuity!E35</f>
        <v>0</v>
      </c>
      <c r="G45" s="377">
        <f>Annuity!F35</f>
        <v>0</v>
      </c>
      <c r="H45" s="377">
        <f t="shared" si="5"/>
        <v>0</v>
      </c>
      <c r="I45" s="262"/>
      <c r="J45" s="262"/>
      <c r="K45" s="262"/>
      <c r="L45" s="262"/>
      <c r="M45" s="262"/>
      <c r="N45" s="262"/>
      <c r="O45" s="262"/>
    </row>
    <row r="46" spans="1:15" ht="15" customHeight="1">
      <c r="A46" s="255">
        <f t="shared" si="4"/>
        <v>46651</v>
      </c>
      <c r="B46" s="251">
        <f t="shared" si="0"/>
        <v>2</v>
      </c>
      <c r="C46" s="381" t="str">
        <f t="shared" si="1"/>
        <v>-</v>
      </c>
      <c r="D46" s="376" t="str">
        <f t="shared" si="2"/>
        <v>-</v>
      </c>
      <c r="E46" s="380">
        <f t="shared" si="3"/>
        <v>0</v>
      </c>
      <c r="F46" s="377">
        <f>Annuity!E36</f>
        <v>0</v>
      </c>
      <c r="G46" s="377">
        <f>Annuity!F36</f>
        <v>0</v>
      </c>
      <c r="H46" s="377">
        <f t="shared" si="5"/>
        <v>0</v>
      </c>
      <c r="I46" s="262"/>
      <c r="J46" s="262"/>
      <c r="K46" s="262"/>
      <c r="L46" s="262"/>
      <c r="M46" s="262"/>
      <c r="N46" s="262"/>
      <c r="O46" s="262"/>
    </row>
    <row r="47" spans="1:15" ht="15" customHeight="1">
      <c r="A47" s="255">
        <f t="shared" si="4"/>
        <v>46681</v>
      </c>
      <c r="B47" s="251">
        <f t="shared" si="0"/>
        <v>4</v>
      </c>
      <c r="C47" s="381" t="str">
        <f t="shared" si="1"/>
        <v>-</v>
      </c>
      <c r="D47" s="376" t="str">
        <f t="shared" si="2"/>
        <v>-</v>
      </c>
      <c r="E47" s="380">
        <f t="shared" si="3"/>
        <v>0</v>
      </c>
      <c r="F47" s="377">
        <f>Annuity!E37</f>
        <v>0</v>
      </c>
      <c r="G47" s="377">
        <f>Annuity!F37</f>
        <v>0</v>
      </c>
      <c r="H47" s="377">
        <f t="shared" si="5"/>
        <v>0</v>
      </c>
      <c r="I47" s="262"/>
      <c r="J47" s="262"/>
      <c r="K47" s="262"/>
      <c r="L47" s="262"/>
      <c r="M47" s="262"/>
      <c r="N47" s="262"/>
      <c r="O47" s="262"/>
    </row>
    <row r="48" spans="1:15" ht="15" hidden="1" customHeight="1">
      <c r="A48" s="255">
        <f t="shared" si="4"/>
        <v>46712</v>
      </c>
      <c r="B48" s="251">
        <f t="shared" si="0"/>
        <v>7</v>
      </c>
      <c r="C48" s="261" t="str">
        <f t="shared" si="1"/>
        <v>-</v>
      </c>
      <c r="D48" s="258" t="str">
        <f t="shared" si="2"/>
        <v>-</v>
      </c>
      <c r="E48" s="259">
        <f t="shared" si="3"/>
        <v>0</v>
      </c>
      <c r="F48" s="259">
        <f>Annuity!E38</f>
        <v>0</v>
      </c>
      <c r="G48" s="259">
        <f>Annuity!F38</f>
        <v>0</v>
      </c>
      <c r="H48" s="259">
        <f t="shared" si="5"/>
        <v>0</v>
      </c>
      <c r="I48" s="262"/>
      <c r="J48" s="262"/>
      <c r="K48" s="262"/>
      <c r="L48" s="262"/>
      <c r="M48" s="262"/>
      <c r="N48" s="262"/>
      <c r="O48" s="262"/>
    </row>
    <row r="49" spans="1:15" ht="15" hidden="1" customHeight="1">
      <c r="A49" s="255">
        <f t="shared" si="4"/>
        <v>46742</v>
      </c>
      <c r="B49" s="251">
        <f t="shared" si="0"/>
        <v>2</v>
      </c>
      <c r="C49" s="261" t="str">
        <f t="shared" si="1"/>
        <v>-</v>
      </c>
      <c r="D49" s="258" t="str">
        <f t="shared" si="2"/>
        <v>-</v>
      </c>
      <c r="E49" s="259">
        <f t="shared" si="3"/>
        <v>0</v>
      </c>
      <c r="F49" s="259">
        <f>Annuity!E39</f>
        <v>0</v>
      </c>
      <c r="G49" s="259">
        <f>Annuity!F39</f>
        <v>0</v>
      </c>
      <c r="H49" s="259">
        <f t="shared" si="5"/>
        <v>0</v>
      </c>
      <c r="I49" s="262"/>
      <c r="J49" s="262"/>
      <c r="K49" s="262"/>
      <c r="L49" s="262"/>
      <c r="M49" s="262"/>
      <c r="N49" s="262"/>
      <c r="O49" s="262"/>
    </row>
    <row r="50" spans="1:15" ht="15" hidden="1" customHeight="1">
      <c r="A50" s="255">
        <f t="shared" si="4"/>
        <v>46773</v>
      </c>
      <c r="B50" s="251">
        <f t="shared" ref="B50:B77" si="6">WEEKDAY(A50,2)</f>
        <v>5</v>
      </c>
      <c r="C50" s="261" t="str">
        <f t="shared" si="1"/>
        <v>-</v>
      </c>
      <c r="D50" s="258" t="str">
        <f t="shared" ref="D50:D77" si="7">IF(D$12&gt;D49,D49+1,"-")</f>
        <v>-</v>
      </c>
      <c r="E50" s="259">
        <f t="shared" ref="E50:E77" si="8">SUM(F50:G50)</f>
        <v>0</v>
      </c>
      <c r="F50" s="259">
        <f>Annuity!E40</f>
        <v>0</v>
      </c>
      <c r="G50" s="259">
        <f>Annuity!F40</f>
        <v>0</v>
      </c>
      <c r="H50" s="259">
        <f t="shared" si="5"/>
        <v>0</v>
      </c>
      <c r="I50" s="262"/>
      <c r="J50" s="262"/>
      <c r="K50" s="262"/>
      <c r="L50" s="262"/>
      <c r="M50" s="262"/>
      <c r="N50" s="262"/>
      <c r="O50" s="262"/>
    </row>
    <row r="51" spans="1:15" ht="14.25" hidden="1" customHeight="1">
      <c r="A51" s="255">
        <f t="shared" ref="A51:A77" si="9">IF(A50,DATE((YEAR(A50)-1900),MONTH(A50)+1,IF(DAY(A50)&gt;DAY(DATE((YEAR(A50)-1900),MONTH(A50)+2,1)-1),DAY(DATE((YEAR(A50)-1900),MONTH(A50)+2,1)-1),DAY(C$17))))</f>
        <v>46804</v>
      </c>
      <c r="B51" s="251">
        <f t="shared" si="6"/>
        <v>1</v>
      </c>
      <c r="C51" s="261" t="str">
        <f t="shared" si="1"/>
        <v>-</v>
      </c>
      <c r="D51" s="258" t="str">
        <f t="shared" si="7"/>
        <v>-</v>
      </c>
      <c r="E51" s="259">
        <f t="shared" si="8"/>
        <v>0</v>
      </c>
      <c r="F51" s="259">
        <f>Annuity!E41</f>
        <v>0</v>
      </c>
      <c r="G51" s="259">
        <f>Annuity!F41</f>
        <v>0</v>
      </c>
      <c r="H51" s="259">
        <f t="shared" ref="H51:H77" si="10">H50-F51</f>
        <v>0</v>
      </c>
      <c r="I51" s="262"/>
      <c r="J51" s="262"/>
      <c r="K51" s="262"/>
      <c r="L51" s="262"/>
      <c r="M51" s="262"/>
      <c r="N51" s="262"/>
      <c r="O51" s="262"/>
    </row>
    <row r="52" spans="1:15" ht="15" hidden="1" customHeight="1">
      <c r="A52" s="255">
        <f t="shared" si="9"/>
        <v>46833</v>
      </c>
      <c r="B52" s="251">
        <f t="shared" si="6"/>
        <v>2</v>
      </c>
      <c r="C52" s="261" t="str">
        <f t="shared" si="1"/>
        <v>-</v>
      </c>
      <c r="D52" s="258" t="str">
        <f t="shared" si="7"/>
        <v>-</v>
      </c>
      <c r="E52" s="259">
        <f t="shared" si="8"/>
        <v>0</v>
      </c>
      <c r="F52" s="259">
        <f>Annuity!E42</f>
        <v>0</v>
      </c>
      <c r="G52" s="259">
        <f>Annuity!F42</f>
        <v>0</v>
      </c>
      <c r="H52" s="259">
        <f t="shared" si="10"/>
        <v>0</v>
      </c>
      <c r="I52" s="262"/>
      <c r="J52" s="262"/>
      <c r="K52" s="262"/>
      <c r="L52" s="262"/>
      <c r="M52" s="262"/>
      <c r="N52" s="262"/>
      <c r="O52" s="262"/>
    </row>
    <row r="53" spans="1:15" ht="15" hidden="1" customHeight="1">
      <c r="A53" s="255">
        <f t="shared" si="9"/>
        <v>46864</v>
      </c>
      <c r="B53" s="251">
        <f t="shared" si="6"/>
        <v>5</v>
      </c>
      <c r="C53" s="261" t="str">
        <f t="shared" si="1"/>
        <v>-</v>
      </c>
      <c r="D53" s="258" t="str">
        <f t="shared" si="7"/>
        <v>-</v>
      </c>
      <c r="E53" s="259">
        <f t="shared" si="8"/>
        <v>0</v>
      </c>
      <c r="F53" s="259">
        <f>Annuity!E43</f>
        <v>0</v>
      </c>
      <c r="G53" s="259">
        <f>Annuity!F43</f>
        <v>0</v>
      </c>
      <c r="H53" s="259">
        <f t="shared" si="10"/>
        <v>0</v>
      </c>
      <c r="I53" s="262"/>
      <c r="J53" s="262"/>
      <c r="K53" s="262"/>
      <c r="L53" s="262"/>
      <c r="M53" s="262"/>
      <c r="N53" s="262"/>
      <c r="O53" s="262"/>
    </row>
    <row r="54" spans="1:15" ht="15" hidden="1" customHeight="1">
      <c r="A54" s="255">
        <f t="shared" si="9"/>
        <v>46894</v>
      </c>
      <c r="B54" s="251">
        <f t="shared" si="6"/>
        <v>7</v>
      </c>
      <c r="C54" s="261" t="str">
        <f t="shared" si="1"/>
        <v>-</v>
      </c>
      <c r="D54" s="258" t="str">
        <f t="shared" si="7"/>
        <v>-</v>
      </c>
      <c r="E54" s="259">
        <f t="shared" si="8"/>
        <v>0</v>
      </c>
      <c r="F54" s="259">
        <f>Annuity!E44</f>
        <v>0</v>
      </c>
      <c r="G54" s="259">
        <f>Annuity!F44</f>
        <v>0</v>
      </c>
      <c r="H54" s="259">
        <f t="shared" si="10"/>
        <v>0</v>
      </c>
      <c r="I54" s="262"/>
      <c r="J54" s="262"/>
      <c r="K54" s="262"/>
      <c r="L54" s="262"/>
      <c r="M54" s="262"/>
      <c r="N54" s="262"/>
      <c r="O54" s="262"/>
    </row>
    <row r="55" spans="1:15" ht="15" hidden="1" customHeight="1">
      <c r="A55" s="255">
        <f t="shared" si="9"/>
        <v>46925</v>
      </c>
      <c r="B55" s="251">
        <f t="shared" si="6"/>
        <v>3</v>
      </c>
      <c r="C55" s="261" t="str">
        <f t="shared" si="1"/>
        <v>-</v>
      </c>
      <c r="D55" s="258" t="str">
        <f t="shared" si="7"/>
        <v>-</v>
      </c>
      <c r="E55" s="259">
        <f t="shared" si="8"/>
        <v>0</v>
      </c>
      <c r="F55" s="259">
        <f>Annuity!E45</f>
        <v>0</v>
      </c>
      <c r="G55" s="259">
        <f>Annuity!F45</f>
        <v>0</v>
      </c>
      <c r="H55" s="259">
        <f t="shared" si="10"/>
        <v>0</v>
      </c>
      <c r="I55" s="262"/>
      <c r="J55" s="262"/>
      <c r="K55" s="262"/>
      <c r="L55" s="262"/>
      <c r="M55" s="262"/>
      <c r="N55" s="262"/>
      <c r="O55" s="262"/>
    </row>
    <row r="56" spans="1:15" ht="15" hidden="1" customHeight="1">
      <c r="A56" s="255">
        <f t="shared" si="9"/>
        <v>46955</v>
      </c>
      <c r="B56" s="251">
        <f t="shared" si="6"/>
        <v>5</v>
      </c>
      <c r="C56" s="261" t="str">
        <f t="shared" si="1"/>
        <v>-</v>
      </c>
      <c r="D56" s="258" t="str">
        <f t="shared" si="7"/>
        <v>-</v>
      </c>
      <c r="E56" s="259">
        <f t="shared" si="8"/>
        <v>0</v>
      </c>
      <c r="F56" s="259">
        <f>Annuity!E46</f>
        <v>0</v>
      </c>
      <c r="G56" s="259">
        <f>Annuity!F46</f>
        <v>0</v>
      </c>
      <c r="H56" s="259">
        <f t="shared" si="10"/>
        <v>0</v>
      </c>
      <c r="I56" s="262"/>
      <c r="J56" s="262"/>
      <c r="K56" s="262"/>
      <c r="L56" s="262"/>
      <c r="M56" s="262"/>
      <c r="N56" s="262"/>
      <c r="O56" s="262"/>
    </row>
    <row r="57" spans="1:15" ht="15" hidden="1" customHeight="1">
      <c r="A57" s="255">
        <f t="shared" si="9"/>
        <v>46986</v>
      </c>
      <c r="B57" s="251">
        <f t="shared" si="6"/>
        <v>1</v>
      </c>
      <c r="C57" s="261" t="str">
        <f t="shared" si="1"/>
        <v>-</v>
      </c>
      <c r="D57" s="258" t="str">
        <f t="shared" si="7"/>
        <v>-</v>
      </c>
      <c r="E57" s="259">
        <f t="shared" si="8"/>
        <v>0</v>
      </c>
      <c r="F57" s="259">
        <f>Annuity!E47</f>
        <v>0</v>
      </c>
      <c r="G57" s="259">
        <f>Annuity!F47</f>
        <v>0</v>
      </c>
      <c r="H57" s="259">
        <f t="shared" si="10"/>
        <v>0</v>
      </c>
      <c r="I57" s="262"/>
      <c r="J57" s="262"/>
      <c r="K57" s="262"/>
      <c r="L57" s="262"/>
      <c r="M57" s="262"/>
      <c r="N57" s="262"/>
      <c r="O57" s="262"/>
    </row>
    <row r="58" spans="1:15" ht="15" hidden="1" customHeight="1">
      <c r="A58" s="255">
        <f t="shared" si="9"/>
        <v>47017</v>
      </c>
      <c r="B58" s="251">
        <f t="shared" si="6"/>
        <v>4</v>
      </c>
      <c r="C58" s="261" t="str">
        <f t="shared" si="1"/>
        <v>-</v>
      </c>
      <c r="D58" s="258" t="str">
        <f t="shared" si="7"/>
        <v>-</v>
      </c>
      <c r="E58" s="259">
        <f t="shared" si="8"/>
        <v>0</v>
      </c>
      <c r="F58" s="259">
        <f>Annuity!E48</f>
        <v>0</v>
      </c>
      <c r="G58" s="259">
        <f>Annuity!F48</f>
        <v>0</v>
      </c>
      <c r="H58" s="259">
        <f t="shared" si="10"/>
        <v>0</v>
      </c>
      <c r="I58" s="262"/>
      <c r="J58" s="262"/>
      <c r="K58" s="262"/>
      <c r="L58" s="262"/>
      <c r="M58" s="262"/>
      <c r="N58" s="262"/>
      <c r="O58" s="262"/>
    </row>
    <row r="59" spans="1:15" ht="15" hidden="1" customHeight="1">
      <c r="A59" s="255">
        <f t="shared" si="9"/>
        <v>47047</v>
      </c>
      <c r="B59" s="251">
        <f t="shared" si="6"/>
        <v>6</v>
      </c>
      <c r="C59" s="261" t="str">
        <f t="shared" si="1"/>
        <v>-</v>
      </c>
      <c r="D59" s="258" t="str">
        <f t="shared" si="7"/>
        <v>-</v>
      </c>
      <c r="E59" s="259">
        <f t="shared" si="8"/>
        <v>0</v>
      </c>
      <c r="F59" s="259">
        <f>Annuity!E49</f>
        <v>0</v>
      </c>
      <c r="G59" s="259">
        <f>Annuity!F49</f>
        <v>0</v>
      </c>
      <c r="H59" s="259">
        <f t="shared" si="10"/>
        <v>0</v>
      </c>
      <c r="I59" s="262"/>
      <c r="J59" s="262"/>
      <c r="K59" s="262"/>
      <c r="L59" s="262"/>
      <c r="M59" s="262"/>
      <c r="N59" s="262"/>
      <c r="O59" s="262"/>
    </row>
    <row r="60" spans="1:15" ht="15" hidden="1" customHeight="1">
      <c r="A60" s="255">
        <f t="shared" si="9"/>
        <v>47078</v>
      </c>
      <c r="B60" s="251">
        <f t="shared" si="6"/>
        <v>2</v>
      </c>
      <c r="C60" s="261" t="str">
        <f t="shared" si="1"/>
        <v>-</v>
      </c>
      <c r="D60" s="258" t="str">
        <f t="shared" si="7"/>
        <v>-</v>
      </c>
      <c r="E60" s="259">
        <f t="shared" si="8"/>
        <v>0</v>
      </c>
      <c r="F60" s="259">
        <f>Annuity!E50</f>
        <v>0</v>
      </c>
      <c r="G60" s="259">
        <f>Annuity!F50</f>
        <v>0</v>
      </c>
      <c r="H60" s="259">
        <f t="shared" si="10"/>
        <v>0</v>
      </c>
      <c r="I60" s="262"/>
      <c r="J60" s="262"/>
      <c r="K60" s="262"/>
      <c r="L60" s="262"/>
      <c r="M60" s="262"/>
      <c r="N60" s="262"/>
      <c r="O60" s="262"/>
    </row>
    <row r="61" spans="1:15" ht="15" hidden="1" customHeight="1">
      <c r="A61" s="255">
        <f t="shared" si="9"/>
        <v>47108</v>
      </c>
      <c r="B61" s="251">
        <f t="shared" si="6"/>
        <v>4</v>
      </c>
      <c r="C61" s="261" t="str">
        <f t="shared" si="1"/>
        <v>-</v>
      </c>
      <c r="D61" s="258" t="str">
        <f t="shared" si="7"/>
        <v>-</v>
      </c>
      <c r="E61" s="259">
        <f t="shared" si="8"/>
        <v>0</v>
      </c>
      <c r="F61" s="259">
        <f>Annuity!E51</f>
        <v>0</v>
      </c>
      <c r="G61" s="259">
        <f>Annuity!F51</f>
        <v>0</v>
      </c>
      <c r="H61" s="259">
        <f t="shared" si="10"/>
        <v>0</v>
      </c>
      <c r="I61" s="262"/>
      <c r="J61" s="262"/>
      <c r="K61" s="262"/>
      <c r="L61" s="262"/>
      <c r="M61" s="262"/>
      <c r="N61" s="262"/>
      <c r="O61" s="262"/>
    </row>
    <row r="62" spans="1:15" ht="15" hidden="1" customHeight="1">
      <c r="A62" s="255">
        <f t="shared" si="9"/>
        <v>47139</v>
      </c>
      <c r="B62" s="251">
        <f t="shared" si="6"/>
        <v>7</v>
      </c>
      <c r="C62" s="261" t="str">
        <f t="shared" si="1"/>
        <v>-</v>
      </c>
      <c r="D62" s="258" t="str">
        <f t="shared" si="7"/>
        <v>-</v>
      </c>
      <c r="E62" s="259">
        <f t="shared" si="8"/>
        <v>0</v>
      </c>
      <c r="F62" s="259">
        <f>Annuity!E52</f>
        <v>0</v>
      </c>
      <c r="G62" s="259">
        <f>Annuity!F52</f>
        <v>0</v>
      </c>
      <c r="H62" s="259">
        <f t="shared" si="10"/>
        <v>0</v>
      </c>
      <c r="I62" s="262"/>
      <c r="J62" s="262"/>
      <c r="K62" s="262"/>
      <c r="L62" s="262"/>
      <c r="M62" s="262"/>
      <c r="N62" s="262"/>
      <c r="O62" s="262"/>
    </row>
    <row r="63" spans="1:15" ht="15" hidden="1" customHeight="1">
      <c r="A63" s="255">
        <f t="shared" si="9"/>
        <v>47170</v>
      </c>
      <c r="B63" s="251">
        <f t="shared" si="6"/>
        <v>3</v>
      </c>
      <c r="C63" s="261" t="str">
        <f t="shared" si="1"/>
        <v>-</v>
      </c>
      <c r="D63" s="258" t="str">
        <f t="shared" si="7"/>
        <v>-</v>
      </c>
      <c r="E63" s="259">
        <f t="shared" si="8"/>
        <v>0</v>
      </c>
      <c r="F63" s="259">
        <f>Annuity!E53</f>
        <v>0</v>
      </c>
      <c r="G63" s="259">
        <f>Annuity!F53</f>
        <v>0</v>
      </c>
      <c r="H63" s="259">
        <f t="shared" si="10"/>
        <v>0</v>
      </c>
      <c r="I63" s="262"/>
      <c r="J63" s="262"/>
      <c r="K63" s="262"/>
      <c r="L63" s="262"/>
      <c r="M63" s="262"/>
      <c r="N63" s="262"/>
      <c r="O63" s="262"/>
    </row>
    <row r="64" spans="1:15" ht="15" hidden="1" customHeight="1">
      <c r="A64" s="255">
        <f t="shared" si="9"/>
        <v>47198</v>
      </c>
      <c r="B64" s="251">
        <f t="shared" si="6"/>
        <v>3</v>
      </c>
      <c r="C64" s="261" t="str">
        <f t="shared" si="1"/>
        <v>-</v>
      </c>
      <c r="D64" s="258" t="str">
        <f t="shared" si="7"/>
        <v>-</v>
      </c>
      <c r="E64" s="259">
        <f t="shared" si="8"/>
        <v>0</v>
      </c>
      <c r="F64" s="259">
        <f>Annuity!E54</f>
        <v>0</v>
      </c>
      <c r="G64" s="259">
        <f>Annuity!F54</f>
        <v>0</v>
      </c>
      <c r="H64" s="259">
        <f t="shared" si="10"/>
        <v>0</v>
      </c>
      <c r="I64" s="262"/>
      <c r="J64" s="262"/>
      <c r="K64" s="262"/>
      <c r="L64" s="262"/>
      <c r="M64" s="262"/>
      <c r="N64" s="262"/>
      <c r="O64" s="262"/>
    </row>
    <row r="65" spans="1:19" ht="15" hidden="1" customHeight="1">
      <c r="A65" s="255">
        <f t="shared" si="9"/>
        <v>47229</v>
      </c>
      <c r="B65" s="251">
        <f t="shared" si="6"/>
        <v>6</v>
      </c>
      <c r="C65" s="261" t="str">
        <f t="shared" si="1"/>
        <v>-</v>
      </c>
      <c r="D65" s="258" t="str">
        <f t="shared" si="7"/>
        <v>-</v>
      </c>
      <c r="E65" s="259">
        <f t="shared" si="8"/>
        <v>0</v>
      </c>
      <c r="F65" s="259">
        <f>Annuity!E55</f>
        <v>0</v>
      </c>
      <c r="G65" s="259">
        <f>Annuity!F55</f>
        <v>0</v>
      </c>
      <c r="H65" s="259">
        <f t="shared" si="10"/>
        <v>0</v>
      </c>
      <c r="I65" s="262"/>
      <c r="J65" s="262"/>
      <c r="K65" s="262"/>
      <c r="L65" s="262"/>
      <c r="M65" s="262"/>
      <c r="N65" s="262"/>
      <c r="O65" s="262"/>
    </row>
    <row r="66" spans="1:19" ht="15" hidden="1" customHeight="1">
      <c r="A66" s="255">
        <f t="shared" si="9"/>
        <v>47259</v>
      </c>
      <c r="B66" s="251">
        <f t="shared" si="6"/>
        <v>1</v>
      </c>
      <c r="C66" s="261" t="str">
        <f t="shared" si="1"/>
        <v>-</v>
      </c>
      <c r="D66" s="258" t="str">
        <f t="shared" si="7"/>
        <v>-</v>
      </c>
      <c r="E66" s="259">
        <f t="shared" si="8"/>
        <v>0</v>
      </c>
      <c r="F66" s="259">
        <f>Annuity!E56</f>
        <v>0</v>
      </c>
      <c r="G66" s="259">
        <f>Annuity!F56</f>
        <v>0</v>
      </c>
      <c r="H66" s="259">
        <f t="shared" si="10"/>
        <v>0</v>
      </c>
      <c r="I66" s="262"/>
      <c r="J66" s="262"/>
      <c r="K66" s="262"/>
      <c r="L66" s="262"/>
      <c r="M66" s="262"/>
      <c r="N66" s="262"/>
      <c r="O66" s="262"/>
    </row>
    <row r="67" spans="1:19" ht="15" hidden="1" customHeight="1">
      <c r="A67" s="255">
        <f t="shared" si="9"/>
        <v>47290</v>
      </c>
      <c r="B67" s="251">
        <f t="shared" si="6"/>
        <v>4</v>
      </c>
      <c r="C67" s="261" t="str">
        <f t="shared" si="1"/>
        <v>-</v>
      </c>
      <c r="D67" s="258" t="str">
        <f t="shared" si="7"/>
        <v>-</v>
      </c>
      <c r="E67" s="259">
        <f t="shared" si="8"/>
        <v>0</v>
      </c>
      <c r="F67" s="259">
        <f>Annuity!E57</f>
        <v>0</v>
      </c>
      <c r="G67" s="259">
        <f>Annuity!F57</f>
        <v>0</v>
      </c>
      <c r="H67" s="259">
        <f t="shared" si="10"/>
        <v>0</v>
      </c>
      <c r="I67" s="262"/>
      <c r="J67" s="262"/>
      <c r="K67" s="262"/>
      <c r="L67" s="262"/>
      <c r="M67" s="262"/>
      <c r="N67" s="262"/>
      <c r="O67" s="262"/>
    </row>
    <row r="68" spans="1:19" ht="15" hidden="1" customHeight="1">
      <c r="A68" s="255">
        <f t="shared" si="9"/>
        <v>47320</v>
      </c>
      <c r="B68" s="251">
        <f t="shared" si="6"/>
        <v>6</v>
      </c>
      <c r="C68" s="261" t="str">
        <f t="shared" si="1"/>
        <v>-</v>
      </c>
      <c r="D68" s="258" t="str">
        <f t="shared" si="7"/>
        <v>-</v>
      </c>
      <c r="E68" s="259">
        <f t="shared" si="8"/>
        <v>0</v>
      </c>
      <c r="F68" s="259">
        <f>Annuity!E58</f>
        <v>0</v>
      </c>
      <c r="G68" s="259">
        <f>Annuity!F58</f>
        <v>0</v>
      </c>
      <c r="H68" s="259">
        <f t="shared" si="10"/>
        <v>0</v>
      </c>
      <c r="I68" s="262"/>
      <c r="J68" s="262"/>
      <c r="K68" s="262"/>
      <c r="L68" s="262"/>
      <c r="M68" s="262"/>
      <c r="N68" s="262"/>
      <c r="O68" s="262"/>
    </row>
    <row r="69" spans="1:19" ht="15" hidden="1" customHeight="1">
      <c r="A69" s="255">
        <f t="shared" si="9"/>
        <v>47351</v>
      </c>
      <c r="B69" s="251">
        <f t="shared" si="6"/>
        <v>2</v>
      </c>
      <c r="C69" s="261" t="str">
        <f t="shared" si="1"/>
        <v>-</v>
      </c>
      <c r="D69" s="258" t="str">
        <f t="shared" si="7"/>
        <v>-</v>
      </c>
      <c r="E69" s="259">
        <f t="shared" si="8"/>
        <v>0</v>
      </c>
      <c r="F69" s="259">
        <f>Annuity!E59</f>
        <v>0</v>
      </c>
      <c r="G69" s="259">
        <f>Annuity!F59</f>
        <v>0</v>
      </c>
      <c r="H69" s="259">
        <f t="shared" si="10"/>
        <v>0</v>
      </c>
      <c r="I69" s="262"/>
      <c r="J69" s="262"/>
      <c r="K69" s="262"/>
      <c r="L69" s="262"/>
      <c r="M69" s="262"/>
      <c r="N69" s="262"/>
      <c r="O69" s="262"/>
    </row>
    <row r="70" spans="1:19" ht="15" hidden="1" customHeight="1">
      <c r="A70" s="255">
        <f t="shared" si="9"/>
        <v>47382</v>
      </c>
      <c r="B70" s="251">
        <f t="shared" si="6"/>
        <v>5</v>
      </c>
      <c r="C70" s="261" t="str">
        <f t="shared" si="1"/>
        <v>-</v>
      </c>
      <c r="D70" s="258" t="str">
        <f t="shared" si="7"/>
        <v>-</v>
      </c>
      <c r="E70" s="259">
        <f t="shared" si="8"/>
        <v>0</v>
      </c>
      <c r="F70" s="259">
        <f>Annuity!E60</f>
        <v>0</v>
      </c>
      <c r="G70" s="259">
        <f>Annuity!F60</f>
        <v>0</v>
      </c>
      <c r="H70" s="259">
        <f t="shared" si="10"/>
        <v>0</v>
      </c>
      <c r="I70" s="262"/>
      <c r="J70" s="262"/>
      <c r="K70" s="262"/>
      <c r="L70" s="262"/>
      <c r="M70" s="262"/>
      <c r="N70" s="262"/>
      <c r="O70" s="262"/>
    </row>
    <row r="71" spans="1:19" ht="15" hidden="1" customHeight="1">
      <c r="A71" s="255">
        <f t="shared" si="9"/>
        <v>47412</v>
      </c>
      <c r="B71" s="251">
        <f t="shared" si="6"/>
        <v>7</v>
      </c>
      <c r="C71" s="261" t="str">
        <f t="shared" si="1"/>
        <v>-</v>
      </c>
      <c r="D71" s="258" t="str">
        <f t="shared" si="7"/>
        <v>-</v>
      </c>
      <c r="E71" s="259">
        <f t="shared" si="8"/>
        <v>0</v>
      </c>
      <c r="F71" s="259">
        <f>Annuity!E61</f>
        <v>0</v>
      </c>
      <c r="G71" s="259">
        <f>Annuity!F61</f>
        <v>0</v>
      </c>
      <c r="H71" s="259">
        <f t="shared" si="10"/>
        <v>0</v>
      </c>
      <c r="I71" s="262"/>
      <c r="J71" s="262"/>
      <c r="K71" s="262"/>
      <c r="L71" s="262"/>
      <c r="M71" s="262"/>
      <c r="N71" s="262"/>
      <c r="O71" s="262"/>
    </row>
    <row r="72" spans="1:19" ht="15" hidden="1" customHeight="1">
      <c r="A72" s="255">
        <f t="shared" si="9"/>
        <v>47443</v>
      </c>
      <c r="B72" s="251">
        <f t="shared" si="6"/>
        <v>3</v>
      </c>
      <c r="C72" s="261" t="str">
        <f t="shared" si="1"/>
        <v>-</v>
      </c>
      <c r="D72" s="258" t="str">
        <f t="shared" si="7"/>
        <v>-</v>
      </c>
      <c r="E72" s="259">
        <f t="shared" si="8"/>
        <v>0</v>
      </c>
      <c r="F72" s="259">
        <f>Annuity!E62</f>
        <v>0</v>
      </c>
      <c r="G72" s="259">
        <f>Annuity!F62</f>
        <v>0</v>
      </c>
      <c r="H72" s="259">
        <f t="shared" si="10"/>
        <v>0</v>
      </c>
      <c r="I72" s="262"/>
      <c r="J72" s="262"/>
      <c r="K72" s="262"/>
      <c r="L72" s="262"/>
      <c r="M72" s="262"/>
      <c r="N72" s="262"/>
      <c r="O72" s="262"/>
    </row>
    <row r="73" spans="1:19" ht="15" hidden="1" customHeight="1">
      <c r="A73" s="255">
        <f t="shared" si="9"/>
        <v>47473</v>
      </c>
      <c r="B73" s="251">
        <f t="shared" si="6"/>
        <v>5</v>
      </c>
      <c r="C73" s="261" t="str">
        <f t="shared" si="1"/>
        <v>-</v>
      </c>
      <c r="D73" s="258" t="str">
        <f t="shared" si="7"/>
        <v>-</v>
      </c>
      <c r="E73" s="259">
        <f t="shared" si="8"/>
        <v>0</v>
      </c>
      <c r="F73" s="259">
        <f>Annuity!E63</f>
        <v>0</v>
      </c>
      <c r="G73" s="259">
        <f>Annuity!F63</f>
        <v>0</v>
      </c>
      <c r="H73" s="259">
        <f t="shared" si="10"/>
        <v>0</v>
      </c>
      <c r="I73" s="262"/>
      <c r="J73" s="262"/>
      <c r="K73" s="262"/>
      <c r="L73" s="262"/>
      <c r="M73" s="262"/>
      <c r="N73" s="262"/>
      <c r="O73" s="262"/>
    </row>
    <row r="74" spans="1:19" ht="15" hidden="1" customHeight="1">
      <c r="A74" s="255">
        <f t="shared" si="9"/>
        <v>47504</v>
      </c>
      <c r="B74" s="251">
        <f t="shared" si="6"/>
        <v>1</v>
      </c>
      <c r="C74" s="261" t="str">
        <f t="shared" si="1"/>
        <v>-</v>
      </c>
      <c r="D74" s="258" t="str">
        <f t="shared" si="7"/>
        <v>-</v>
      </c>
      <c r="E74" s="259">
        <f t="shared" si="8"/>
        <v>0</v>
      </c>
      <c r="F74" s="259">
        <f>Annuity!E64</f>
        <v>0</v>
      </c>
      <c r="G74" s="259">
        <f>Annuity!F64</f>
        <v>0</v>
      </c>
      <c r="H74" s="259">
        <f t="shared" si="10"/>
        <v>0</v>
      </c>
      <c r="I74" s="262"/>
      <c r="J74" s="262"/>
      <c r="K74" s="262"/>
      <c r="L74" s="262"/>
      <c r="M74" s="262"/>
      <c r="N74" s="262"/>
      <c r="O74" s="262"/>
    </row>
    <row r="75" spans="1:19" ht="15" hidden="1" customHeight="1">
      <c r="A75" s="255">
        <f t="shared" si="9"/>
        <v>47535</v>
      </c>
      <c r="B75" s="251">
        <f t="shared" si="6"/>
        <v>4</v>
      </c>
      <c r="C75" s="261" t="str">
        <f t="shared" si="1"/>
        <v>-</v>
      </c>
      <c r="D75" s="258" t="str">
        <f t="shared" si="7"/>
        <v>-</v>
      </c>
      <c r="E75" s="259">
        <f t="shared" si="8"/>
        <v>0</v>
      </c>
      <c r="F75" s="259">
        <f>Annuity!E65</f>
        <v>0</v>
      </c>
      <c r="G75" s="259">
        <f>Annuity!F65</f>
        <v>0</v>
      </c>
      <c r="H75" s="259">
        <f t="shared" si="10"/>
        <v>0</v>
      </c>
      <c r="I75" s="262"/>
      <c r="J75" s="262"/>
      <c r="K75" s="262"/>
      <c r="L75" s="262"/>
      <c r="M75" s="262"/>
      <c r="N75" s="262"/>
      <c r="O75" s="262"/>
    </row>
    <row r="76" spans="1:19" ht="15" hidden="1" customHeight="1">
      <c r="A76" s="255">
        <f t="shared" si="9"/>
        <v>47563</v>
      </c>
      <c r="B76" s="251">
        <f t="shared" si="6"/>
        <v>4</v>
      </c>
      <c r="C76" s="261" t="str">
        <f t="shared" si="1"/>
        <v>-</v>
      </c>
      <c r="D76" s="258" t="str">
        <f t="shared" si="7"/>
        <v>-</v>
      </c>
      <c r="E76" s="259">
        <f t="shared" si="8"/>
        <v>0</v>
      </c>
      <c r="F76" s="259">
        <f>Annuity!E66</f>
        <v>0</v>
      </c>
      <c r="G76" s="259">
        <f>Annuity!F66</f>
        <v>0</v>
      </c>
      <c r="H76" s="259">
        <f t="shared" si="10"/>
        <v>0</v>
      </c>
      <c r="I76" s="262"/>
      <c r="J76" s="262"/>
      <c r="K76" s="262"/>
      <c r="L76" s="262"/>
      <c r="M76" s="262"/>
      <c r="N76" s="262"/>
      <c r="O76" s="262"/>
    </row>
    <row r="77" spans="1:19" ht="15" hidden="1" customHeight="1">
      <c r="A77" s="255">
        <f t="shared" si="9"/>
        <v>47594</v>
      </c>
      <c r="B77" s="251">
        <f t="shared" si="6"/>
        <v>7</v>
      </c>
      <c r="C77" s="261" t="str">
        <f t="shared" si="1"/>
        <v>-</v>
      </c>
      <c r="D77" s="258" t="str">
        <f t="shared" si="7"/>
        <v>-</v>
      </c>
      <c r="E77" s="259">
        <f t="shared" si="8"/>
        <v>0</v>
      </c>
      <c r="F77" s="259">
        <f>Annuity!E67</f>
        <v>0</v>
      </c>
      <c r="G77" s="259">
        <f>Annuity!F67</f>
        <v>0</v>
      </c>
      <c r="H77" s="259">
        <f t="shared" si="10"/>
        <v>0</v>
      </c>
      <c r="I77" s="262"/>
      <c r="J77" s="262"/>
      <c r="K77" s="262"/>
      <c r="L77" s="262"/>
      <c r="M77" s="262"/>
      <c r="N77" s="262"/>
      <c r="O77" s="262"/>
    </row>
    <row r="78" spans="1:19">
      <c r="C78" s="261"/>
      <c r="D78" s="258"/>
      <c r="E78" s="260">
        <f>SUM(E18:E77)</f>
        <v>1272</v>
      </c>
      <c r="F78" s="260">
        <f>SUM(F18:F77)</f>
        <v>1272</v>
      </c>
      <c r="G78" s="260">
        <f>SUM(G18:G77)</f>
        <v>0</v>
      </c>
      <c r="H78" s="259"/>
      <c r="I78" s="262"/>
      <c r="J78" s="262"/>
      <c r="K78" s="262"/>
      <c r="L78" s="262"/>
      <c r="M78" s="262"/>
      <c r="N78" s="262"/>
      <c r="O78" s="262"/>
    </row>
    <row r="79" spans="1:19" ht="11.25" customHeight="1">
      <c r="C79" s="255"/>
      <c r="D79" s="255"/>
      <c r="E79" s="255"/>
      <c r="F79" s="255"/>
      <c r="G79" s="255"/>
      <c r="H79" s="255"/>
      <c r="I79" s="255"/>
      <c r="J79" s="255"/>
      <c r="K79" s="255"/>
      <c r="L79" s="262"/>
      <c r="M79" s="262"/>
      <c r="N79" s="262"/>
      <c r="O79" s="262"/>
    </row>
    <row r="80" spans="1:19" ht="15" customHeight="1">
      <c r="C80" s="367" t="s">
        <v>404</v>
      </c>
      <c r="D80" s="368"/>
      <c r="E80" s="256"/>
      <c r="F80" s="256"/>
      <c r="G80" s="256"/>
      <c r="H80" s="256"/>
      <c r="I80" s="256"/>
      <c r="J80" s="256"/>
      <c r="K80" s="256"/>
      <c r="L80" s="256"/>
      <c r="M80" s="443"/>
      <c r="N80" s="443"/>
      <c r="O80" s="443"/>
      <c r="S80" s="248" t="s">
        <v>159</v>
      </c>
    </row>
    <row r="81" spans="1:38">
      <c r="C81" s="369"/>
      <c r="D81" s="370"/>
      <c r="E81" s="263"/>
      <c r="F81" s="263"/>
      <c r="G81" s="263"/>
      <c r="H81" s="263"/>
      <c r="I81" s="263"/>
      <c r="J81" s="263"/>
      <c r="K81" s="263"/>
      <c r="L81" s="263"/>
      <c r="M81" s="443"/>
      <c r="N81" s="443"/>
      <c r="O81" s="443"/>
    </row>
    <row r="82" spans="1:38" s="250" customFormat="1" ht="18.75" customHeight="1">
      <c r="A82" s="263"/>
      <c r="B82" s="257"/>
      <c r="C82" s="972" t="s">
        <v>284</v>
      </c>
      <c r="D82" s="972"/>
      <c r="E82" s="972"/>
      <c r="H82" s="973" t="s">
        <v>99</v>
      </c>
      <c r="I82" s="973"/>
      <c r="J82" s="973"/>
      <c r="K82" s="973"/>
      <c r="L82" s="342"/>
      <c r="M82" s="342"/>
      <c r="N82" s="342"/>
      <c r="O82" s="342"/>
    </row>
    <row r="83" spans="1:38">
      <c r="C83" s="976" t="s">
        <v>938</v>
      </c>
      <c r="D83" s="976"/>
      <c r="E83" s="976"/>
      <c r="H83" s="974" t="str">
        <f>Data!C21</f>
        <v>AA5512135</v>
      </c>
      <c r="I83" s="974"/>
      <c r="J83" s="974"/>
      <c r="K83" s="974"/>
    </row>
    <row r="84" spans="1:38" ht="15.75" customHeight="1">
      <c r="C84" s="971" t="s">
        <v>939</v>
      </c>
      <c r="D84" s="971"/>
      <c r="E84" s="971"/>
      <c r="H84" s="975" t="str">
        <f>Data!C25</f>
        <v>Yunusov Vüqar Fikrət oğlu</v>
      </c>
      <c r="I84" s="975"/>
      <c r="J84" s="975"/>
      <c r="K84" s="975"/>
      <c r="L84" s="343"/>
      <c r="M84" s="343"/>
      <c r="N84" s="343"/>
      <c r="O84" s="343"/>
      <c r="P84" s="341"/>
      <c r="Q84" s="341"/>
      <c r="R84" s="341"/>
      <c r="S84" s="341"/>
      <c r="T84" s="341"/>
      <c r="U84" s="341"/>
      <c r="V84" s="341"/>
      <c r="W84" s="341"/>
      <c r="X84" s="341"/>
      <c r="Y84" s="341"/>
      <c r="Z84" s="341"/>
      <c r="AA84" s="341"/>
      <c r="AB84" s="341"/>
      <c r="AC84" s="341"/>
      <c r="AD84" s="341"/>
      <c r="AE84" s="341"/>
      <c r="AF84" s="341"/>
      <c r="AG84" s="341"/>
      <c r="AH84" s="341"/>
      <c r="AI84" s="341"/>
      <c r="AJ84" s="341"/>
      <c r="AK84" s="341"/>
      <c r="AL84" s="341"/>
    </row>
    <row r="85" spans="1:38" ht="15.75" customHeight="1">
      <c r="C85" s="256"/>
      <c r="D85" s="256"/>
      <c r="E85" s="264"/>
      <c r="G85" s="371"/>
      <c r="H85" s="371"/>
      <c r="I85" s="371"/>
      <c r="J85" s="371"/>
      <c r="K85" s="371"/>
      <c r="L85" s="343"/>
      <c r="M85" s="343"/>
      <c r="N85" s="343"/>
      <c r="O85" s="343"/>
      <c r="P85" s="341"/>
      <c r="Q85" s="341"/>
      <c r="R85" s="341"/>
      <c r="S85" s="341"/>
      <c r="T85" s="341"/>
      <c r="U85" s="341"/>
      <c r="V85" s="341"/>
      <c r="W85" s="341"/>
      <c r="X85" s="341"/>
      <c r="Y85" s="341"/>
      <c r="Z85" s="341"/>
      <c r="AA85" s="341"/>
      <c r="AB85" s="341"/>
      <c r="AC85" s="341"/>
      <c r="AD85" s="341"/>
      <c r="AE85" s="341"/>
      <c r="AF85" s="341"/>
      <c r="AG85" s="341"/>
      <c r="AH85" s="341"/>
      <c r="AI85" s="341"/>
      <c r="AJ85" s="341"/>
      <c r="AK85" s="341"/>
      <c r="AL85" s="341"/>
    </row>
    <row r="86" spans="1:38" ht="15.75" customHeight="1">
      <c r="C86" s="256"/>
      <c r="D86" s="256"/>
      <c r="E86" s="264"/>
      <c r="G86" s="371"/>
      <c r="H86" s="371"/>
      <c r="I86" s="371"/>
      <c r="J86" s="371"/>
      <c r="K86" s="371"/>
      <c r="L86" s="343"/>
      <c r="M86" s="343"/>
      <c r="N86" s="343"/>
      <c r="O86" s="343"/>
      <c r="P86" s="341"/>
      <c r="Q86" s="341"/>
      <c r="R86" s="341"/>
      <c r="S86" s="341"/>
      <c r="T86" s="341"/>
      <c r="U86" s="341"/>
      <c r="V86" s="341"/>
      <c r="W86" s="341"/>
      <c r="X86" s="341"/>
      <c r="Y86" s="341"/>
      <c r="Z86" s="341"/>
      <c r="AA86" s="341"/>
      <c r="AB86" s="341"/>
      <c r="AC86" s="341"/>
      <c r="AD86" s="341"/>
      <c r="AE86" s="341"/>
      <c r="AF86" s="341"/>
      <c r="AG86" s="341"/>
      <c r="AH86" s="341"/>
      <c r="AI86" s="341"/>
      <c r="AJ86" s="341"/>
      <c r="AK86" s="341"/>
      <c r="AL86" s="341"/>
    </row>
    <row r="87" spans="1:38" ht="15.75" customHeight="1">
      <c r="C87" s="385"/>
      <c r="D87" s="385"/>
      <c r="E87" s="445"/>
      <c r="G87" s="371"/>
      <c r="H87" s="386"/>
      <c r="I87" s="386"/>
      <c r="J87" s="386"/>
      <c r="K87" s="386"/>
      <c r="L87" s="343"/>
      <c r="M87" s="343"/>
      <c r="N87" s="343"/>
      <c r="O87" s="343"/>
      <c r="P87" s="341"/>
      <c r="Q87" s="341"/>
      <c r="R87" s="341"/>
      <c r="S87" s="341"/>
      <c r="T87" s="341"/>
      <c r="U87" s="341"/>
      <c r="V87" s="341"/>
      <c r="W87" s="341"/>
      <c r="X87" s="341"/>
      <c r="Y87" s="341"/>
      <c r="Z87" s="341"/>
      <c r="AA87" s="341"/>
      <c r="AB87" s="341"/>
      <c r="AC87" s="341"/>
      <c r="AD87" s="341"/>
      <c r="AE87" s="341"/>
      <c r="AF87" s="341"/>
      <c r="AG87" s="341"/>
      <c r="AH87" s="341"/>
      <c r="AI87" s="341"/>
      <c r="AJ87" s="341"/>
      <c r="AK87" s="341"/>
      <c r="AL87" s="341"/>
    </row>
    <row r="88" spans="1:38" ht="15.75" customHeight="1">
      <c r="C88" s="256"/>
      <c r="D88" s="256"/>
      <c r="E88" s="264"/>
      <c r="G88" s="371"/>
      <c r="H88" s="371"/>
      <c r="I88" s="371"/>
      <c r="J88" s="371"/>
      <c r="K88" s="371"/>
      <c r="L88" s="343"/>
      <c r="M88" s="343"/>
      <c r="N88" s="343"/>
      <c r="O88" s="343"/>
      <c r="P88" s="341"/>
      <c r="Q88" s="341"/>
      <c r="R88" s="341"/>
      <c r="S88" s="341"/>
      <c r="T88" s="341"/>
      <c r="U88" s="341"/>
      <c r="V88" s="341"/>
      <c r="W88" s="341"/>
      <c r="X88" s="341"/>
      <c r="Y88" s="341"/>
      <c r="Z88" s="341"/>
      <c r="AA88" s="341"/>
      <c r="AB88" s="341"/>
      <c r="AC88" s="341"/>
      <c r="AD88" s="341"/>
      <c r="AE88" s="341"/>
      <c r="AF88" s="341"/>
      <c r="AG88" s="341"/>
      <c r="AH88" s="341"/>
      <c r="AI88" s="341"/>
      <c r="AJ88" s="341"/>
      <c r="AK88" s="341"/>
      <c r="AL88" s="341"/>
    </row>
    <row r="89" spans="1:38" ht="15.75" customHeight="1">
      <c r="C89" s="256"/>
      <c r="D89" s="256"/>
      <c r="E89" s="264"/>
      <c r="G89" s="371"/>
      <c r="H89" s="371"/>
      <c r="I89" s="371"/>
      <c r="J89" s="371"/>
      <c r="K89" s="371"/>
      <c r="L89" s="343"/>
      <c r="M89" s="343"/>
      <c r="N89" s="343"/>
      <c r="O89" s="343"/>
      <c r="P89" s="341"/>
      <c r="Q89" s="341"/>
      <c r="R89" s="341"/>
      <c r="S89" s="341"/>
      <c r="T89" s="341"/>
      <c r="U89" s="341"/>
      <c r="V89" s="341"/>
      <c r="W89" s="341"/>
      <c r="X89" s="341"/>
      <c r="Y89" s="341"/>
      <c r="Z89" s="341"/>
      <c r="AA89" s="341"/>
      <c r="AB89" s="341"/>
      <c r="AC89" s="341"/>
      <c r="AD89" s="341"/>
      <c r="AE89" s="341"/>
      <c r="AF89" s="341"/>
      <c r="AG89" s="341"/>
      <c r="AH89" s="341"/>
      <c r="AI89" s="341"/>
      <c r="AJ89" s="341"/>
      <c r="AK89" s="341"/>
      <c r="AL89" s="341"/>
    </row>
  </sheetData>
  <sheetProtection formatRows="0"/>
  <mergeCells count="36">
    <mergeCell ref="C84:E84"/>
    <mergeCell ref="C82:E82"/>
    <mergeCell ref="H82:K82"/>
    <mergeCell ref="H83:K83"/>
    <mergeCell ref="H84:K84"/>
    <mergeCell ref="C83:E83"/>
    <mergeCell ref="P1:V1"/>
    <mergeCell ref="R10:AJ10"/>
    <mergeCell ref="R14:AJ14"/>
    <mergeCell ref="D6:E6"/>
    <mergeCell ref="E4:F4"/>
    <mergeCell ref="D5:E5"/>
    <mergeCell ref="P2:V2"/>
    <mergeCell ref="J4:K4"/>
    <mergeCell ref="J5:K5"/>
    <mergeCell ref="E2:F2"/>
    <mergeCell ref="E3:F3"/>
    <mergeCell ref="L5:M5"/>
    <mergeCell ref="L7:M8"/>
    <mergeCell ref="D9:E9"/>
    <mergeCell ref="D15:H15"/>
    <mergeCell ref="L4:M4"/>
    <mergeCell ref="J38:N38"/>
    <mergeCell ref="J21:M21"/>
    <mergeCell ref="J34:M34"/>
    <mergeCell ref="J35:M35"/>
    <mergeCell ref="J36:M36"/>
    <mergeCell ref="AK6:AN6"/>
    <mergeCell ref="R15:AJ15"/>
    <mergeCell ref="R16:AJ16"/>
    <mergeCell ref="J32:M32"/>
    <mergeCell ref="J33:M33"/>
    <mergeCell ref="J22:M22"/>
    <mergeCell ref="J23:M23"/>
    <mergeCell ref="J20:M20"/>
    <mergeCell ref="K31:L31"/>
  </mergeCells>
  <phoneticPr fontId="13" type="noConversion"/>
  <conditionalFormatting sqref="E11:E12 D14:F14">
    <cfRule type="cellIs" dxfId="18" priority="1" stopIfTrue="1" operator="greaterThan">
      <formula>0</formula>
    </cfRule>
  </conditionalFormatting>
  <conditionalFormatting sqref="AK6">
    <cfRule type="cellIs" dxfId="17" priority="2" stopIfTrue="1" operator="greaterThan">
      <formula>0</formula>
    </cfRule>
  </conditionalFormatting>
  <pageMargins left="0.47244094488188981" right="0.19685039370078741" top="0.15748031496062992" bottom="0.15748031496062992" header="0.11811023622047245" footer="0.11811023622047245"/>
  <pageSetup paperSize="9" scale="80" orientation="portrait"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ayfa1">
    <tabColor indexed="8"/>
  </sheetPr>
  <dimension ref="A1:R187"/>
  <sheetViews>
    <sheetView view="pageBreakPreview" zoomScaleNormal="100" zoomScaleSheetLayoutView="100" workbookViewId="0"/>
  </sheetViews>
  <sheetFormatPr defaultRowHeight="12.75"/>
  <cols>
    <col min="1" max="1" width="1.5703125" style="697" customWidth="1"/>
    <col min="2" max="2" width="10.42578125" style="697" customWidth="1"/>
    <col min="3" max="3" width="10.28515625" style="697" customWidth="1"/>
    <col min="4" max="5" width="10.140625" style="697" customWidth="1"/>
    <col min="6" max="6" width="10.28515625" style="697" customWidth="1"/>
    <col min="7" max="7" width="12.7109375" style="697" customWidth="1"/>
    <col min="8" max="8" width="12.28515625" style="697" customWidth="1"/>
    <col min="9" max="9" width="12" style="697" customWidth="1"/>
    <col min="10" max="10" width="9.7109375" style="697" customWidth="1"/>
    <col min="11" max="11" width="8.85546875" style="697" customWidth="1"/>
    <col min="12" max="12" width="9.28515625" style="697" customWidth="1"/>
    <col min="13" max="13" width="10.7109375" style="697" customWidth="1"/>
    <col min="14" max="14" width="8.7109375" style="697" customWidth="1"/>
    <col min="15" max="15" width="5" style="697" customWidth="1"/>
    <col min="16" max="16" width="9.140625" style="697" hidden="1" customWidth="1"/>
    <col min="17" max="17" width="10.85546875" style="697" hidden="1" customWidth="1"/>
    <col min="18" max="18" width="9.140625" style="697" hidden="1" customWidth="1"/>
    <col min="19" max="20" width="9.140625" style="697" customWidth="1"/>
    <col min="21" max="16384" width="9.140625" style="697"/>
  </cols>
  <sheetData>
    <row r="1" spans="1:17" ht="6.75" customHeight="1">
      <c r="B1" s="979"/>
      <c r="C1" s="979"/>
      <c r="D1" s="979"/>
      <c r="E1" s="979"/>
      <c r="F1" s="979"/>
      <c r="G1" s="979"/>
      <c r="H1" s="979"/>
      <c r="I1" s="979"/>
      <c r="J1" s="979"/>
      <c r="K1" s="979"/>
      <c r="L1" s="979"/>
      <c r="M1" s="979"/>
      <c r="N1" s="979"/>
      <c r="O1" s="979"/>
    </row>
    <row r="2" spans="1:17" ht="14.1" customHeight="1">
      <c r="B2" s="979" t="s">
        <v>371</v>
      </c>
      <c r="C2" s="979"/>
      <c r="D2" s="979"/>
      <c r="E2" s="979"/>
      <c r="F2" s="979"/>
      <c r="G2" s="979"/>
      <c r="H2" s="979"/>
      <c r="I2" s="979"/>
      <c r="J2" s="979"/>
      <c r="K2" s="979"/>
      <c r="L2" s="979"/>
      <c r="M2" s="979"/>
      <c r="N2" s="979"/>
      <c r="O2" s="979"/>
    </row>
    <row r="3" spans="1:17" ht="14.1" customHeight="1">
      <c r="A3" s="533"/>
      <c r="B3" s="533"/>
      <c r="C3" s="533"/>
      <c r="D3" s="533"/>
      <c r="E3" s="533"/>
      <c r="F3" s="980" t="s">
        <v>698</v>
      </c>
      <c r="G3" s="980"/>
      <c r="H3" s="980"/>
      <c r="I3" s="702" t="str">
        <f>Data!I5</f>
        <v>04/2078-25</v>
      </c>
      <c r="J3" s="533"/>
      <c r="K3" s="533"/>
      <c r="L3" s="533"/>
      <c r="M3" s="533"/>
      <c r="N3" s="533"/>
      <c r="O3" s="533"/>
    </row>
    <row r="4" spans="1:17" ht="14.1" customHeight="1">
      <c r="D4" s="533"/>
      <c r="E4" s="703"/>
      <c r="F4" s="703"/>
      <c r="G4" s="703"/>
      <c r="H4" s="703"/>
      <c r="I4" s="704"/>
      <c r="J4" s="705"/>
    </row>
    <row r="5" spans="1:17" ht="14.1" customHeight="1">
      <c r="B5" s="706" t="s">
        <v>223</v>
      </c>
      <c r="D5" s="533"/>
      <c r="E5" s="703"/>
      <c r="F5" s="703"/>
      <c r="G5" s="703"/>
      <c r="H5" s="707"/>
      <c r="M5" s="981">
        <f>Data!E5</f>
        <v>45768</v>
      </c>
      <c r="N5" s="981"/>
      <c r="O5" s="981"/>
    </row>
    <row r="6" spans="1:17" ht="9.9499999999999993" customHeight="1"/>
    <row r="7" spans="1:17" ht="13.5" customHeight="1">
      <c r="B7" s="697" t="s">
        <v>943</v>
      </c>
      <c r="D7" s="703"/>
      <c r="E7" s="703"/>
      <c r="I7" s="708"/>
      <c r="J7" s="708"/>
      <c r="K7" s="708"/>
      <c r="N7" s="709"/>
      <c r="O7" s="709"/>
    </row>
    <row r="8" spans="1:17" ht="13.5" customHeight="1">
      <c r="B8" s="534" t="s">
        <v>944</v>
      </c>
      <c r="I8" s="788"/>
      <c r="J8" s="982" t="str">
        <f>Data!C23</f>
        <v>Yunusov Vüqar Fikrət oğlu</v>
      </c>
      <c r="K8" s="982"/>
      <c r="L8" s="982"/>
      <c r="M8" s="982"/>
      <c r="N8" s="534" t="s">
        <v>945</v>
      </c>
      <c r="O8" s="534"/>
    </row>
    <row r="9" spans="1:17" ht="13.5" customHeight="1">
      <c r="B9" s="697" t="s">
        <v>946</v>
      </c>
      <c r="D9" s="533"/>
      <c r="E9" s="533"/>
      <c r="F9" s="533"/>
      <c r="H9" s="533"/>
      <c r="I9" s="533"/>
      <c r="J9" s="533"/>
      <c r="K9" s="533"/>
    </row>
    <row r="10" spans="1:17" ht="13.5" customHeight="1">
      <c r="A10" s="533"/>
      <c r="B10" s="979" t="s">
        <v>527</v>
      </c>
      <c r="C10" s="979"/>
      <c r="D10" s="979"/>
      <c r="E10" s="979"/>
      <c r="F10" s="979"/>
      <c r="G10" s="979"/>
      <c r="H10" s="979"/>
      <c r="I10" s="979"/>
      <c r="J10" s="979"/>
      <c r="K10" s="979"/>
      <c r="L10" s="979"/>
      <c r="M10" s="979"/>
      <c r="N10" s="979"/>
      <c r="O10" s="979"/>
    </row>
    <row r="11" spans="1:17" ht="13.5" customHeight="1">
      <c r="A11" s="533"/>
      <c r="B11" s="710" t="s">
        <v>700</v>
      </c>
      <c r="C11" s="711"/>
      <c r="D11" s="711"/>
      <c r="E11" s="711"/>
      <c r="F11" s="711"/>
      <c r="G11" s="711"/>
      <c r="H11" s="711"/>
      <c r="I11" s="711"/>
      <c r="J11" s="711"/>
      <c r="K11" s="711"/>
      <c r="L11" s="711"/>
      <c r="M11" s="711"/>
      <c r="N11" s="711"/>
      <c r="O11" s="711"/>
    </row>
    <row r="12" spans="1:17" ht="13.5" customHeight="1">
      <c r="A12" s="533"/>
      <c r="B12" s="712" t="s">
        <v>699</v>
      </c>
      <c r="C12" s="711"/>
      <c r="D12" s="711"/>
      <c r="E12" s="711"/>
      <c r="F12" s="977" t="str">
        <f>Data!C94</f>
        <v>Fərəcov Elsevər Ələmdar oğlu</v>
      </c>
      <c r="G12" s="977"/>
      <c r="H12" s="977"/>
      <c r="I12" s="710" t="s">
        <v>696</v>
      </c>
      <c r="J12" s="711"/>
      <c r="K12" s="711"/>
      <c r="L12" s="711"/>
      <c r="M12" s="711"/>
      <c r="N12" s="711"/>
      <c r="O12" s="711"/>
    </row>
    <row r="13" spans="1:17" ht="13.5" customHeight="1">
      <c r="A13" s="533"/>
      <c r="B13" s="710" t="str">
        <f>Data!C68</f>
        <v>İstehlak mal(lar)ının alınması üçün</v>
      </c>
      <c r="C13" s="711"/>
      <c r="D13" s="711"/>
      <c r="E13" s="713">
        <f>Data!C74</f>
        <v>1272</v>
      </c>
      <c r="F13" s="977" t="str">
        <f>PP!AK6</f>
        <v>(Bir min iki yüz yetmiş iki manat )</v>
      </c>
      <c r="G13" s="977"/>
      <c r="H13" s="977"/>
      <c r="I13" s="977"/>
      <c r="J13" s="710" t="s">
        <v>707</v>
      </c>
      <c r="N13" s="711"/>
      <c r="O13" s="711"/>
    </row>
    <row r="14" spans="1:17" ht="13.5" customHeight="1">
      <c r="A14" s="533"/>
      <c r="B14" s="710" t="s">
        <v>708</v>
      </c>
      <c r="C14" s="714"/>
      <c r="D14" s="714"/>
      <c r="E14" s="714"/>
      <c r="F14" s="714"/>
      <c r="G14" s="714"/>
      <c r="H14" s="714"/>
      <c r="I14" s="714"/>
      <c r="J14" s="714"/>
      <c r="K14" s="714"/>
      <c r="L14" s="714"/>
      <c r="M14" s="714"/>
      <c r="N14" s="714"/>
      <c r="O14" s="711"/>
    </row>
    <row r="15" spans="1:17" ht="13.5" customHeight="1">
      <c r="B15" s="715" t="s">
        <v>709</v>
      </c>
      <c r="E15" s="716"/>
      <c r="F15" s="717"/>
      <c r="G15" s="717"/>
      <c r="H15" s="717"/>
      <c r="I15" s="717"/>
      <c r="J15" s="717"/>
      <c r="K15" s="717"/>
      <c r="L15" s="717"/>
      <c r="M15" s="717"/>
      <c r="N15" s="717"/>
      <c r="O15" s="717"/>
      <c r="P15" s="706"/>
      <c r="Q15" s="706"/>
    </row>
    <row r="16" spans="1:17" ht="13.5" customHeight="1">
      <c r="B16" s="534" t="s">
        <v>782</v>
      </c>
      <c r="E16" s="717"/>
      <c r="F16" s="717"/>
      <c r="G16" s="717"/>
      <c r="H16" s="717"/>
      <c r="I16" s="717"/>
      <c r="J16" s="717"/>
      <c r="K16" s="717"/>
      <c r="L16" s="717"/>
      <c r="M16" s="717"/>
      <c r="N16" s="717"/>
      <c r="O16" s="717"/>
      <c r="P16" s="706"/>
      <c r="Q16" s="706"/>
    </row>
    <row r="17" spans="1:17" ht="13.5" customHeight="1">
      <c r="B17" s="534" t="s">
        <v>781</v>
      </c>
      <c r="C17" s="718"/>
      <c r="D17" s="718"/>
      <c r="E17" s="717"/>
      <c r="F17" s="717"/>
      <c r="G17" s="717"/>
      <c r="H17" s="717"/>
      <c r="I17" s="717"/>
      <c r="J17" s="717"/>
      <c r="K17" s="717"/>
      <c r="L17" s="717"/>
      <c r="M17" s="717"/>
      <c r="N17" s="717"/>
      <c r="O17" s="717"/>
      <c r="P17" s="706"/>
      <c r="Q17" s="706"/>
    </row>
    <row r="18" spans="1:17" ht="13.5" customHeight="1">
      <c r="B18" s="533" t="s">
        <v>697</v>
      </c>
      <c r="D18" s="978">
        <f>Data!E53</f>
        <v>0</v>
      </c>
      <c r="E18" s="978"/>
      <c r="F18" s="719" t="s">
        <v>866</v>
      </c>
      <c r="G18" s="761"/>
      <c r="H18" s="719"/>
      <c r="I18" s="720"/>
      <c r="O18" s="717"/>
      <c r="P18" s="706"/>
      <c r="Q18" s="706"/>
    </row>
    <row r="19" spans="1:17" ht="13.5" customHeight="1">
      <c r="B19" s="534" t="s">
        <v>710</v>
      </c>
      <c r="C19" s="718"/>
      <c r="D19" s="718"/>
      <c r="E19" s="717"/>
      <c r="F19" s="717"/>
      <c r="G19" s="752">
        <f>Data!C86/100</f>
        <v>0.2</v>
      </c>
      <c r="H19" s="716" t="s">
        <v>711</v>
      </c>
      <c r="I19" s="717"/>
      <c r="J19" s="717"/>
      <c r="K19" s="717"/>
      <c r="L19" s="717"/>
      <c r="M19" s="717"/>
      <c r="N19" s="760">
        <f>Data!C88</f>
        <v>0</v>
      </c>
      <c r="O19" s="717"/>
      <c r="P19" s="706"/>
      <c r="Q19" s="706"/>
    </row>
    <row r="20" spans="1:17" ht="13.5" customHeight="1">
      <c r="B20" s="534" t="s">
        <v>712</v>
      </c>
      <c r="C20" s="718"/>
      <c r="D20" s="718"/>
      <c r="E20" s="721"/>
      <c r="F20" s="717"/>
      <c r="G20" s="717"/>
      <c r="H20" s="717"/>
      <c r="I20" s="717"/>
      <c r="J20" s="717"/>
      <c r="K20" s="717"/>
      <c r="L20" s="717"/>
      <c r="M20" s="717"/>
      <c r="N20" s="717"/>
      <c r="O20" s="717"/>
      <c r="P20" s="706"/>
      <c r="Q20" s="706"/>
    </row>
    <row r="21" spans="1:17" ht="13.5" customHeight="1">
      <c r="B21" s="533" t="s">
        <v>714</v>
      </c>
      <c r="G21" s="722">
        <f>Data!C76</f>
        <v>0</v>
      </c>
      <c r="H21" s="697" t="s">
        <v>520</v>
      </c>
      <c r="K21" s="723">
        <f>Data!C78</f>
        <v>12</v>
      </c>
      <c r="L21" s="697" t="s">
        <v>521</v>
      </c>
    </row>
    <row r="22" spans="1:17" ht="13.5" customHeight="1">
      <c r="B22" s="534" t="s">
        <v>713</v>
      </c>
      <c r="G22" s="751">
        <f>Data!C84</f>
        <v>1672</v>
      </c>
      <c r="H22" s="977" t="str">
        <f>'Formula 1'!BA4</f>
        <v>(Bir min altı yüz yetmiş iki manat )</v>
      </c>
      <c r="I22" s="977"/>
      <c r="J22" s="977"/>
      <c r="K22" s="977"/>
      <c r="L22" s="977"/>
      <c r="M22" s="534" t="s">
        <v>863</v>
      </c>
    </row>
    <row r="23" spans="1:17" ht="13.5" customHeight="1">
      <c r="B23" s="533" t="s">
        <v>970</v>
      </c>
    </row>
    <row r="24" spans="1:17" ht="13.5" customHeight="1">
      <c r="B24" s="534" t="s">
        <v>522</v>
      </c>
      <c r="F24" s="724"/>
      <c r="G24" s="725"/>
      <c r="H24" s="725"/>
      <c r="I24" s="725"/>
    </row>
    <row r="25" spans="1:17" ht="13.5" customHeight="1">
      <c r="B25" s="534" t="s">
        <v>971</v>
      </c>
    </row>
    <row r="26" spans="1:17" ht="13.5" customHeight="1">
      <c r="B26" s="697" t="s">
        <v>694</v>
      </c>
      <c r="D26" s="534"/>
    </row>
    <row r="27" spans="1:17" ht="13.5" customHeight="1">
      <c r="B27" s="979" t="s">
        <v>528</v>
      </c>
      <c r="C27" s="979"/>
      <c r="D27" s="979"/>
      <c r="E27" s="979"/>
      <c r="F27" s="979"/>
      <c r="G27" s="979"/>
      <c r="H27" s="979"/>
      <c r="I27" s="979"/>
      <c r="J27" s="979"/>
      <c r="K27" s="979"/>
      <c r="L27" s="979"/>
      <c r="M27" s="979"/>
      <c r="N27" s="979"/>
      <c r="O27" s="979"/>
    </row>
    <row r="28" spans="1:17" ht="13.5" customHeight="1">
      <c r="A28" s="533"/>
      <c r="B28" s="533" t="s">
        <v>715</v>
      </c>
      <c r="C28" s="533"/>
      <c r="D28" s="533"/>
      <c r="E28" s="533"/>
      <c r="F28" s="533"/>
      <c r="G28" s="533"/>
      <c r="H28" s="533"/>
      <c r="I28" s="533" t="s">
        <v>159</v>
      </c>
      <c r="J28" s="533"/>
      <c r="K28" s="533"/>
      <c r="L28" s="533"/>
      <c r="M28" s="533"/>
      <c r="N28" s="533"/>
      <c r="O28" s="533"/>
    </row>
    <row r="29" spans="1:17" ht="13.5" customHeight="1">
      <c r="B29" s="533" t="s">
        <v>529</v>
      </c>
      <c r="L29" s="726"/>
      <c r="M29" s="726"/>
      <c r="N29" s="726"/>
    </row>
    <row r="30" spans="1:17" ht="13.5" customHeight="1">
      <c r="B30" s="534" t="s">
        <v>508</v>
      </c>
      <c r="I30" s="727"/>
      <c r="J30" s="727"/>
      <c r="L30" s="726"/>
      <c r="M30" s="726"/>
      <c r="N30" s="726"/>
    </row>
    <row r="31" spans="1:17" ht="13.5" customHeight="1">
      <c r="B31" s="533" t="s">
        <v>733</v>
      </c>
      <c r="I31" s="727"/>
      <c r="J31" s="727"/>
      <c r="L31" s="726"/>
      <c r="M31" s="726"/>
      <c r="N31" s="726"/>
    </row>
    <row r="32" spans="1:17" ht="13.5" customHeight="1">
      <c r="B32" s="534" t="s">
        <v>718</v>
      </c>
      <c r="I32" s="727"/>
      <c r="J32" s="727"/>
      <c r="L32" s="726"/>
      <c r="M32" s="726"/>
      <c r="N32" s="726"/>
    </row>
    <row r="33" spans="2:14" ht="13.5" customHeight="1">
      <c r="B33" s="534" t="s">
        <v>719</v>
      </c>
      <c r="I33" s="727"/>
      <c r="J33" s="727"/>
      <c r="L33" s="726"/>
      <c r="M33" s="726"/>
      <c r="N33" s="726"/>
    </row>
    <row r="34" spans="2:14" ht="13.5" customHeight="1">
      <c r="B34" s="534" t="s">
        <v>720</v>
      </c>
      <c r="I34" s="727"/>
      <c r="J34" s="727"/>
      <c r="L34" s="726"/>
      <c r="M34" s="726"/>
      <c r="N34" s="726"/>
    </row>
    <row r="35" spans="2:14" ht="13.5" customHeight="1">
      <c r="B35" s="696" t="s">
        <v>716</v>
      </c>
    </row>
    <row r="36" spans="2:14" ht="13.5" customHeight="1">
      <c r="B36" s="697" t="s">
        <v>688</v>
      </c>
    </row>
    <row r="37" spans="2:14" ht="13.5" customHeight="1">
      <c r="B37" s="696" t="s">
        <v>717</v>
      </c>
    </row>
    <row r="38" spans="2:14" ht="13.5" customHeight="1">
      <c r="B38" s="534" t="s">
        <v>373</v>
      </c>
    </row>
    <row r="39" spans="2:14" ht="13.5" customHeight="1">
      <c r="B39" s="533" t="s">
        <v>721</v>
      </c>
    </row>
    <row r="40" spans="2:14" ht="13.5" customHeight="1">
      <c r="B40" s="533" t="s">
        <v>723</v>
      </c>
    </row>
    <row r="41" spans="2:14" ht="13.5" customHeight="1">
      <c r="B41" s="533" t="s">
        <v>724</v>
      </c>
    </row>
    <row r="42" spans="2:14" ht="13.5" customHeight="1">
      <c r="B42" s="534" t="s">
        <v>722</v>
      </c>
    </row>
    <row r="43" spans="2:14" ht="13.5" customHeight="1">
      <c r="B43" s="533" t="s">
        <v>725</v>
      </c>
    </row>
    <row r="44" spans="2:14" ht="13.5" customHeight="1">
      <c r="B44" s="533" t="s">
        <v>726</v>
      </c>
    </row>
    <row r="45" spans="2:14" ht="13.5" customHeight="1">
      <c r="B45" s="533" t="s">
        <v>739</v>
      </c>
    </row>
    <row r="46" spans="2:14" ht="13.5" customHeight="1">
      <c r="B46" s="534" t="s">
        <v>738</v>
      </c>
    </row>
    <row r="47" spans="2:14" ht="13.5" customHeight="1">
      <c r="B47" s="533" t="s">
        <v>867</v>
      </c>
    </row>
    <row r="48" spans="2:14" ht="13.5" customHeight="1">
      <c r="B48" s="533" t="s">
        <v>530</v>
      </c>
    </row>
    <row r="49" spans="2:14" ht="13.5" customHeight="1">
      <c r="B49" s="533" t="s">
        <v>864</v>
      </c>
    </row>
    <row r="50" spans="2:14" ht="13.5" customHeight="1">
      <c r="B50" s="534" t="s">
        <v>865</v>
      </c>
    </row>
    <row r="51" spans="2:14" ht="13.5" customHeight="1">
      <c r="B51" s="533" t="s">
        <v>727</v>
      </c>
    </row>
    <row r="52" spans="2:14" ht="13.5" customHeight="1">
      <c r="B52" s="534" t="s">
        <v>728</v>
      </c>
    </row>
    <row r="53" spans="2:14" ht="13.5" customHeight="1">
      <c r="B53" s="534" t="s">
        <v>729</v>
      </c>
    </row>
    <row r="54" spans="2:14" ht="13.5" customHeight="1">
      <c r="B54" s="534" t="s">
        <v>730</v>
      </c>
    </row>
    <row r="55" spans="2:14" ht="13.5" customHeight="1">
      <c r="B55" s="533" t="s">
        <v>531</v>
      </c>
    </row>
    <row r="56" spans="2:14" ht="13.5" customHeight="1">
      <c r="B56" s="533" t="s">
        <v>695</v>
      </c>
    </row>
    <row r="57" spans="2:14" ht="13.5" customHeight="1">
      <c r="B57" s="533" t="s">
        <v>532</v>
      </c>
      <c r="C57" s="533"/>
      <c r="D57" s="533"/>
      <c r="E57" s="533"/>
      <c r="F57" s="533"/>
      <c r="G57" s="533"/>
      <c r="H57" s="533"/>
      <c r="I57" s="533"/>
      <c r="J57" s="533"/>
      <c r="K57" s="533"/>
      <c r="L57" s="533"/>
      <c r="M57" s="533"/>
      <c r="N57" s="533"/>
    </row>
    <row r="58" spans="2:14" ht="13.5" customHeight="1">
      <c r="B58" s="533" t="s">
        <v>732</v>
      </c>
      <c r="C58" s="533"/>
      <c r="D58" s="533"/>
      <c r="E58" s="533"/>
      <c r="F58" s="533"/>
      <c r="G58" s="533"/>
      <c r="H58" s="533"/>
      <c r="I58" s="533"/>
      <c r="J58" s="533"/>
      <c r="K58" s="533"/>
      <c r="L58" s="533"/>
      <c r="M58" s="533"/>
      <c r="N58" s="533"/>
    </row>
    <row r="59" spans="2:14" ht="13.5" customHeight="1">
      <c r="B59" s="534" t="s">
        <v>731</v>
      </c>
      <c r="C59" s="533"/>
      <c r="D59" s="533"/>
      <c r="E59" s="533"/>
      <c r="F59" s="533"/>
      <c r="G59" s="533"/>
      <c r="H59" s="533"/>
      <c r="I59" s="533"/>
      <c r="J59" s="533"/>
      <c r="K59" s="533"/>
      <c r="L59" s="533"/>
      <c r="M59" s="533"/>
      <c r="N59" s="533"/>
    </row>
    <row r="60" spans="2:14" ht="13.5" customHeight="1">
      <c r="B60" s="534" t="s">
        <v>734</v>
      </c>
      <c r="C60" s="533"/>
      <c r="D60" s="533"/>
      <c r="E60" s="533"/>
      <c r="F60" s="533"/>
      <c r="G60" s="533"/>
      <c r="H60" s="533"/>
      <c r="I60" s="533"/>
      <c r="J60" s="533"/>
      <c r="K60" s="533"/>
      <c r="L60" s="533"/>
      <c r="M60" s="533"/>
      <c r="N60" s="533"/>
    </row>
    <row r="61" spans="2:14" ht="13.5" customHeight="1">
      <c r="B61" s="534" t="s">
        <v>735</v>
      </c>
      <c r="C61" s="533"/>
      <c r="D61" s="533"/>
      <c r="E61" s="533"/>
      <c r="F61" s="533"/>
      <c r="G61" s="533"/>
      <c r="H61" s="533"/>
      <c r="I61" s="533"/>
      <c r="J61" s="533"/>
      <c r="K61" s="533"/>
      <c r="L61" s="533"/>
      <c r="M61" s="533"/>
      <c r="N61" s="533"/>
    </row>
    <row r="62" spans="2:14" ht="13.5" customHeight="1">
      <c r="B62" s="534" t="s">
        <v>736</v>
      </c>
      <c r="C62" s="533"/>
      <c r="D62" s="533"/>
      <c r="E62" s="533"/>
      <c r="F62" s="533"/>
      <c r="G62" s="533"/>
      <c r="H62" s="533"/>
      <c r="I62" s="533"/>
      <c r="J62" s="533"/>
      <c r="K62" s="533"/>
      <c r="L62" s="533"/>
      <c r="M62" s="533"/>
      <c r="N62" s="533"/>
    </row>
    <row r="63" spans="2:14" ht="13.5" customHeight="1">
      <c r="B63" s="534" t="s">
        <v>737</v>
      </c>
      <c r="C63" s="533"/>
      <c r="D63" s="533"/>
      <c r="E63" s="533"/>
      <c r="F63" s="533"/>
      <c r="G63" s="533"/>
      <c r="H63" s="533"/>
      <c r="I63" s="533"/>
      <c r="J63" s="533"/>
      <c r="K63" s="533"/>
      <c r="L63" s="533"/>
      <c r="M63" s="533"/>
      <c r="N63" s="533"/>
    </row>
    <row r="64" spans="2:14" ht="13.5" customHeight="1">
      <c r="B64" s="696" t="s">
        <v>533</v>
      </c>
    </row>
    <row r="65" spans="1:15" ht="13.5" customHeight="1">
      <c r="B65" s="533" t="s">
        <v>534</v>
      </c>
    </row>
    <row r="66" spans="1:15" ht="13.5" customHeight="1">
      <c r="B66" s="533" t="s">
        <v>740</v>
      </c>
    </row>
    <row r="67" spans="1:15" ht="13.5" customHeight="1">
      <c r="B67" s="533" t="s">
        <v>535</v>
      </c>
    </row>
    <row r="68" spans="1:15" ht="13.5" customHeight="1">
      <c r="B68" s="533" t="s">
        <v>742</v>
      </c>
    </row>
    <row r="69" spans="1:15" ht="13.5" customHeight="1">
      <c r="B69" s="534" t="s">
        <v>741</v>
      </c>
    </row>
    <row r="70" spans="1:15" ht="13.5" customHeight="1">
      <c r="B70" s="534" t="s">
        <v>743</v>
      </c>
    </row>
    <row r="71" spans="1:15" ht="13.5" customHeight="1">
      <c r="B71" s="534" t="s">
        <v>744</v>
      </c>
    </row>
    <row r="72" spans="1:15" ht="13.5" customHeight="1">
      <c r="B72" s="534" t="s">
        <v>745</v>
      </c>
    </row>
    <row r="73" spans="1:15" ht="13.5" customHeight="1">
      <c r="A73" s="533"/>
      <c r="B73" s="988" t="s">
        <v>542</v>
      </c>
      <c r="C73" s="988"/>
      <c r="D73" s="988"/>
      <c r="E73" s="988"/>
      <c r="F73" s="988"/>
      <c r="G73" s="988"/>
      <c r="H73" s="988"/>
      <c r="I73" s="988"/>
      <c r="J73" s="988"/>
      <c r="K73" s="988"/>
      <c r="L73" s="988"/>
      <c r="M73" s="988"/>
      <c r="N73" s="988"/>
      <c r="O73" s="988"/>
    </row>
    <row r="74" spans="1:15" ht="13.5" customHeight="1">
      <c r="B74" s="533" t="s">
        <v>536</v>
      </c>
    </row>
    <row r="75" spans="1:15" ht="13.5" customHeight="1">
      <c r="B75" s="533" t="s">
        <v>537</v>
      </c>
    </row>
    <row r="76" spans="1:15" ht="13.5" customHeight="1">
      <c r="B76" s="534" t="s">
        <v>538</v>
      </c>
    </row>
    <row r="77" spans="1:15" ht="13.5" customHeight="1">
      <c r="B77" s="534" t="s">
        <v>539</v>
      </c>
    </row>
    <row r="78" spans="1:15" ht="13.5" customHeight="1">
      <c r="B78" s="534" t="s">
        <v>540</v>
      </c>
    </row>
    <row r="79" spans="1:15" ht="13.5" customHeight="1">
      <c r="B79" s="534" t="s">
        <v>541</v>
      </c>
    </row>
    <row r="80" spans="1:15" ht="13.5" customHeight="1">
      <c r="A80" s="533"/>
      <c r="B80" s="988" t="s">
        <v>972</v>
      </c>
      <c r="C80" s="988"/>
      <c r="D80" s="988"/>
      <c r="E80" s="988"/>
      <c r="F80" s="988"/>
      <c r="G80" s="988"/>
      <c r="H80" s="988"/>
      <c r="I80" s="988"/>
      <c r="J80" s="988"/>
      <c r="K80" s="988"/>
      <c r="L80" s="988"/>
      <c r="M80" s="988"/>
      <c r="N80" s="988"/>
      <c r="O80" s="988"/>
    </row>
    <row r="81" spans="2:13" ht="13.5" customHeight="1">
      <c r="B81" s="710" t="s">
        <v>838</v>
      </c>
    </row>
    <row r="82" spans="2:13" ht="13.5" customHeight="1">
      <c r="B82" s="534" t="s">
        <v>839</v>
      </c>
      <c r="G82" s="722"/>
    </row>
    <row r="83" spans="2:13" ht="13.5" customHeight="1">
      <c r="B83" s="534" t="s">
        <v>840</v>
      </c>
      <c r="G83" s="722"/>
    </row>
    <row r="84" spans="2:13" ht="13.5" customHeight="1">
      <c r="B84" s="534" t="s">
        <v>746</v>
      </c>
      <c r="G84" s="722"/>
    </row>
    <row r="85" spans="2:13" ht="13.5" customHeight="1">
      <c r="B85" s="534" t="s">
        <v>841</v>
      </c>
      <c r="G85" s="722"/>
    </row>
    <row r="86" spans="2:13" ht="13.5" customHeight="1">
      <c r="B86" s="534"/>
      <c r="G86" s="722"/>
    </row>
    <row r="87" spans="2:13" ht="7.5" customHeight="1">
      <c r="G87" s="722"/>
    </row>
    <row r="88" spans="2:13" ht="13.5" customHeight="1">
      <c r="G88" s="722"/>
    </row>
    <row r="89" spans="2:13" ht="13.5" customHeight="1">
      <c r="B89" s="728" t="s">
        <v>284</v>
      </c>
      <c r="C89" s="729"/>
      <c r="D89" s="729"/>
      <c r="E89" s="729"/>
      <c r="F89" s="729"/>
      <c r="H89" s="728" t="s">
        <v>129</v>
      </c>
      <c r="I89" s="729"/>
      <c r="J89" s="729"/>
      <c r="K89" s="729"/>
      <c r="L89" s="729"/>
      <c r="M89" s="729"/>
    </row>
    <row r="90" spans="2:13" ht="13.5" customHeight="1">
      <c r="B90" s="728"/>
      <c r="H90" s="728"/>
    </row>
    <row r="91" spans="2:13" ht="13.5" customHeight="1">
      <c r="B91" s="697" t="s">
        <v>747</v>
      </c>
      <c r="G91" s="722"/>
    </row>
    <row r="92" spans="2:13" ht="13.5" customHeight="1">
      <c r="B92" s="534" t="s">
        <v>842</v>
      </c>
      <c r="G92" s="722"/>
    </row>
    <row r="93" spans="2:13" ht="13.5" customHeight="1">
      <c r="B93" s="534" t="s">
        <v>843</v>
      </c>
      <c r="G93" s="722"/>
    </row>
    <row r="94" spans="2:13" ht="13.5" customHeight="1">
      <c r="B94" s="534" t="s">
        <v>748</v>
      </c>
      <c r="G94" s="722"/>
    </row>
    <row r="95" spans="2:13" ht="13.5" customHeight="1">
      <c r="B95" s="534" t="s">
        <v>844</v>
      </c>
      <c r="G95" s="722"/>
    </row>
    <row r="96" spans="2:13" ht="13.5" customHeight="1">
      <c r="B96" s="534" t="s">
        <v>749</v>
      </c>
      <c r="G96" s="722"/>
    </row>
    <row r="97" spans="2:7" ht="13.5" customHeight="1">
      <c r="B97" s="534" t="s">
        <v>845</v>
      </c>
      <c r="G97" s="722"/>
    </row>
    <row r="98" spans="2:7" ht="13.5" customHeight="1">
      <c r="B98" s="534" t="s">
        <v>846</v>
      </c>
      <c r="G98" s="722"/>
    </row>
    <row r="99" spans="2:7" ht="13.5" customHeight="1">
      <c r="B99" s="534" t="s">
        <v>750</v>
      </c>
      <c r="G99" s="722"/>
    </row>
    <row r="100" spans="2:7" ht="13.5" customHeight="1">
      <c r="B100" s="534" t="s">
        <v>751</v>
      </c>
      <c r="G100" s="722"/>
    </row>
    <row r="101" spans="2:7" ht="13.5" customHeight="1">
      <c r="B101" s="534" t="s">
        <v>752</v>
      </c>
      <c r="G101" s="722"/>
    </row>
    <row r="102" spans="2:7" ht="13.5" customHeight="1">
      <c r="B102" s="534" t="s">
        <v>847</v>
      </c>
      <c r="G102" s="722"/>
    </row>
    <row r="103" spans="2:7" ht="13.5" customHeight="1">
      <c r="B103" s="534" t="s">
        <v>848</v>
      </c>
      <c r="G103" s="722"/>
    </row>
    <row r="104" spans="2:7" ht="13.5" customHeight="1">
      <c r="B104" s="534" t="s">
        <v>849</v>
      </c>
      <c r="G104" s="722"/>
    </row>
    <row r="105" spans="2:7" ht="13.5" customHeight="1">
      <c r="B105" s="534" t="s">
        <v>753</v>
      </c>
      <c r="G105" s="722"/>
    </row>
    <row r="106" spans="2:7" ht="13.5" customHeight="1">
      <c r="B106" s="534" t="s">
        <v>754</v>
      </c>
      <c r="G106" s="722"/>
    </row>
    <row r="107" spans="2:7" ht="13.5" customHeight="1">
      <c r="B107" s="534" t="s">
        <v>850</v>
      </c>
      <c r="G107" s="722"/>
    </row>
    <row r="108" spans="2:7" ht="13.5" customHeight="1">
      <c r="B108" s="534" t="s">
        <v>755</v>
      </c>
      <c r="G108" s="722"/>
    </row>
    <row r="109" spans="2:7" ht="13.5" customHeight="1">
      <c r="B109" s="534" t="s">
        <v>851</v>
      </c>
      <c r="G109" s="722"/>
    </row>
    <row r="110" spans="2:7" ht="13.5" customHeight="1">
      <c r="B110" s="534" t="s">
        <v>756</v>
      </c>
      <c r="G110" s="722"/>
    </row>
    <row r="111" spans="2:7" ht="13.5" customHeight="1">
      <c r="B111" s="534" t="s">
        <v>757</v>
      </c>
      <c r="G111" s="722"/>
    </row>
    <row r="112" spans="2:7" ht="13.5" customHeight="1">
      <c r="B112" s="534" t="s">
        <v>852</v>
      </c>
      <c r="G112" s="722"/>
    </row>
    <row r="113" spans="2:15" ht="13.5" customHeight="1">
      <c r="B113" s="534" t="s">
        <v>758</v>
      </c>
      <c r="G113" s="722"/>
    </row>
    <row r="114" spans="2:15" ht="13.5" customHeight="1">
      <c r="B114" s="534" t="s">
        <v>853</v>
      </c>
      <c r="G114" s="722"/>
    </row>
    <row r="115" spans="2:15" ht="13.5" customHeight="1">
      <c r="B115" s="534" t="s">
        <v>854</v>
      </c>
      <c r="G115" s="722"/>
    </row>
    <row r="116" spans="2:15" ht="13.5" customHeight="1">
      <c r="B116" s="534" t="s">
        <v>759</v>
      </c>
      <c r="G116" s="722"/>
    </row>
    <row r="117" spans="2:15" ht="13.5" customHeight="1">
      <c r="B117" s="534" t="s">
        <v>855</v>
      </c>
      <c r="G117" s="722"/>
    </row>
    <row r="118" spans="2:15" ht="13.5" customHeight="1">
      <c r="B118" s="534" t="s">
        <v>760</v>
      </c>
      <c r="G118" s="722"/>
    </row>
    <row r="119" spans="2:15" ht="13.5" customHeight="1">
      <c r="B119" s="534" t="s">
        <v>856</v>
      </c>
      <c r="G119" s="722"/>
    </row>
    <row r="120" spans="2:15" ht="13.5" customHeight="1">
      <c r="B120" s="534" t="s">
        <v>761</v>
      </c>
      <c r="G120" s="722"/>
    </row>
    <row r="121" spans="2:15" ht="13.5" customHeight="1">
      <c r="B121" s="534" t="s">
        <v>857</v>
      </c>
      <c r="G121" s="722"/>
    </row>
    <row r="122" spans="2:15" ht="13.5" customHeight="1">
      <c r="B122" s="534" t="s">
        <v>762</v>
      </c>
      <c r="G122" s="722"/>
    </row>
    <row r="123" spans="2:15" ht="13.5" customHeight="1">
      <c r="B123" s="988" t="s">
        <v>763</v>
      </c>
      <c r="C123" s="988"/>
      <c r="D123" s="988"/>
      <c r="E123" s="988"/>
      <c r="F123" s="988"/>
      <c r="G123" s="988"/>
      <c r="H123" s="988"/>
      <c r="I123" s="988"/>
      <c r="J123" s="988"/>
      <c r="K123" s="988"/>
      <c r="L123" s="988"/>
      <c r="M123" s="988"/>
      <c r="N123" s="988"/>
      <c r="O123" s="988"/>
    </row>
    <row r="124" spans="2:15" ht="13.5" customHeight="1">
      <c r="B124" s="534" t="s">
        <v>765</v>
      </c>
      <c r="G124" s="722"/>
    </row>
    <row r="125" spans="2:15" ht="13.5" customHeight="1">
      <c r="B125" s="534" t="s">
        <v>764</v>
      </c>
      <c r="G125" s="722"/>
    </row>
    <row r="126" spans="2:15" ht="13.5" customHeight="1">
      <c r="B126" s="534" t="s">
        <v>766</v>
      </c>
      <c r="G126" s="722"/>
    </row>
    <row r="127" spans="2:15" ht="13.5" customHeight="1">
      <c r="B127" s="534" t="s">
        <v>767</v>
      </c>
      <c r="G127" s="722"/>
    </row>
    <row r="128" spans="2:15" ht="13.5" customHeight="1">
      <c r="B128" s="534" t="s">
        <v>768</v>
      </c>
      <c r="G128" s="722"/>
    </row>
    <row r="129" spans="2:17" ht="13.5" customHeight="1">
      <c r="B129" s="534" t="s">
        <v>769</v>
      </c>
      <c r="G129" s="722"/>
    </row>
    <row r="130" spans="2:17" ht="13.5" customHeight="1">
      <c r="B130" s="534" t="s">
        <v>770</v>
      </c>
      <c r="G130" s="722"/>
    </row>
    <row r="131" spans="2:17" ht="13.5" customHeight="1">
      <c r="B131" s="534" t="s">
        <v>775</v>
      </c>
      <c r="G131" s="722"/>
    </row>
    <row r="132" spans="2:17" ht="13.5" customHeight="1">
      <c r="B132" s="533" t="s">
        <v>821</v>
      </c>
      <c r="F132" s="730">
        <f>P136</f>
        <v>43.5</v>
      </c>
      <c r="G132" s="697" t="s">
        <v>3</v>
      </c>
      <c r="P132" s="697">
        <f>IF(Data!C78=1,'Formula 1'!C22,IF(Data!C78=2,'Formula 1'!C23,IF(Data!C78=3,'Formula 1'!C24,IF(Data!C78=4,'Formula 1'!C25,IF(Data!C78=5,'Formula 1'!C26,IF(Data!C78=6,'Formula 1'!C27,IF(Data!C78=7,'Formula 1'!C28,IF(Data!C78=8,'Formula 1'!C29,IF(Data!C78=9,'Formula 1'!C30,IF(Data!C78=10,'Formula 1'!C31,IF(Data!C78=11,'Formula 1'!C32,IF(Data!C78=12,'Formula 1'!C33,IF(Data!C78=13,'Formula 1'!E22,IF(Data!C78=14,'Formula 1'!E23,IF(Data!C78=15,'Formula 1'!E24,IF(Data!C78=16,'Formula 1'!E25,IF(Data!C78=17,'Formula 1'!E26,IF(Data!C78=18,'Formula 1'!E27,IF(Data!C78=19,'Formula 1'!E28,IF(Data!C78=20,'Formula 1'!E29,IF(Data!C78=21,'Formula 1'!E30,IF(Data!C78=22,'Formula 1'!E31,IF(Data!C78=23,'Formula 1'!E32,IF(Data!C78=24,'Formula 1'!E33))))))))))))))))))))))))</f>
        <v>40.97</v>
      </c>
      <c r="Q132" s="759">
        <f>(PP!P14-PP!D10)*(PP!P13%/PP!P11)</f>
        <v>-32.359680000000019</v>
      </c>
    </row>
    <row r="133" spans="2:17" ht="13.5" customHeight="1">
      <c r="B133" s="534" t="s">
        <v>822</v>
      </c>
      <c r="G133" s="722"/>
    </row>
    <row r="134" spans="2:17" ht="13.5" customHeight="1">
      <c r="B134" s="534" t="s">
        <v>771</v>
      </c>
      <c r="G134" s="722"/>
      <c r="P134" s="697">
        <f>IF(Data!C78=1,'Formula 1'!I22,IF(Data!C78=2,'Formula 1'!C23,IF(Data!C78=3,'Formula 1'!C24,IF(Data!C78=4,'Formula 1'!C25,IF(Data!C78=5,'Formula 1'!C26,IF(Data!C78=6,'Formula 1'!C27,IF(Data!C78=7,'Formula 1'!C28,IF(Data!C78=8,'Formula 1'!C29,IF(Data!C78=9,'Formula 1'!C30,IF(Data!C78=10,'Formula 1'!C31,IF(Data!C78=11,'Formula 1'!C32,IF(Data!C78=12,'Formula 1'!C33,IF(Data!C78=13,'Formula 1'!E22,IF(Data!C78=14,'Formula 1'!E23,IF(Data!C78=15,'Formula 1'!E24,IF(Data!C78=16,'Formula 1'!E25,IF(Data!C78=17,'Formula 1'!E26,IF(Data!C78=18,'Formula 1'!E27,IF(Data!C78=19,'Formula 1'!E28,IF(Data!C78=20,'Formula 1'!E29,IF(Data!C78=21,'Formula 1'!E30,IF(Data!C78=22,'Formula 1'!E31,IF(Data!C78=23,'Formula 1'!E32,IF(Data!C78=24,'Formula 1'!E33))))))))))))))))))))))))</f>
        <v>40.97</v>
      </c>
      <c r="Q134" s="697" t="e">
        <f>(PP!P12-PP!F78)*PP!D11/PP!G78</f>
        <v>#DIV/0!</v>
      </c>
    </row>
    <row r="135" spans="2:17" ht="13.5" customHeight="1">
      <c r="B135" s="533" t="s">
        <v>823</v>
      </c>
      <c r="G135" s="722"/>
    </row>
    <row r="136" spans="2:17" ht="13.5" customHeight="1">
      <c r="B136" s="534" t="s">
        <v>778</v>
      </c>
      <c r="G136" s="722"/>
      <c r="P136" s="758">
        <f>IF(Data!C78=1,'Formula 1'!U22,IF(Data!C78=2,'Formula 1'!U23,IF(Data!C78=3,'Formula 1'!U24,IF(Data!C78=4,'Formula 1'!U25,IF(Data!C78=5,'Formula 1'!U26,IF(Data!C78=6,'Formula 1'!U27,IF(Data!C78=7,'Formula 1'!U28,IF(Data!C78=8,'Formula 1'!U29,IF(Data!C78=9,'Formula 1'!U30,IF(Data!C78=10,'Formula 1'!U31,IF(Data!C78=11,'Formula 1'!U32,IF(Data!C78=12,'Formula 1'!U33,IF(Data!C78=13,'Formula 1'!U34,IF(Data!C78=14,'Formula 1'!U35,IF(Data!C78=15,'Formula 1'!U36,IF(Data!C78=16,'Formula 1'!U37,IF(Data!C78=17,'Formula 1'!U38,IF(Data!C78=18,'Formula 1'!U39,IF(Data!C78=19,'Formula 1'!U40,IF(Data!C78=20,'Formula 1'!U41,IF(Data!C78=21,'Formula 1'!U42,IF(Data!C78=22,'Formula 1'!U43,IF(Data!C78=23,'Formula 1'!U44,IF(Data!C78=24,'Formula 1'!U45))))))))))))))))))))))))</f>
        <v>43.5</v>
      </c>
      <c r="Q136" s="697" t="s">
        <v>862</v>
      </c>
    </row>
    <row r="137" spans="2:17" ht="13.5" customHeight="1">
      <c r="B137" s="533" t="s">
        <v>824</v>
      </c>
      <c r="G137" s="722"/>
    </row>
    <row r="138" spans="2:17" ht="13.5" customHeight="1">
      <c r="B138" s="534" t="s">
        <v>825</v>
      </c>
      <c r="G138" s="722"/>
    </row>
    <row r="139" spans="2:17" ht="13.5" customHeight="1">
      <c r="B139" s="534" t="s">
        <v>772</v>
      </c>
      <c r="G139" s="722"/>
    </row>
    <row r="140" spans="2:17" ht="13.5" customHeight="1">
      <c r="B140" s="534" t="s">
        <v>826</v>
      </c>
      <c r="G140" s="722"/>
    </row>
    <row r="141" spans="2:17" ht="13.5" customHeight="1">
      <c r="B141" s="534" t="s">
        <v>773</v>
      </c>
      <c r="G141" s="722"/>
    </row>
    <row r="142" spans="2:17" ht="13.5" customHeight="1">
      <c r="B142" s="534" t="s">
        <v>774</v>
      </c>
      <c r="G142" s="722"/>
    </row>
    <row r="143" spans="2:17" ht="13.5" customHeight="1">
      <c r="B143" s="533" t="s">
        <v>827</v>
      </c>
      <c r="G143" s="722"/>
    </row>
    <row r="144" spans="2:17" ht="13.5" customHeight="1">
      <c r="B144" s="534" t="s">
        <v>817</v>
      </c>
      <c r="G144" s="722"/>
    </row>
    <row r="145" spans="2:15" ht="13.5" customHeight="1">
      <c r="B145" s="534" t="s">
        <v>828</v>
      </c>
      <c r="G145" s="722"/>
    </row>
    <row r="146" spans="2:15" ht="13.5" customHeight="1">
      <c r="B146" s="696" t="s">
        <v>829</v>
      </c>
      <c r="G146" s="722"/>
    </row>
    <row r="147" spans="2:15" ht="13.5" customHeight="1">
      <c r="B147" s="534" t="s">
        <v>779</v>
      </c>
      <c r="G147" s="722"/>
    </row>
    <row r="148" spans="2:15" ht="13.5" customHeight="1">
      <c r="B148" s="534" t="s">
        <v>780</v>
      </c>
      <c r="G148" s="722"/>
    </row>
    <row r="149" spans="2:15" ht="13.5" customHeight="1">
      <c r="B149" s="534" t="s">
        <v>830</v>
      </c>
      <c r="G149" s="722"/>
    </row>
    <row r="150" spans="2:15" ht="13.5" customHeight="1">
      <c r="B150" s="534" t="s">
        <v>776</v>
      </c>
      <c r="G150" s="722"/>
    </row>
    <row r="151" spans="2:15" ht="13.5" customHeight="1">
      <c r="B151" s="534" t="s">
        <v>831</v>
      </c>
      <c r="G151" s="722"/>
    </row>
    <row r="152" spans="2:15" ht="13.5" customHeight="1">
      <c r="B152" s="534" t="s">
        <v>832</v>
      </c>
      <c r="G152" s="722"/>
    </row>
    <row r="153" spans="2:15" ht="13.5" customHeight="1">
      <c r="B153" s="534" t="s">
        <v>833</v>
      </c>
      <c r="G153" s="722"/>
    </row>
    <row r="154" spans="2:15" ht="13.5" customHeight="1">
      <c r="B154" s="534" t="s">
        <v>834</v>
      </c>
      <c r="G154" s="722"/>
    </row>
    <row r="155" spans="2:15" ht="13.5" customHeight="1">
      <c r="B155" s="533" t="s">
        <v>835</v>
      </c>
      <c r="G155" s="722"/>
    </row>
    <row r="156" spans="2:15" ht="13.5" customHeight="1">
      <c r="B156" s="535" t="s">
        <v>777</v>
      </c>
      <c r="G156" s="722"/>
    </row>
    <row r="157" spans="2:15" ht="13.5" customHeight="1">
      <c r="B157" s="534" t="s">
        <v>836</v>
      </c>
      <c r="G157" s="722"/>
    </row>
    <row r="158" spans="2:15" ht="13.5" customHeight="1">
      <c r="B158" s="533" t="s">
        <v>837</v>
      </c>
      <c r="G158" s="722"/>
    </row>
    <row r="159" spans="2:15" ht="18" customHeight="1">
      <c r="B159" s="731"/>
      <c r="C159" s="729"/>
      <c r="D159" s="729"/>
      <c r="E159" s="729"/>
      <c r="F159" s="729"/>
      <c r="G159" s="729"/>
      <c r="H159" s="731"/>
      <c r="I159" s="729"/>
      <c r="J159" s="729"/>
      <c r="K159" s="729"/>
      <c r="L159" s="729"/>
      <c r="M159" s="729"/>
      <c r="N159" s="729"/>
      <c r="O159" s="729"/>
    </row>
    <row r="160" spans="2:15" ht="14.25" customHeight="1">
      <c r="B160" s="989" t="s">
        <v>374</v>
      </c>
      <c r="C160" s="989"/>
      <c r="D160" s="989"/>
      <c r="E160" s="989"/>
      <c r="F160" s="989"/>
      <c r="G160" s="989"/>
      <c r="H160" s="989"/>
      <c r="I160" s="989"/>
      <c r="J160" s="989"/>
      <c r="K160" s="989"/>
      <c r="L160" s="989"/>
      <c r="M160" s="989"/>
      <c r="N160" s="989"/>
      <c r="O160" s="989"/>
    </row>
    <row r="161" spans="1:15" ht="12.75" customHeight="1">
      <c r="A161" s="533"/>
      <c r="B161" s="988" t="s">
        <v>375</v>
      </c>
      <c r="C161" s="988"/>
      <c r="D161" s="988"/>
      <c r="E161" s="988"/>
      <c r="F161" s="988"/>
      <c r="G161" s="988"/>
      <c r="H161" s="988"/>
      <c r="I161" s="988"/>
      <c r="J161" s="988"/>
      <c r="K161" s="988"/>
      <c r="L161" s="988"/>
      <c r="M161" s="988"/>
      <c r="N161" s="988"/>
      <c r="O161" s="988"/>
    </row>
    <row r="162" spans="1:15" ht="15" customHeight="1">
      <c r="B162" s="732" t="s">
        <v>518</v>
      </c>
      <c r="C162" s="733"/>
      <c r="D162" s="733"/>
      <c r="E162" s="733"/>
      <c r="F162" s="733"/>
      <c r="G162" s="733"/>
      <c r="H162" s="734"/>
      <c r="I162" s="733"/>
      <c r="J162" s="735" t="s">
        <v>519</v>
      </c>
      <c r="K162" s="733"/>
      <c r="L162" s="733"/>
      <c r="M162" s="733"/>
      <c r="N162" s="733"/>
      <c r="O162" s="736"/>
    </row>
    <row r="163" spans="1:15" ht="15" customHeight="1">
      <c r="B163" s="737" t="s">
        <v>940</v>
      </c>
      <c r="H163" s="738"/>
      <c r="I163" s="739" t="str">
        <f>Data!C23</f>
        <v>Yunusov Vüqar Fikrət oğlu</v>
      </c>
      <c r="J163" s="739"/>
      <c r="K163" s="739"/>
      <c r="L163" s="739"/>
      <c r="M163" s="739"/>
      <c r="N163" s="739"/>
      <c r="O163" s="740"/>
    </row>
    <row r="164" spans="1:15" ht="15" customHeight="1">
      <c r="B164" s="741" t="s">
        <v>941</v>
      </c>
      <c r="H164" s="742" t="s">
        <v>4</v>
      </c>
      <c r="I164" s="986" t="str">
        <f>Data!C29</f>
        <v>NEFTÇALA RAYONU, XOL QARABUCAQ Ə/D, DÖRDLƏR KƏNDİ</v>
      </c>
      <c r="J164" s="986"/>
      <c r="K164" s="986"/>
      <c r="L164" s="986"/>
      <c r="M164" s="986"/>
      <c r="N164" s="986"/>
      <c r="O164" s="987"/>
    </row>
    <row r="165" spans="1:15" ht="15" customHeight="1">
      <c r="B165" s="737" t="s">
        <v>367</v>
      </c>
      <c r="H165" s="737" t="s">
        <v>372</v>
      </c>
      <c r="I165" s="985" t="str">
        <f>Data!C21</f>
        <v>AA5512135</v>
      </c>
      <c r="J165" s="985"/>
      <c r="O165" s="740"/>
    </row>
    <row r="166" spans="1:15" ht="15" customHeight="1">
      <c r="B166" s="741" t="s">
        <v>942</v>
      </c>
      <c r="H166" s="742" t="s">
        <v>5</v>
      </c>
      <c r="I166" s="984" t="str">
        <f>Data!E21</f>
        <v>29.10.2023</v>
      </c>
      <c r="J166" s="984"/>
      <c r="K166" s="697" t="str">
        <f>Data!C27</f>
        <v>Asan4</v>
      </c>
      <c r="O166" s="740"/>
    </row>
    <row r="167" spans="1:15" ht="15" customHeight="1">
      <c r="B167" s="737" t="s">
        <v>478</v>
      </c>
      <c r="C167" s="533"/>
      <c r="D167" s="533"/>
      <c r="E167" s="533"/>
      <c r="F167" s="533"/>
      <c r="H167" s="738"/>
      <c r="O167" s="740"/>
    </row>
    <row r="168" spans="1:15" ht="15" customHeight="1">
      <c r="B168" s="742" t="s">
        <v>6</v>
      </c>
      <c r="C168" s="743" t="s">
        <v>285</v>
      </c>
      <c r="H168" s="738"/>
      <c r="I168" s="696"/>
      <c r="K168" s="983"/>
      <c r="L168" s="983"/>
      <c r="M168" s="983"/>
      <c r="N168" s="983"/>
      <c r="O168" s="740"/>
    </row>
    <row r="169" spans="1:15" ht="12.95" customHeight="1">
      <c r="B169" s="737"/>
      <c r="C169" s="534"/>
      <c r="H169" s="738"/>
      <c r="I169" s="696"/>
      <c r="K169" s="725"/>
      <c r="L169" s="725"/>
      <c r="M169" s="725"/>
      <c r="N169" s="725"/>
      <c r="O169" s="740"/>
    </row>
    <row r="170" spans="1:15" ht="12.95" customHeight="1">
      <c r="B170" s="737"/>
      <c r="C170" s="534"/>
      <c r="H170" s="738"/>
      <c r="I170" s="696"/>
      <c r="K170" s="725"/>
      <c r="L170" s="725"/>
      <c r="M170" s="725"/>
      <c r="N170" s="725"/>
      <c r="O170" s="740"/>
    </row>
    <row r="171" spans="1:15" ht="12.95" customHeight="1">
      <c r="B171" s="737"/>
      <c r="C171" s="534"/>
      <c r="H171" s="738"/>
      <c r="I171" s="696"/>
      <c r="K171" s="725"/>
      <c r="L171" s="725"/>
      <c r="M171" s="725"/>
      <c r="N171" s="725"/>
      <c r="O171" s="740"/>
    </row>
    <row r="172" spans="1:15">
      <c r="B172" s="737"/>
      <c r="H172" s="738"/>
      <c r="O172" s="740"/>
    </row>
    <row r="173" spans="1:15" ht="15" customHeight="1">
      <c r="B173" s="737" t="s">
        <v>364</v>
      </c>
      <c r="C173" s="729"/>
      <c r="D173" s="729"/>
      <c r="E173" s="729"/>
      <c r="F173" s="696"/>
      <c r="H173" s="737" t="s">
        <v>129</v>
      </c>
      <c r="I173" s="729"/>
      <c r="J173" s="729"/>
      <c r="K173" s="729"/>
      <c r="L173" s="729"/>
      <c r="M173" s="729"/>
      <c r="O173" s="740"/>
    </row>
    <row r="174" spans="1:15" ht="15" customHeight="1">
      <c r="B174" s="737" t="s">
        <v>150</v>
      </c>
      <c r="F174" s="534" t="s">
        <v>159</v>
      </c>
      <c r="H174" s="738"/>
      <c r="O174" s="740"/>
    </row>
    <row r="175" spans="1:15" ht="15" customHeight="1">
      <c r="B175" s="737"/>
      <c r="F175" s="534"/>
      <c r="H175" s="738"/>
      <c r="O175" s="740"/>
    </row>
    <row r="176" spans="1:15" ht="15" customHeight="1">
      <c r="B176" s="744"/>
      <c r="C176" s="729"/>
      <c r="D176" s="729"/>
      <c r="E176" s="729"/>
      <c r="F176" s="729"/>
      <c r="G176" s="729"/>
      <c r="H176" s="744"/>
      <c r="I176" s="729"/>
      <c r="J176" s="729"/>
      <c r="K176" s="729"/>
      <c r="L176" s="729"/>
      <c r="M176" s="729"/>
      <c r="N176" s="729"/>
      <c r="O176" s="745"/>
    </row>
    <row r="181" spans="1:11" ht="12" customHeight="1"/>
    <row r="183" spans="1:11" hidden="1"/>
    <row r="184" spans="1:11" hidden="1">
      <c r="A184" s="697" t="s">
        <v>691</v>
      </c>
      <c r="B184" s="697" t="str">
        <f>Data!C94</f>
        <v>Fərəcov Elsevər Ələmdar oğlu</v>
      </c>
      <c r="C184" s="697" t="s">
        <v>696</v>
      </c>
      <c r="D184" s="697" t="str">
        <f>Data!C68</f>
        <v>İstehlak mal(lar)ının alınması üçün</v>
      </c>
      <c r="E184" s="697" t="s">
        <v>701</v>
      </c>
      <c r="F184" s="724">
        <f>Data!C74</f>
        <v>1272</v>
      </c>
      <c r="G184" s="697" t="s">
        <v>692</v>
      </c>
      <c r="H184" s="697" t="str">
        <f>PP!AK6</f>
        <v>(Bir min iki yüz yetmiş iki manat )</v>
      </c>
      <c r="K184" s="697" t="s">
        <v>690</v>
      </c>
    </row>
    <row r="185" spans="1:11" hidden="1">
      <c r="B185" s="697" t="s">
        <v>693</v>
      </c>
      <c r="F185" s="724"/>
      <c r="H185" s="724"/>
    </row>
    <row r="186" spans="1:11" hidden="1">
      <c r="B186" s="697" t="str">
        <f>A184&amp;B184&amp;C184&amp;D184</f>
        <v>1.1. Bu müqavilə üzrə "BOKT" "Borcalan"a Fərəcov Elsevər Ələmdar oğlu (bundan sonra "Partnyor") tərəfindən satışı həyata keçirilən İstehlak mal(lar)ının alınması üçün</v>
      </c>
    </row>
    <row r="187" spans="1:11" hidden="1"/>
  </sheetData>
  <mergeCells count="20">
    <mergeCell ref="K168:N168"/>
    <mergeCell ref="I166:J166"/>
    <mergeCell ref="I165:J165"/>
    <mergeCell ref="I164:O164"/>
    <mergeCell ref="B27:O27"/>
    <mergeCell ref="B80:O80"/>
    <mergeCell ref="B73:O73"/>
    <mergeCell ref="B161:O161"/>
    <mergeCell ref="B160:O160"/>
    <mergeCell ref="B123:O123"/>
    <mergeCell ref="F12:H12"/>
    <mergeCell ref="F13:I13"/>
    <mergeCell ref="H22:L22"/>
    <mergeCell ref="D18:E18"/>
    <mergeCell ref="B1:O1"/>
    <mergeCell ref="B2:O2"/>
    <mergeCell ref="B10:O10"/>
    <mergeCell ref="F3:H3"/>
    <mergeCell ref="M5:O5"/>
    <mergeCell ref="J8:M8"/>
  </mergeCells>
  <phoneticPr fontId="3" type="noConversion"/>
  <pageMargins left="0.27559055118110237" right="0.11811023622047245" top="0.11811023622047245" bottom="0.11811023622047245" header="0.19685039370078741" footer="0.51181102362204722"/>
  <pageSetup paperSize="9" scale="60" orientation="portrait" r:id="rId1"/>
  <headerFooter alignWithMargins="0"/>
  <rowBreaks count="1" manualBreakCount="1">
    <brk id="90" max="14" man="1"/>
  </rowBreak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ayfa2"/>
  <dimension ref="B1:L111"/>
  <sheetViews>
    <sheetView view="pageBreakPreview" topLeftCell="A69" zoomScaleNormal="100" zoomScaleSheetLayoutView="100" workbookViewId="0">
      <selection activeCell="D67" sqref="D67:H67"/>
    </sheetView>
  </sheetViews>
  <sheetFormatPr defaultRowHeight="15"/>
  <cols>
    <col min="1" max="1" width="1.28515625" style="489" customWidth="1"/>
    <col min="2" max="2" width="3.140625" style="523" customWidth="1"/>
    <col min="3" max="3" width="50.5703125" style="489" customWidth="1"/>
    <col min="4" max="7" width="13.7109375" style="511" customWidth="1"/>
    <col min="8" max="8" width="13.140625" style="511" customWidth="1"/>
    <col min="9" max="16384" width="9.140625" style="489"/>
  </cols>
  <sheetData>
    <row r="1" spans="2:12">
      <c r="B1" s="1060" t="s">
        <v>589</v>
      </c>
      <c r="C1" s="1061"/>
      <c r="D1" s="1061"/>
      <c r="E1" s="1061"/>
      <c r="F1" s="1061"/>
      <c r="G1" s="1061"/>
      <c r="H1" s="1062"/>
    </row>
    <row r="2" spans="2:12" ht="15.75" customHeight="1">
      <c r="B2" s="1063"/>
      <c r="C2" s="1064"/>
      <c r="D2" s="1064"/>
      <c r="E2" s="1064"/>
      <c r="F2" s="1064"/>
      <c r="G2" s="1064"/>
      <c r="H2" s="1065"/>
    </row>
    <row r="3" spans="2:12">
      <c r="B3" s="1066"/>
      <c r="C3" s="1067"/>
      <c r="D3" s="1067"/>
      <c r="E3" s="1067"/>
      <c r="F3" s="1067"/>
      <c r="G3" s="1067"/>
      <c r="H3" s="1068"/>
    </row>
    <row r="4" spans="2:12" ht="30" customHeight="1">
      <c r="B4" s="490">
        <v>1</v>
      </c>
      <c r="C4" s="491" t="s">
        <v>590</v>
      </c>
      <c r="D4" s="1002" t="s">
        <v>591</v>
      </c>
      <c r="E4" s="1003"/>
      <c r="F4" s="1003"/>
      <c r="G4" s="1003"/>
      <c r="H4" s="1004"/>
    </row>
    <row r="5" spans="2:12" ht="30" customHeight="1">
      <c r="B5" s="490">
        <v>2</v>
      </c>
      <c r="C5" s="491" t="s">
        <v>592</v>
      </c>
      <c r="D5" s="1016" t="s">
        <v>947</v>
      </c>
      <c r="E5" s="1017"/>
      <c r="F5" s="1017"/>
      <c r="G5" s="1017"/>
      <c r="H5" s="1018"/>
    </row>
    <row r="6" spans="2:12" ht="30" customHeight="1">
      <c r="B6" s="490">
        <v>3</v>
      </c>
      <c r="C6" s="491" t="s">
        <v>160</v>
      </c>
      <c r="D6" s="1002" t="s">
        <v>593</v>
      </c>
      <c r="E6" s="1003"/>
      <c r="F6" s="1003"/>
      <c r="G6" s="1003"/>
      <c r="H6" s="1004"/>
    </row>
    <row r="7" spans="2:12" ht="30" customHeight="1">
      <c r="B7" s="490">
        <v>4</v>
      </c>
      <c r="C7" s="491" t="s">
        <v>594</v>
      </c>
      <c r="D7" s="1069">
        <f>Data!C74</f>
        <v>1272</v>
      </c>
      <c r="E7" s="1070"/>
      <c r="F7" s="1070"/>
      <c r="G7" s="1070"/>
      <c r="H7" s="1071"/>
      <c r="L7" s="493"/>
    </row>
    <row r="8" spans="2:12" ht="21.75" customHeight="1">
      <c r="B8" s="990">
        <v>5</v>
      </c>
      <c r="C8" s="1008" t="s">
        <v>595</v>
      </c>
      <c r="D8" s="1072" t="s">
        <v>596</v>
      </c>
      <c r="E8" s="1074">
        <f>D110</f>
        <v>46133</v>
      </c>
      <c r="F8" s="1025" t="s">
        <v>597</v>
      </c>
      <c r="G8" s="1025"/>
      <c r="H8" s="1026"/>
    </row>
    <row r="9" spans="2:12" ht="17.25" customHeight="1">
      <c r="B9" s="992"/>
      <c r="C9" s="1020"/>
      <c r="D9" s="1073"/>
      <c r="E9" s="1075"/>
      <c r="F9" s="1041"/>
      <c r="G9" s="1041"/>
      <c r="H9" s="1042"/>
    </row>
    <row r="10" spans="2:12" ht="23.25" customHeight="1">
      <c r="B10" s="1019">
        <v>6</v>
      </c>
      <c r="C10" s="1002" t="s">
        <v>598</v>
      </c>
      <c r="D10" s="1010" t="s">
        <v>599</v>
      </c>
      <c r="E10" s="1014"/>
      <c r="F10" s="1014"/>
      <c r="G10" s="1014"/>
      <c r="H10" s="1015"/>
    </row>
    <row r="11" spans="2:12" ht="43.5" customHeight="1">
      <c r="B11" s="1019"/>
      <c r="C11" s="1002"/>
      <c r="D11" s="1057" t="s">
        <v>600</v>
      </c>
      <c r="E11" s="1058"/>
      <c r="F11" s="1058"/>
      <c r="G11" s="1058"/>
      <c r="H11" s="1059"/>
    </row>
    <row r="12" spans="2:12" ht="20.100000000000001" customHeight="1">
      <c r="B12" s="1019"/>
      <c r="C12" s="1002"/>
      <c r="D12" s="1057" t="s">
        <v>601</v>
      </c>
      <c r="E12" s="1058"/>
      <c r="F12" s="1058"/>
      <c r="G12" s="1058"/>
      <c r="H12" s="1059"/>
    </row>
    <row r="13" spans="2:12" ht="20.100000000000001" customHeight="1">
      <c r="B13" s="1019"/>
      <c r="C13" s="1002"/>
      <c r="D13" s="1057" t="s">
        <v>602</v>
      </c>
      <c r="E13" s="1058"/>
      <c r="F13" s="1058"/>
      <c r="G13" s="1058"/>
      <c r="H13" s="1059"/>
    </row>
    <row r="14" spans="2:12" ht="20.100000000000001" customHeight="1">
      <c r="B14" s="1019"/>
      <c r="C14" s="1002"/>
      <c r="D14" s="1057" t="s">
        <v>603</v>
      </c>
      <c r="E14" s="1058"/>
      <c r="F14" s="1058"/>
      <c r="G14" s="1058"/>
      <c r="H14" s="1059"/>
    </row>
    <row r="15" spans="2:12" ht="44.25" customHeight="1">
      <c r="B15" s="1019"/>
      <c r="C15" s="1002"/>
      <c r="D15" s="1040" t="s">
        <v>604</v>
      </c>
      <c r="E15" s="1041"/>
      <c r="F15" s="1041"/>
      <c r="G15" s="1041"/>
      <c r="H15" s="1042"/>
    </row>
    <row r="16" spans="2:12" ht="38.25" customHeight="1">
      <c r="B16" s="1019">
        <v>7</v>
      </c>
      <c r="C16" s="1008" t="s">
        <v>605</v>
      </c>
      <c r="D16" s="1043" t="str">
        <f>Data!C92</f>
        <v>Monitor,kamera,Ambians , Led</v>
      </c>
      <c r="E16" s="1044"/>
      <c r="F16" s="1044"/>
      <c r="G16" s="1044"/>
      <c r="H16" s="1045"/>
    </row>
    <row r="17" spans="2:8" ht="38.25" customHeight="1">
      <c r="B17" s="1019"/>
      <c r="C17" s="1020"/>
      <c r="D17" s="1046"/>
      <c r="E17" s="1047"/>
      <c r="F17" s="1047"/>
      <c r="G17" s="1047"/>
      <c r="H17" s="1048"/>
    </row>
    <row r="18" spans="2:8" ht="28.5">
      <c r="B18" s="1019"/>
      <c r="C18" s="492" t="s">
        <v>606</v>
      </c>
      <c r="D18" s="693">
        <f>KR!G22</f>
        <v>1672</v>
      </c>
      <c r="E18" s="1055" t="str">
        <f>'Formula 1'!BA4</f>
        <v>(Bir min altı yüz yetmiş iki manat )</v>
      </c>
      <c r="F18" s="1055"/>
      <c r="G18" s="1055"/>
      <c r="H18" s="1056"/>
    </row>
    <row r="19" spans="2:8">
      <c r="B19" s="1019"/>
      <c r="C19" s="497"/>
      <c r="D19" s="1049"/>
      <c r="E19" s="1050"/>
      <c r="F19" s="1050"/>
      <c r="G19" s="1050"/>
      <c r="H19" s="1051"/>
    </row>
    <row r="20" spans="2:8">
      <c r="B20" s="1019"/>
      <c r="C20" s="497"/>
      <c r="D20" s="1049"/>
      <c r="E20" s="1050"/>
      <c r="F20" s="1050"/>
      <c r="G20" s="1050"/>
      <c r="H20" s="1051"/>
    </row>
    <row r="21" spans="2:8">
      <c r="B21" s="1019"/>
      <c r="C21" s="497"/>
      <c r="D21" s="1049"/>
      <c r="E21" s="1050"/>
      <c r="F21" s="1050"/>
      <c r="G21" s="1050"/>
      <c r="H21" s="1051"/>
    </row>
    <row r="22" spans="2:8">
      <c r="B22" s="1019"/>
      <c r="C22" s="497"/>
      <c r="D22" s="1049"/>
      <c r="E22" s="1050"/>
      <c r="F22" s="1050"/>
      <c r="G22" s="1050"/>
      <c r="H22" s="1051"/>
    </row>
    <row r="23" spans="2:8">
      <c r="B23" s="1019"/>
      <c r="C23" s="497"/>
      <c r="D23" s="1049"/>
      <c r="E23" s="1050"/>
      <c r="F23" s="1050"/>
      <c r="G23" s="1050"/>
      <c r="H23" s="1051"/>
    </row>
    <row r="24" spans="2:8">
      <c r="B24" s="1019"/>
      <c r="C24" s="497"/>
      <c r="D24" s="1052"/>
      <c r="E24" s="1053"/>
      <c r="F24" s="1053"/>
      <c r="G24" s="1053"/>
      <c r="H24" s="1054"/>
    </row>
    <row r="25" spans="2:8" ht="20.100000000000001" customHeight="1">
      <c r="B25" s="990">
        <v>8</v>
      </c>
      <c r="C25" s="990" t="s">
        <v>607</v>
      </c>
      <c r="D25" s="498" t="str">
        <f>C102</f>
        <v>● illik faiz dərəcəsi - 0%</v>
      </c>
      <c r="E25" s="499"/>
      <c r="F25" s="499"/>
      <c r="G25" s="499"/>
      <c r="H25" s="500"/>
    </row>
    <row r="26" spans="2:8" ht="45.75" customHeight="1">
      <c r="B26" s="991"/>
      <c r="C26" s="991"/>
      <c r="D26" s="1010" t="s">
        <v>811</v>
      </c>
      <c r="E26" s="1014"/>
      <c r="F26" s="1014"/>
      <c r="G26" s="1014"/>
      <c r="H26" s="1015"/>
    </row>
    <row r="27" spans="2:8" ht="27" customHeight="1">
      <c r="B27" s="991"/>
      <c r="C27" s="991"/>
      <c r="D27" s="694" t="s">
        <v>812</v>
      </c>
      <c r="E27" s="503"/>
      <c r="F27" s="503"/>
      <c r="G27" s="503"/>
      <c r="H27" s="504"/>
    </row>
    <row r="28" spans="2:8" ht="27" customHeight="1">
      <c r="B28" s="992"/>
      <c r="C28" s="992"/>
      <c r="D28" s="1040" t="s">
        <v>813</v>
      </c>
      <c r="E28" s="1041"/>
      <c r="F28" s="1041"/>
      <c r="G28" s="1041"/>
      <c r="H28" s="1042"/>
    </row>
    <row r="29" spans="2:8" ht="15" customHeight="1">
      <c r="B29" s="1019">
        <v>9</v>
      </c>
      <c r="C29" s="1008" t="s">
        <v>608</v>
      </c>
      <c r="D29" s="1035" t="s">
        <v>609</v>
      </c>
      <c r="E29" s="1036"/>
      <c r="F29" s="1037">
        <f>D109/100</f>
        <v>0.435</v>
      </c>
      <c r="G29" s="1036"/>
      <c r="H29" s="1039"/>
    </row>
    <row r="30" spans="2:8">
      <c r="B30" s="1027"/>
      <c r="C30" s="1009"/>
      <c r="D30" s="1031"/>
      <c r="E30" s="1032"/>
      <c r="F30" s="1038"/>
      <c r="G30" s="1032"/>
      <c r="H30" s="1033"/>
    </row>
    <row r="31" spans="2:8" ht="84" customHeight="1">
      <c r="B31" s="1019"/>
      <c r="C31" s="496" t="s">
        <v>610</v>
      </c>
      <c r="D31" s="1011"/>
      <c r="E31" s="1012"/>
      <c r="F31" s="1012"/>
      <c r="G31" s="1012"/>
      <c r="H31" s="1013"/>
    </row>
    <row r="32" spans="2:8" ht="30" customHeight="1">
      <c r="B32" s="490">
        <v>10</v>
      </c>
      <c r="C32" s="491" t="s">
        <v>611</v>
      </c>
      <c r="D32" s="1005" t="s">
        <v>814</v>
      </c>
      <c r="E32" s="1006"/>
      <c r="F32" s="1006"/>
      <c r="G32" s="1006"/>
      <c r="H32" s="1007"/>
    </row>
    <row r="33" spans="2:8">
      <c r="B33" s="1019">
        <v>11</v>
      </c>
      <c r="C33" s="1002" t="s">
        <v>612</v>
      </c>
      <c r="D33" s="1005" t="s">
        <v>613</v>
      </c>
      <c r="E33" s="1006"/>
      <c r="F33" s="1006"/>
      <c r="G33" s="1006"/>
      <c r="H33" s="1007"/>
    </row>
    <row r="34" spans="2:8">
      <c r="B34" s="1019"/>
      <c r="C34" s="1002"/>
      <c r="D34" s="502" t="s">
        <v>614</v>
      </c>
      <c r="E34" s="1034">
        <f>Data!C74</f>
        <v>1272</v>
      </c>
      <c r="F34" s="1034"/>
      <c r="G34" s="503"/>
      <c r="H34" s="504"/>
    </row>
    <row r="35" spans="2:8">
      <c r="B35" s="1019"/>
      <c r="C35" s="1002"/>
      <c r="D35" s="505" t="s">
        <v>615</v>
      </c>
      <c r="E35" s="1034">
        <f>PP!G78</f>
        <v>0</v>
      </c>
      <c r="F35" s="1034"/>
      <c r="G35" s="503"/>
      <c r="H35" s="504"/>
    </row>
    <row r="36" spans="2:8" ht="15" customHeight="1">
      <c r="B36" s="1019"/>
      <c r="C36" s="1002"/>
      <c r="D36" s="1010" t="s">
        <v>616</v>
      </c>
      <c r="E36" s="1014"/>
      <c r="F36" s="1014"/>
      <c r="G36" s="698">
        <f>Data!C88</f>
        <v>0</v>
      </c>
      <c r="H36" s="699" t="s">
        <v>815</v>
      </c>
    </row>
    <row r="37" spans="2:8">
      <c r="B37" s="1019"/>
      <c r="C37" s="1002"/>
      <c r="D37" s="1011" t="s">
        <v>617</v>
      </c>
      <c r="E37" s="1012"/>
      <c r="F37" s="1012"/>
      <c r="G37" s="1012"/>
      <c r="H37" s="1013"/>
    </row>
    <row r="38" spans="2:8" ht="17.100000000000001" customHeight="1">
      <c r="B38" s="1019">
        <v>12</v>
      </c>
      <c r="C38" s="1002" t="s">
        <v>618</v>
      </c>
      <c r="D38" s="1005" t="s">
        <v>619</v>
      </c>
      <c r="E38" s="1006"/>
      <c r="F38" s="1006"/>
      <c r="G38" s="1006"/>
      <c r="H38" s="1007"/>
    </row>
    <row r="39" spans="2:8" ht="17.100000000000001" customHeight="1">
      <c r="B39" s="1019"/>
      <c r="C39" s="1002"/>
      <c r="D39" s="1010"/>
      <c r="E39" s="1014"/>
      <c r="F39" s="1014"/>
      <c r="G39" s="1014"/>
      <c r="H39" s="1015"/>
    </row>
    <row r="40" spans="2:8" ht="17.100000000000001" customHeight="1">
      <c r="B40" s="1019"/>
      <c r="C40" s="1002"/>
      <c r="D40" s="1010" t="s">
        <v>620</v>
      </c>
      <c r="E40" s="1014"/>
      <c r="F40" s="1014"/>
      <c r="G40" s="1014"/>
      <c r="H40" s="1015"/>
    </row>
    <row r="41" spans="2:8" ht="17.100000000000001" customHeight="1">
      <c r="B41" s="1019"/>
      <c r="C41" s="1002"/>
      <c r="D41" s="1011"/>
      <c r="E41" s="1012"/>
      <c r="F41" s="1012"/>
      <c r="G41" s="1012"/>
      <c r="H41" s="1013"/>
    </row>
    <row r="42" spans="2:8">
      <c r="B42" s="1019">
        <v>13</v>
      </c>
      <c r="C42" s="1008" t="s">
        <v>621</v>
      </c>
      <c r="D42" s="1002" t="s">
        <v>622</v>
      </c>
      <c r="E42" s="1017"/>
      <c r="F42" s="1017"/>
      <c r="G42" s="1017"/>
      <c r="H42" s="1018"/>
    </row>
    <row r="43" spans="2:8">
      <c r="B43" s="1019"/>
      <c r="C43" s="1009"/>
      <c r="D43" s="1002" t="s">
        <v>623</v>
      </c>
      <c r="E43" s="1017"/>
      <c r="F43" s="1017"/>
      <c r="G43" s="1017"/>
      <c r="H43" s="1018"/>
    </row>
    <row r="44" spans="2:8" ht="78.75" customHeight="1">
      <c r="B44" s="1019"/>
      <c r="C44" s="1009"/>
      <c r="D44" s="1002" t="s">
        <v>858</v>
      </c>
      <c r="E44" s="1017"/>
      <c r="F44" s="1017"/>
      <c r="G44" s="1017"/>
      <c r="H44" s="1018"/>
    </row>
    <row r="45" spans="2:8" ht="15" customHeight="1">
      <c r="B45" s="1019"/>
      <c r="C45" s="1009"/>
      <c r="D45" s="1016" t="s">
        <v>624</v>
      </c>
      <c r="E45" s="1017"/>
      <c r="F45" s="1017"/>
      <c r="G45" s="1017"/>
      <c r="H45" s="1018"/>
    </row>
    <row r="46" spans="2:8">
      <c r="B46" s="1019"/>
      <c r="C46" s="1009"/>
      <c r="D46" s="1016" t="s">
        <v>625</v>
      </c>
      <c r="E46" s="1017"/>
      <c r="F46" s="1017"/>
      <c r="G46" s="1017"/>
      <c r="H46" s="1018"/>
    </row>
    <row r="47" spans="2:8" ht="15" customHeight="1">
      <c r="B47" s="1019"/>
      <c r="C47" s="1009"/>
      <c r="D47" s="506" t="s">
        <v>626</v>
      </c>
      <c r="E47" s="507"/>
      <c r="F47" s="507"/>
      <c r="G47" s="507"/>
      <c r="H47" s="508"/>
    </row>
    <row r="48" spans="2:8" ht="15" customHeight="1">
      <c r="B48" s="1019"/>
      <c r="C48" s="1009"/>
      <c r="D48" s="509" t="s">
        <v>627</v>
      </c>
      <c r="E48" s="507"/>
      <c r="F48" s="507"/>
      <c r="G48" s="507"/>
      <c r="H48" s="508"/>
    </row>
    <row r="49" spans="2:8" ht="15" customHeight="1">
      <c r="B49" s="1019"/>
      <c r="C49" s="1020"/>
      <c r="D49" s="1002" t="s">
        <v>628</v>
      </c>
      <c r="E49" s="1003"/>
      <c r="F49" s="1003"/>
      <c r="G49" s="1003"/>
      <c r="H49" s="1004"/>
    </row>
    <row r="50" spans="2:8" ht="42.75">
      <c r="B50" s="490">
        <v>14</v>
      </c>
      <c r="C50" s="491" t="s">
        <v>629</v>
      </c>
      <c r="D50" s="1027" t="s">
        <v>299</v>
      </c>
      <c r="E50" s="994"/>
      <c r="F50" s="994"/>
      <c r="G50" s="994"/>
      <c r="H50" s="995"/>
    </row>
    <row r="51" spans="2:8" ht="71.25">
      <c r="B51" s="490">
        <v>15</v>
      </c>
      <c r="C51" s="491" t="s">
        <v>630</v>
      </c>
      <c r="D51" s="1028" t="str">
        <f>E104</f>
        <v>Yoxdur</v>
      </c>
      <c r="E51" s="1029"/>
      <c r="F51" s="1029"/>
      <c r="G51" s="1029"/>
      <c r="H51" s="1030"/>
    </row>
    <row r="52" spans="2:8" ht="60" customHeight="1">
      <c r="B52" s="490">
        <v>16</v>
      </c>
      <c r="C52" s="495" t="s">
        <v>631</v>
      </c>
      <c r="D52" s="1002" t="s">
        <v>632</v>
      </c>
      <c r="E52" s="1003"/>
      <c r="F52" s="1003"/>
      <c r="G52" s="1003"/>
      <c r="H52" s="1004"/>
    </row>
    <row r="53" spans="2:8" ht="30" customHeight="1">
      <c r="B53" s="1027">
        <v>17</v>
      </c>
      <c r="C53" s="495" t="s">
        <v>633</v>
      </c>
      <c r="D53" s="1006" t="s">
        <v>634</v>
      </c>
      <c r="E53" s="1006"/>
      <c r="F53" s="1006"/>
      <c r="G53" s="1006"/>
      <c r="H53" s="1007"/>
    </row>
    <row r="54" spans="2:8">
      <c r="B54" s="1027"/>
      <c r="C54" s="501"/>
      <c r="D54" s="1031"/>
      <c r="E54" s="1032"/>
      <c r="F54" s="1032"/>
      <c r="G54" s="1032"/>
      <c r="H54" s="1033"/>
    </row>
    <row r="55" spans="2:8" ht="42.75">
      <c r="B55" s="1027"/>
      <c r="C55" s="501" t="s">
        <v>635</v>
      </c>
      <c r="D55" s="1031"/>
      <c r="E55" s="1032"/>
      <c r="F55" s="1032"/>
      <c r="G55" s="1032"/>
      <c r="H55" s="1033"/>
    </row>
    <row r="56" spans="2:8" ht="42.75">
      <c r="B56" s="1027"/>
      <c r="C56" s="501" t="s">
        <v>636</v>
      </c>
      <c r="D56" s="1031"/>
      <c r="E56" s="1032"/>
      <c r="F56" s="1032"/>
      <c r="G56" s="1032"/>
      <c r="H56" s="1033"/>
    </row>
    <row r="57" spans="2:8" ht="32.25" customHeight="1">
      <c r="B57" s="1027"/>
      <c r="C57" s="496" t="s">
        <v>637</v>
      </c>
      <c r="D57" s="1021"/>
      <c r="E57" s="1022"/>
      <c r="F57" s="1022"/>
      <c r="G57" s="1022"/>
      <c r="H57" s="1023"/>
    </row>
    <row r="58" spans="2:8" ht="42.75">
      <c r="B58" s="490">
        <v>18</v>
      </c>
      <c r="C58" s="496" t="s">
        <v>638</v>
      </c>
      <c r="D58" s="1002" t="s">
        <v>816</v>
      </c>
      <c r="E58" s="1003"/>
      <c r="F58" s="1003"/>
      <c r="G58" s="1003"/>
      <c r="H58" s="1004"/>
    </row>
    <row r="59" spans="2:8" ht="22.5" customHeight="1">
      <c r="B59" s="1019">
        <v>19</v>
      </c>
      <c r="C59" s="993" t="s">
        <v>639</v>
      </c>
      <c r="D59" s="510" t="s">
        <v>640</v>
      </c>
      <c r="E59" s="507"/>
      <c r="F59" s="1003" t="str">
        <f>F103</f>
        <v>Daşınar əmlak-İstehlak malları</v>
      </c>
      <c r="G59" s="1003"/>
      <c r="H59" s="1004"/>
    </row>
    <row r="60" spans="2:8" ht="31.5" customHeight="1">
      <c r="B60" s="1019"/>
      <c r="C60" s="993"/>
      <c r="D60" s="1002" t="s">
        <v>641</v>
      </c>
      <c r="E60" s="1003"/>
      <c r="F60" s="1003"/>
      <c r="G60" s="1003"/>
      <c r="H60" s="1004"/>
    </row>
    <row r="61" spans="2:8">
      <c r="B61" s="990"/>
      <c r="C61" s="1008"/>
      <c r="D61" s="1024" t="s">
        <v>642</v>
      </c>
      <c r="E61" s="1025"/>
      <c r="F61" s="1025"/>
      <c r="G61" s="1025"/>
      <c r="H61" s="1026"/>
    </row>
    <row r="62" spans="2:8" ht="28.5" customHeight="1">
      <c r="B62" s="1019">
        <v>20</v>
      </c>
      <c r="C62" s="1002" t="s">
        <v>643</v>
      </c>
      <c r="D62" s="1005" t="s">
        <v>644</v>
      </c>
      <c r="E62" s="1006"/>
      <c r="F62" s="1006"/>
      <c r="G62" s="1006"/>
      <c r="H62" s="1007"/>
    </row>
    <row r="63" spans="2:8" ht="28.5" customHeight="1">
      <c r="B63" s="1019"/>
      <c r="C63" s="1002"/>
      <c r="D63" s="1010" t="s">
        <v>645</v>
      </c>
      <c r="E63" s="1014"/>
      <c r="F63" s="1014"/>
      <c r="G63" s="1014"/>
      <c r="H63" s="1015"/>
    </row>
    <row r="64" spans="2:8" ht="48.75" customHeight="1">
      <c r="B64" s="1019"/>
      <c r="C64" s="1002"/>
      <c r="D64" s="1010" t="s">
        <v>646</v>
      </c>
      <c r="E64" s="1014"/>
      <c r="F64" s="1014"/>
      <c r="G64" s="1014"/>
      <c r="H64" s="1015"/>
    </row>
    <row r="65" spans="2:8" ht="45" customHeight="1">
      <c r="B65" s="1019"/>
      <c r="C65" s="1002"/>
      <c r="D65" s="1010" t="s">
        <v>647</v>
      </c>
      <c r="E65" s="1014"/>
      <c r="F65" s="1014"/>
      <c r="G65" s="1014"/>
      <c r="H65" s="1015"/>
    </row>
    <row r="66" spans="2:8" ht="60" customHeight="1">
      <c r="B66" s="1019">
        <v>21</v>
      </c>
      <c r="C66" s="1002" t="s">
        <v>648</v>
      </c>
      <c r="D66" s="1005" t="s">
        <v>649</v>
      </c>
      <c r="E66" s="1006"/>
      <c r="F66" s="1006"/>
      <c r="G66" s="1006"/>
      <c r="H66" s="1007"/>
    </row>
    <row r="67" spans="2:8" ht="30.75" customHeight="1">
      <c r="B67" s="1019"/>
      <c r="C67" s="1002"/>
      <c r="D67" s="1010" t="s">
        <v>650</v>
      </c>
      <c r="E67" s="1014"/>
      <c r="F67" s="1014"/>
      <c r="G67" s="1014"/>
      <c r="H67" s="1015"/>
    </row>
    <row r="68" spans="2:8" ht="24" customHeight="1">
      <c r="B68" s="1019"/>
      <c r="C68" s="1002"/>
      <c r="D68" s="1010" t="s">
        <v>651</v>
      </c>
      <c r="E68" s="1014"/>
      <c r="F68" s="1014"/>
      <c r="G68" s="1014"/>
      <c r="H68" s="1015"/>
    </row>
    <row r="69" spans="2:8" ht="24" customHeight="1">
      <c r="B69" s="1019"/>
      <c r="C69" s="1002"/>
      <c r="D69" s="1011" t="s">
        <v>652</v>
      </c>
      <c r="E69" s="1012"/>
      <c r="F69" s="1012"/>
      <c r="G69" s="1012"/>
      <c r="H69" s="1013"/>
    </row>
    <row r="70" spans="2:8" ht="28.5" customHeight="1">
      <c r="B70" s="990">
        <v>22</v>
      </c>
      <c r="C70" s="993" t="s">
        <v>653</v>
      </c>
      <c r="D70" s="1011" t="s">
        <v>654</v>
      </c>
      <c r="E70" s="1012"/>
      <c r="F70" s="1012"/>
      <c r="G70" s="1012"/>
      <c r="H70" s="1013"/>
    </row>
    <row r="71" spans="2:8" ht="23.25" customHeight="1">
      <c r="B71" s="991"/>
      <c r="C71" s="993"/>
      <c r="D71" s="1002" t="s">
        <v>655</v>
      </c>
      <c r="E71" s="1003"/>
      <c r="F71" s="1003"/>
      <c r="G71" s="1003"/>
      <c r="H71" s="1004"/>
    </row>
    <row r="72" spans="2:8" ht="36" customHeight="1">
      <c r="B72" s="991"/>
      <c r="C72" s="993"/>
      <c r="D72" s="1016" t="s">
        <v>656</v>
      </c>
      <c r="E72" s="1017"/>
      <c r="F72" s="1017"/>
      <c r="G72" s="1017"/>
      <c r="H72" s="1018"/>
    </row>
    <row r="73" spans="2:8" ht="28.5" customHeight="1">
      <c r="B73" s="991"/>
      <c r="C73" s="993"/>
      <c r="D73" s="1016" t="s">
        <v>657</v>
      </c>
      <c r="E73" s="1017"/>
      <c r="F73" s="1017"/>
      <c r="G73" s="1017"/>
      <c r="H73" s="1018"/>
    </row>
    <row r="74" spans="2:8" ht="102.75" customHeight="1">
      <c r="B74" s="991"/>
      <c r="C74" s="993"/>
      <c r="D74" s="1002" t="s">
        <v>658</v>
      </c>
      <c r="E74" s="1003"/>
      <c r="F74" s="1003"/>
      <c r="G74" s="1003"/>
      <c r="H74" s="1004"/>
    </row>
    <row r="75" spans="2:8" ht="60" customHeight="1">
      <c r="B75" s="991"/>
      <c r="C75" s="993"/>
      <c r="D75" s="1002" t="s">
        <v>659</v>
      </c>
      <c r="E75" s="1003"/>
      <c r="F75" s="1003"/>
      <c r="G75" s="1003"/>
      <c r="H75" s="1004"/>
    </row>
    <row r="76" spans="2:8" ht="86.25" customHeight="1">
      <c r="B76" s="990">
        <v>23</v>
      </c>
      <c r="C76" s="993" t="s">
        <v>660</v>
      </c>
      <c r="D76" s="1005" t="s">
        <v>661</v>
      </c>
      <c r="E76" s="1006"/>
      <c r="F76" s="1006"/>
      <c r="G76" s="1006"/>
      <c r="H76" s="1007"/>
    </row>
    <row r="77" spans="2:8" ht="91.5" customHeight="1">
      <c r="B77" s="991"/>
      <c r="C77" s="993"/>
      <c r="D77" s="1010" t="s">
        <v>662</v>
      </c>
      <c r="E77" s="1014"/>
      <c r="F77" s="1014"/>
      <c r="G77" s="1014"/>
      <c r="H77" s="1015"/>
    </row>
    <row r="78" spans="2:8" ht="90.75" customHeight="1">
      <c r="B78" s="991"/>
      <c r="C78" s="993"/>
      <c r="D78" s="1010" t="s">
        <v>663</v>
      </c>
      <c r="E78" s="1014"/>
      <c r="F78" s="1014"/>
      <c r="G78" s="1014"/>
      <c r="H78" s="1015"/>
    </row>
    <row r="79" spans="2:8" ht="63" customHeight="1">
      <c r="B79" s="992"/>
      <c r="C79" s="993"/>
      <c r="D79" s="1011" t="s">
        <v>664</v>
      </c>
      <c r="E79" s="1012"/>
      <c r="F79" s="1012"/>
      <c r="G79" s="1012"/>
      <c r="H79" s="1013"/>
    </row>
    <row r="80" spans="2:8" ht="42" customHeight="1">
      <c r="B80" s="494">
        <v>24</v>
      </c>
      <c r="C80" s="491" t="s">
        <v>665</v>
      </c>
      <c r="D80" s="1005" t="s">
        <v>666</v>
      </c>
      <c r="E80" s="1006"/>
      <c r="F80" s="1006"/>
      <c r="G80" s="1006"/>
      <c r="H80" s="1007"/>
    </row>
    <row r="81" spans="2:8" s="511" customFormat="1" ht="45.75" customHeight="1">
      <c r="B81" s="1008">
        <v>25</v>
      </c>
      <c r="C81" s="1005" t="s">
        <v>667</v>
      </c>
      <c r="D81" s="1005" t="s">
        <v>969</v>
      </c>
      <c r="E81" s="1006"/>
      <c r="F81" s="1006"/>
      <c r="G81" s="1006"/>
      <c r="H81" s="1007"/>
    </row>
    <row r="82" spans="2:8" s="511" customFormat="1" ht="45.75" customHeight="1">
      <c r="B82" s="1009"/>
      <c r="C82" s="1010"/>
      <c r="D82" s="1011"/>
      <c r="E82" s="1012"/>
      <c r="F82" s="1012"/>
      <c r="G82" s="1012"/>
      <c r="H82" s="1013"/>
    </row>
    <row r="83" spans="2:8" ht="27" customHeight="1">
      <c r="B83" s="490">
        <v>26</v>
      </c>
      <c r="C83" s="491" t="s">
        <v>668</v>
      </c>
      <c r="D83" s="512" t="s">
        <v>669</v>
      </c>
      <c r="E83" s="513">
        <f>D110</f>
        <v>46133</v>
      </c>
      <c r="F83" s="514" t="s">
        <v>670</v>
      </c>
      <c r="G83" s="515"/>
      <c r="H83" s="516"/>
    </row>
    <row r="84" spans="2:8" ht="18" customHeight="1">
      <c r="B84" s="990">
        <v>27</v>
      </c>
      <c r="C84" s="1002" t="s">
        <v>671</v>
      </c>
      <c r="D84" s="1005" t="s">
        <v>672</v>
      </c>
      <c r="E84" s="1006"/>
      <c r="F84" s="1006"/>
      <c r="G84" s="1006"/>
      <c r="H84" s="1007"/>
    </row>
    <row r="85" spans="2:8">
      <c r="B85" s="991"/>
      <c r="C85" s="1002"/>
      <c r="D85" s="1010" t="s">
        <v>673</v>
      </c>
      <c r="E85" s="1014"/>
      <c r="F85" s="1014"/>
      <c r="G85" s="1014"/>
      <c r="H85" s="1015"/>
    </row>
    <row r="86" spans="2:8" ht="19.5" customHeight="1">
      <c r="B86" s="991"/>
      <c r="C86" s="1002"/>
      <c r="D86" s="517" t="s">
        <v>674</v>
      </c>
      <c r="E86" s="518"/>
      <c r="F86" s="489"/>
      <c r="G86" s="519"/>
      <c r="H86" s="520"/>
    </row>
    <row r="87" spans="2:8" ht="45" customHeight="1">
      <c r="B87" s="991"/>
      <c r="C87" s="1002"/>
      <c r="D87" s="1011" t="s">
        <v>948</v>
      </c>
      <c r="E87" s="1012"/>
      <c r="F87" s="1012"/>
      <c r="G87" s="1012"/>
      <c r="H87" s="1013"/>
    </row>
    <row r="88" spans="2:8" ht="39.950000000000003" customHeight="1">
      <c r="B88" s="991"/>
      <c r="C88" s="1002"/>
      <c r="D88" s="1002" t="s">
        <v>675</v>
      </c>
      <c r="E88" s="1003"/>
      <c r="F88" s="1003"/>
      <c r="G88" s="1003"/>
      <c r="H88" s="1004"/>
    </row>
    <row r="89" spans="2:8" ht="39.950000000000003" customHeight="1">
      <c r="B89" s="991"/>
      <c r="C89" s="993"/>
      <c r="D89" s="1002" t="s">
        <v>676</v>
      </c>
      <c r="E89" s="1003"/>
      <c r="F89" s="1003"/>
      <c r="G89" s="1003"/>
      <c r="H89" s="1004"/>
    </row>
    <row r="90" spans="2:8" ht="39.950000000000003" customHeight="1">
      <c r="B90" s="992"/>
      <c r="C90" s="993"/>
      <c r="D90" s="1002" t="s">
        <v>677</v>
      </c>
      <c r="E90" s="1003"/>
      <c r="F90" s="1003"/>
      <c r="G90" s="1003"/>
      <c r="H90" s="1004"/>
    </row>
    <row r="91" spans="2:8">
      <c r="B91" s="990">
        <v>28</v>
      </c>
      <c r="C91" s="993" t="s">
        <v>678</v>
      </c>
      <c r="D91" s="1002">
        <v>966</v>
      </c>
      <c r="E91" s="1003"/>
      <c r="F91" s="1003"/>
      <c r="G91" s="1003"/>
      <c r="H91" s="1004"/>
    </row>
    <row r="92" spans="2:8" ht="31.5" customHeight="1">
      <c r="B92" s="992"/>
      <c r="C92" s="993"/>
      <c r="D92" s="1002" t="s">
        <v>679</v>
      </c>
      <c r="E92" s="1003"/>
      <c r="F92" s="1003"/>
      <c r="G92" s="1003"/>
      <c r="H92" s="1004"/>
    </row>
    <row r="93" spans="2:8" ht="20.100000000000001" customHeight="1">
      <c r="B93" s="990">
        <v>29</v>
      </c>
      <c r="C93" s="993" t="s">
        <v>680</v>
      </c>
      <c r="D93" s="521" t="s">
        <v>681</v>
      </c>
      <c r="E93" s="994" t="str">
        <f>Data!C23</f>
        <v>Yunusov Vüqar Fikrət oğlu</v>
      </c>
      <c r="F93" s="994"/>
      <c r="G93" s="994"/>
      <c r="H93" s="995"/>
    </row>
    <row r="94" spans="2:8" ht="20.100000000000001" customHeight="1">
      <c r="B94" s="991"/>
      <c r="C94" s="993"/>
      <c r="D94" s="522" t="s">
        <v>682</v>
      </c>
      <c r="E94" s="996"/>
      <c r="F94" s="997"/>
      <c r="G94" s="997"/>
      <c r="H94" s="998"/>
    </row>
    <row r="95" spans="2:8" ht="20.100000000000001" customHeight="1">
      <c r="B95" s="992"/>
      <c r="C95" s="993"/>
      <c r="D95" s="491" t="s">
        <v>683</v>
      </c>
      <c r="E95" s="999">
        <f>Data!E5</f>
        <v>45768</v>
      </c>
      <c r="F95" s="1000"/>
      <c r="G95" s="1000"/>
      <c r="H95" s="1001"/>
    </row>
    <row r="100" spans="3:8" hidden="1"/>
    <row r="101" spans="3:8" hidden="1">
      <c r="C101" s="524" t="s">
        <v>684</v>
      </c>
      <c r="D101" s="525">
        <f>Data!C76</f>
        <v>0</v>
      </c>
      <c r="E101" s="526" t="s">
        <v>87</v>
      </c>
      <c r="F101" s="526"/>
      <c r="G101" s="526"/>
      <c r="H101" s="526"/>
    </row>
    <row r="102" spans="3:8" hidden="1">
      <c r="C102" s="524" t="str">
        <f>C101&amp;D101&amp;E101</f>
        <v>● illik faiz dərəcəsi - 0%</v>
      </c>
      <c r="D102" s="526"/>
      <c r="E102" s="526"/>
      <c r="F102" s="526"/>
      <c r="G102" s="526"/>
      <c r="H102" s="526"/>
    </row>
    <row r="103" spans="3:8" hidden="1">
      <c r="C103" s="526" t="str">
        <f>Data!C90</f>
        <v>Daşınar əmlak-İstehlak malları</v>
      </c>
      <c r="D103" s="525" t="str">
        <f>IF(C103="Yoxdur","0",IF(C103="Zaminlik","1",IF(C103="Daşınar əmlak-İstehlak malları","2",)))</f>
        <v>2</v>
      </c>
      <c r="E103" s="526" t="str">
        <f>IF(D103="1","Yoxdur",IF(D103="2","Var",))</f>
        <v>Var</v>
      </c>
      <c r="F103" s="526" t="str">
        <f>IF(D103="0","Yoxdur",IF(D103="1","Zaminlik",IF(D103="2","Daşınar əmlak-İstehlak malları",)))</f>
        <v>Daşınar əmlak-İstehlak malları</v>
      </c>
      <c r="G103" s="526"/>
      <c r="H103" s="526"/>
    </row>
    <row r="104" spans="3:8" hidden="1">
      <c r="C104" s="527" t="s">
        <v>685</v>
      </c>
      <c r="D104" s="525">
        <v>0</v>
      </c>
      <c r="E104" s="526" t="str">
        <f>IF(D104=0,"Yoxdur",IF(D104&gt;0,"Həyat sığortası",))</f>
        <v>Yoxdur</v>
      </c>
      <c r="F104" s="526"/>
      <c r="G104" s="526"/>
      <c r="H104" s="526"/>
    </row>
    <row r="105" spans="3:8" hidden="1">
      <c r="C105" s="528" t="s">
        <v>686</v>
      </c>
      <c r="D105" s="526"/>
      <c r="E105" s="526"/>
      <c r="F105" s="526"/>
      <c r="G105" s="526"/>
      <c r="H105" s="526"/>
    </row>
    <row r="106" spans="3:8" hidden="1">
      <c r="C106" s="529" t="str">
        <f>C105&amp;F103</f>
        <v>● Təminatın növü  -  Daşınar əmlak-İstehlak malları</v>
      </c>
      <c r="D106" s="526"/>
      <c r="E106" s="526"/>
      <c r="F106" s="526"/>
      <c r="G106" s="526"/>
      <c r="H106" s="526"/>
    </row>
    <row r="107" spans="3:8" hidden="1">
      <c r="C107" s="530">
        <f>Data!C74</f>
        <v>1272</v>
      </c>
      <c r="D107" s="526" t="str">
        <f>IF(C107&lt;Data!D136,"0",IF(C107&lt;=(Data!D136*Data!D134),"2",IF(C107&gt;=(Data!D136*Data!D134),"3")))</f>
        <v>2</v>
      </c>
      <c r="E107" s="526">
        <f>IF(D107=0,"Qara",)</f>
        <v>0</v>
      </c>
      <c r="F107" s="526" t="str">
        <f>D107</f>
        <v>2</v>
      </c>
      <c r="G107" s="526"/>
      <c r="H107" s="526"/>
    </row>
    <row r="108" spans="3:8" hidden="1">
      <c r="C108" s="524"/>
      <c r="D108" s="526"/>
      <c r="E108" s="526"/>
      <c r="F108" s="526"/>
      <c r="G108" s="526"/>
      <c r="H108" s="526"/>
    </row>
    <row r="109" spans="3:8" hidden="1">
      <c r="C109" s="531"/>
      <c r="D109" s="525">
        <f>KR!F132</f>
        <v>43.5</v>
      </c>
      <c r="E109" s="526"/>
      <c r="F109" s="526"/>
      <c r="G109" s="526"/>
      <c r="H109" s="526"/>
    </row>
    <row r="110" spans="3:8" hidden="1">
      <c r="D110" s="532">
        <f>IF(Data!C78&lt;=6,Лист2!M21,IF(Data!C78&lt;=12,Лист2!M22,IF(Data!C78&lt;=18,Лист2!M23,IF(Data!C78&lt;=24,Лист2!M24,0))))</f>
        <v>46133</v>
      </c>
    </row>
    <row r="111" spans="3:8" hidden="1"/>
  </sheetData>
  <mergeCells count="120">
    <mergeCell ref="B10:B15"/>
    <mergeCell ref="C10:C15"/>
    <mergeCell ref="D10:H10"/>
    <mergeCell ref="D11:H11"/>
    <mergeCell ref="D12:H12"/>
    <mergeCell ref="D13:H13"/>
    <mergeCell ref="D14:H14"/>
    <mergeCell ref="D15:H15"/>
    <mergeCell ref="B1:H3"/>
    <mergeCell ref="D4:H4"/>
    <mergeCell ref="D5:H5"/>
    <mergeCell ref="D6:H6"/>
    <mergeCell ref="D7:H7"/>
    <mergeCell ref="B8:B9"/>
    <mergeCell ref="C8:C9"/>
    <mergeCell ref="D8:D9"/>
    <mergeCell ref="E8:E9"/>
    <mergeCell ref="F8:H9"/>
    <mergeCell ref="B16:B24"/>
    <mergeCell ref="C16:C17"/>
    <mergeCell ref="D16:H17"/>
    <mergeCell ref="D19:H19"/>
    <mergeCell ref="D20:H20"/>
    <mergeCell ref="D21:H21"/>
    <mergeCell ref="D22:H22"/>
    <mergeCell ref="D23:H23"/>
    <mergeCell ref="D24:H24"/>
    <mergeCell ref="E18:H18"/>
    <mergeCell ref="D26:H26"/>
    <mergeCell ref="B29:B31"/>
    <mergeCell ref="C29:C30"/>
    <mergeCell ref="D29:E30"/>
    <mergeCell ref="F29:F30"/>
    <mergeCell ref="G29:H30"/>
    <mergeCell ref="D31:H31"/>
    <mergeCell ref="B25:B28"/>
    <mergeCell ref="C25:C28"/>
    <mergeCell ref="D28:H28"/>
    <mergeCell ref="D32:H32"/>
    <mergeCell ref="B33:B37"/>
    <mergeCell ref="C33:C37"/>
    <mergeCell ref="D33:H33"/>
    <mergeCell ref="E34:F34"/>
    <mergeCell ref="E35:F35"/>
    <mergeCell ref="D36:F36"/>
    <mergeCell ref="D37:H37"/>
    <mergeCell ref="B38:B41"/>
    <mergeCell ref="C38:C41"/>
    <mergeCell ref="D38:H39"/>
    <mergeCell ref="D40:H41"/>
    <mergeCell ref="B42:B49"/>
    <mergeCell ref="C42:C49"/>
    <mergeCell ref="D42:H42"/>
    <mergeCell ref="D43:H43"/>
    <mergeCell ref="D44:H44"/>
    <mergeCell ref="D45:H45"/>
    <mergeCell ref="D57:H57"/>
    <mergeCell ref="D58:H58"/>
    <mergeCell ref="B59:B61"/>
    <mergeCell ref="C59:C61"/>
    <mergeCell ref="F59:H59"/>
    <mergeCell ref="D60:H60"/>
    <mergeCell ref="D61:H61"/>
    <mergeCell ref="D46:H46"/>
    <mergeCell ref="D49:H49"/>
    <mergeCell ref="D50:H50"/>
    <mergeCell ref="D51:H51"/>
    <mergeCell ref="D52:H52"/>
    <mergeCell ref="B53:B57"/>
    <mergeCell ref="D53:H53"/>
    <mergeCell ref="D54:H54"/>
    <mergeCell ref="D55:H55"/>
    <mergeCell ref="D56:H56"/>
    <mergeCell ref="B66:B69"/>
    <mergeCell ref="C66:C69"/>
    <mergeCell ref="D66:H66"/>
    <mergeCell ref="D67:H67"/>
    <mergeCell ref="D68:H68"/>
    <mergeCell ref="D69:H69"/>
    <mergeCell ref="B62:B65"/>
    <mergeCell ref="C62:C65"/>
    <mergeCell ref="D62:H62"/>
    <mergeCell ref="D63:H63"/>
    <mergeCell ref="D64:H64"/>
    <mergeCell ref="D65:H65"/>
    <mergeCell ref="B76:B79"/>
    <mergeCell ref="C76:C79"/>
    <mergeCell ref="D76:H76"/>
    <mergeCell ref="D77:H77"/>
    <mergeCell ref="D78:H78"/>
    <mergeCell ref="D79:H79"/>
    <mergeCell ref="B70:B75"/>
    <mergeCell ref="C70:C75"/>
    <mergeCell ref="D70:H70"/>
    <mergeCell ref="D71:H71"/>
    <mergeCell ref="D72:H72"/>
    <mergeCell ref="D73:H73"/>
    <mergeCell ref="D74:H74"/>
    <mergeCell ref="D75:H75"/>
    <mergeCell ref="D80:H80"/>
    <mergeCell ref="B81:B82"/>
    <mergeCell ref="C81:C82"/>
    <mergeCell ref="D81:H82"/>
    <mergeCell ref="B84:B90"/>
    <mergeCell ref="C84:C90"/>
    <mergeCell ref="D84:H84"/>
    <mergeCell ref="D85:H85"/>
    <mergeCell ref="D87:H87"/>
    <mergeCell ref="D88:H88"/>
    <mergeCell ref="B93:B95"/>
    <mergeCell ref="C93:C95"/>
    <mergeCell ref="E93:H93"/>
    <mergeCell ref="E94:H94"/>
    <mergeCell ref="E95:H95"/>
    <mergeCell ref="D89:H89"/>
    <mergeCell ref="D90:H90"/>
    <mergeCell ref="B91:B92"/>
    <mergeCell ref="C91:C92"/>
    <mergeCell ref="D91:H91"/>
    <mergeCell ref="D92:H92"/>
  </mergeCells>
  <conditionalFormatting sqref="B1:H3">
    <cfRule type="expression" dxfId="16" priority="1" stopIfTrue="1">
      <formula>F107="3"</formula>
    </cfRule>
    <cfRule type="expression" dxfId="15" priority="2" stopIfTrue="1">
      <formula>F107="2"</formula>
    </cfRule>
    <cfRule type="expression" dxfId="14" priority="3" stopIfTrue="1">
      <formula>F107="0"</formula>
    </cfRule>
  </conditionalFormatting>
  <conditionalFormatting sqref="C5:C25">
    <cfRule type="expression" dxfId="13" priority="13" stopIfTrue="1">
      <formula>D108="0"</formula>
    </cfRule>
    <cfRule type="expression" dxfId="12" priority="14" stopIfTrue="1">
      <formula>D108="0"</formula>
    </cfRule>
  </conditionalFormatting>
  <conditionalFormatting sqref="C29:C78">
    <cfRule type="expression" dxfId="11" priority="7" stopIfTrue="1">
      <formula>D131="0"</formula>
    </cfRule>
    <cfRule type="expression" dxfId="10" priority="8" stopIfTrue="1">
      <formula>D131="0"</formula>
    </cfRule>
  </conditionalFormatting>
  <conditionalFormatting sqref="C79:C86">
    <cfRule type="expression" dxfId="9" priority="11" stopIfTrue="1">
      <formula>D179="0"</formula>
    </cfRule>
    <cfRule type="expression" dxfId="8" priority="12" stopIfTrue="1">
      <formula>D179="0"</formula>
    </cfRule>
  </conditionalFormatting>
  <conditionalFormatting sqref="C87">
    <cfRule type="expression" dxfId="7" priority="9" stopIfTrue="1">
      <formula>D186="0"</formula>
    </cfRule>
    <cfRule type="expression" dxfId="6" priority="10" stopIfTrue="1">
      <formula>D186="0"</formula>
    </cfRule>
  </conditionalFormatting>
  <conditionalFormatting sqref="C88:C95">
    <cfRule type="expression" dxfId="5" priority="4" stopIfTrue="1">
      <formula>D186="0"</formula>
    </cfRule>
    <cfRule type="expression" dxfId="4" priority="5" stopIfTrue="1">
      <formula>D186="0"</formula>
    </cfRule>
  </conditionalFormatting>
  <conditionalFormatting sqref="E103">
    <cfRule type="timePeriod" dxfId="3" priority="6" stopIfTrue="1" timePeriod="yesterday">
      <formula>FLOOR(E103,1)=TODAY()-1</formula>
    </cfRule>
  </conditionalFormatting>
  <pageMargins left="0.11811023622047245" right="0.11811023622047245" top="0.15748031496062992" bottom="0.15748031496062992" header="0.31496062992125984" footer="0.31496062992125984"/>
  <pageSetup paperSize="9" scale="65" orientation="portrait" r:id="rId1"/>
  <rowBreaks count="2" manualBreakCount="2">
    <brk id="41" max="16383" man="1"/>
    <brk id="72" max="16383"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ayfa3">
    <tabColor indexed="16"/>
  </sheetPr>
  <dimension ref="A1:BD68"/>
  <sheetViews>
    <sheetView view="pageBreakPreview" topLeftCell="A28" zoomScaleNormal="100" zoomScaleSheetLayoutView="100" workbookViewId="0">
      <selection activeCell="Q37" sqref="Q37"/>
    </sheetView>
  </sheetViews>
  <sheetFormatPr defaultColWidth="1.7109375" defaultRowHeight="12.75"/>
  <cols>
    <col min="1" max="1" width="1.7109375" style="326"/>
    <col min="2" max="2" width="3.28515625" style="326" bestFit="1" customWidth="1"/>
    <col min="3" max="21" width="1.7109375" style="326"/>
    <col min="22" max="22" width="1.7109375" style="326" customWidth="1"/>
    <col min="23" max="23" width="2" style="326" bestFit="1" customWidth="1"/>
    <col min="24" max="27" width="1.7109375" style="326"/>
    <col min="28" max="28" width="4.42578125" style="326" customWidth="1"/>
    <col min="29" max="37" width="1.7109375" style="326"/>
    <col min="38" max="38" width="7.85546875" style="326" bestFit="1" customWidth="1"/>
    <col min="39" max="16384" width="1.7109375" style="326"/>
  </cols>
  <sheetData>
    <row r="1" spans="2:55" ht="4.9000000000000004" customHeight="1">
      <c r="T1" s="1080"/>
      <c r="U1" s="1080"/>
      <c r="V1" s="1080"/>
      <c r="W1" s="1080"/>
      <c r="X1" s="1080"/>
      <c r="Y1" s="1080"/>
      <c r="Z1" s="1080"/>
      <c r="AA1" s="1080"/>
      <c r="AB1" s="1080"/>
      <c r="AC1" s="1080"/>
      <c r="AD1" s="1080"/>
      <c r="AE1" s="1080"/>
      <c r="AF1" s="1080"/>
      <c r="AG1" s="1080"/>
      <c r="AH1" s="1080"/>
      <c r="AI1" s="1080"/>
      <c r="AJ1" s="1080"/>
      <c r="AK1" s="1080"/>
      <c r="AL1" s="1080"/>
      <c r="AM1" s="1080"/>
    </row>
    <row r="2" spans="2:55" ht="15" customHeight="1">
      <c r="T2" s="1080" t="s">
        <v>371</v>
      </c>
      <c r="U2" s="1080"/>
      <c r="V2" s="1080"/>
      <c r="W2" s="1080"/>
      <c r="X2" s="1080"/>
      <c r="Y2" s="1080"/>
      <c r="Z2" s="1080"/>
      <c r="AA2" s="1080"/>
      <c r="AB2" s="1080"/>
      <c r="AC2" s="1080"/>
      <c r="AD2" s="1080"/>
      <c r="AE2" s="1080"/>
      <c r="AF2" s="1080"/>
      <c r="AG2" s="1080"/>
      <c r="AH2" s="1080"/>
      <c r="AI2" s="1080"/>
      <c r="AJ2" s="1080"/>
      <c r="AK2" s="1080"/>
      <c r="AL2" s="1080"/>
    </row>
    <row r="3" spans="2:55" ht="13.9" customHeight="1">
      <c r="T3" s="1087" t="s">
        <v>365</v>
      </c>
      <c r="U3" s="1087"/>
      <c r="V3" s="1087"/>
      <c r="W3" s="1087"/>
      <c r="X3" s="1087"/>
      <c r="Y3" s="1087"/>
      <c r="Z3" s="1087"/>
      <c r="AA3" s="1087"/>
      <c r="AB3" s="1087"/>
      <c r="AC3" s="1087"/>
      <c r="AD3" s="1087"/>
      <c r="AE3" s="1087"/>
      <c r="AF3" s="1087"/>
      <c r="AG3" s="1087"/>
      <c r="AH3" s="1087"/>
      <c r="AI3" s="1087"/>
      <c r="AJ3" s="1087"/>
      <c r="AK3" s="1087"/>
      <c r="AL3" s="1087"/>
    </row>
    <row r="4" spans="2:55" ht="15" customHeight="1">
      <c r="B4" s="1091" t="s">
        <v>439</v>
      </c>
      <c r="C4" s="1092"/>
      <c r="D4" s="1092"/>
      <c r="E4" s="1092"/>
      <c r="F4" s="1092"/>
      <c r="G4" s="1092"/>
      <c r="H4" s="1092"/>
      <c r="I4" s="1092"/>
      <c r="J4" s="1092"/>
      <c r="K4" s="1092"/>
      <c r="L4" s="1092"/>
      <c r="M4" s="1092"/>
      <c r="N4" s="1092"/>
      <c r="O4" s="1092"/>
      <c r="P4" s="1092"/>
      <c r="Q4" s="1092"/>
      <c r="R4" s="1092"/>
      <c r="S4" s="1092"/>
    </row>
    <row r="5" spans="2:55" ht="7.15" customHeight="1"/>
    <row r="6" spans="2:55" ht="15" customHeight="1">
      <c r="B6" s="325" t="s">
        <v>440</v>
      </c>
      <c r="J6" s="331"/>
      <c r="K6" s="331"/>
      <c r="L6" s="331"/>
      <c r="M6" s="331"/>
      <c r="N6" s="331"/>
      <c r="O6" s="331"/>
      <c r="P6" s="331"/>
      <c r="Q6" s="331"/>
      <c r="R6" s="331"/>
      <c r="S6" s="331"/>
      <c r="T6" s="331"/>
      <c r="U6" s="331"/>
      <c r="V6" s="331"/>
      <c r="W6" s="337" t="str">
        <f>Data!C23</f>
        <v>Yunusov Vüqar Fikrət oğlu</v>
      </c>
      <c r="X6" s="331"/>
      <c r="Y6" s="331"/>
      <c r="Z6" s="331"/>
      <c r="AA6" s="331"/>
      <c r="AB6" s="331"/>
      <c r="AC6" s="331"/>
      <c r="AD6" s="331"/>
      <c r="AE6" s="331"/>
      <c r="AF6" s="331"/>
      <c r="AG6" s="331"/>
      <c r="AH6" s="331"/>
      <c r="AI6" s="331"/>
      <c r="AJ6" s="331"/>
      <c r="AK6" s="331"/>
      <c r="AL6" s="331"/>
      <c r="AM6" s="331"/>
      <c r="AN6" s="331"/>
      <c r="AO6" s="331"/>
      <c r="AP6" s="331"/>
      <c r="AQ6" s="331"/>
      <c r="AR6" s="331"/>
      <c r="AS6" s="331"/>
      <c r="AT6" s="331"/>
      <c r="AU6" s="331"/>
      <c r="AV6" s="331"/>
      <c r="AW6" s="331"/>
      <c r="AX6" s="331"/>
      <c r="AY6" s="331"/>
      <c r="AZ6" s="331"/>
      <c r="BA6" s="331"/>
      <c r="BB6" s="331"/>
      <c r="BC6" s="331"/>
    </row>
    <row r="7" spans="2:55" ht="15" customHeight="1">
      <c r="B7" s="325" t="s">
        <v>441</v>
      </c>
      <c r="Q7" s="332"/>
      <c r="R7" s="332"/>
      <c r="S7" s="332"/>
      <c r="T7" s="332"/>
      <c r="U7" s="332"/>
      <c r="V7" s="1076" t="str">
        <f>Data!C21</f>
        <v>AA5512135</v>
      </c>
      <c r="W7" s="1076"/>
      <c r="X7" s="1076"/>
      <c r="Y7" s="1076"/>
      <c r="Z7" s="1076"/>
      <c r="AA7" s="1076"/>
      <c r="AB7" s="1076"/>
      <c r="AC7" s="1076"/>
      <c r="AD7" s="1076"/>
      <c r="AE7" s="1076"/>
      <c r="AF7" s="1076"/>
      <c r="AG7" s="1076"/>
      <c r="AH7" s="1076"/>
      <c r="AI7" s="1076"/>
      <c r="AJ7" s="1076"/>
      <c r="AK7" s="1076"/>
      <c r="AL7" s="1076"/>
      <c r="AM7" s="1076"/>
      <c r="AN7" s="1076"/>
      <c r="AO7" s="1076"/>
      <c r="AP7" s="1076"/>
      <c r="AQ7" s="1076"/>
      <c r="AR7" s="1076"/>
      <c r="AS7" s="1076"/>
      <c r="AT7" s="1076"/>
      <c r="AU7" s="1076"/>
      <c r="AV7" s="1076"/>
      <c r="AW7" s="1076"/>
      <c r="AX7" s="1076"/>
      <c r="AY7" s="1076"/>
      <c r="AZ7" s="1076"/>
      <c r="BA7" s="1076"/>
      <c r="BB7" s="1076"/>
      <c r="BC7" s="1076"/>
    </row>
    <row r="8" spans="2:55" ht="15" customHeight="1">
      <c r="B8" s="325" t="s">
        <v>442</v>
      </c>
      <c r="T8" s="332"/>
      <c r="U8" s="332"/>
      <c r="V8" s="332"/>
      <c r="W8" s="1085" t="str">
        <f>Data!E21</f>
        <v>29.10.2023</v>
      </c>
      <c r="X8" s="1086"/>
      <c r="Y8" s="1086"/>
      <c r="Z8" s="1086"/>
      <c r="AA8" s="1086"/>
      <c r="AB8" s="1086"/>
      <c r="AC8" s="415" t="s">
        <v>182</v>
      </c>
      <c r="AD8" s="332"/>
      <c r="AE8" s="332"/>
      <c r="AF8" s="332"/>
      <c r="AG8" s="332"/>
      <c r="AH8" s="332"/>
      <c r="AI8" s="332"/>
      <c r="AJ8" s="332"/>
      <c r="AK8" s="332"/>
      <c r="AL8" s="332"/>
      <c r="AM8" s="332"/>
      <c r="AN8" s="332"/>
      <c r="AO8" s="332"/>
      <c r="AP8" s="332"/>
      <c r="AQ8" s="332"/>
      <c r="AR8" s="332"/>
      <c r="AS8" s="332"/>
      <c r="AT8" s="332"/>
      <c r="AU8" s="332"/>
      <c r="AV8" s="332"/>
      <c r="AW8" s="332"/>
      <c r="AX8" s="332"/>
      <c r="AY8" s="332"/>
      <c r="AZ8" s="332"/>
      <c r="BA8" s="332"/>
      <c r="BB8" s="332"/>
      <c r="BC8" s="332"/>
    </row>
    <row r="9" spans="2:55" ht="15" customHeight="1">
      <c r="B9" s="325" t="s">
        <v>443</v>
      </c>
      <c r="M9" s="331"/>
      <c r="N9" s="331"/>
      <c r="O9" s="331"/>
      <c r="P9" s="331"/>
      <c r="Q9" s="331"/>
      <c r="R9" s="331"/>
      <c r="S9" s="331"/>
      <c r="T9" s="331"/>
      <c r="U9" s="331"/>
      <c r="V9" s="331"/>
      <c r="W9" s="337" t="str">
        <f>Data!C27</f>
        <v>Asan4</v>
      </c>
      <c r="X9" s="331"/>
      <c r="Y9" s="331"/>
      <c r="Z9" s="332"/>
      <c r="AA9" s="331"/>
      <c r="AB9" s="331"/>
      <c r="AC9" s="331"/>
      <c r="AD9" s="331"/>
      <c r="AE9" s="331"/>
      <c r="AF9" s="331"/>
      <c r="AG9" s="331"/>
      <c r="AH9" s="331"/>
      <c r="AI9" s="331"/>
      <c r="AJ9" s="331"/>
      <c r="AK9" s="331"/>
      <c r="AL9" s="332"/>
      <c r="AM9" s="332"/>
      <c r="AN9" s="332"/>
      <c r="AO9" s="331"/>
      <c r="AP9" s="331"/>
      <c r="AQ9" s="331"/>
      <c r="AR9" s="331"/>
      <c r="AS9" s="331"/>
      <c r="AT9" s="331"/>
      <c r="AU9" s="331"/>
      <c r="AV9" s="331"/>
      <c r="AW9" s="331"/>
      <c r="AX9" s="331"/>
      <c r="AY9" s="331"/>
      <c r="AZ9" s="331"/>
      <c r="BA9" s="331"/>
      <c r="BB9" s="331"/>
      <c r="BC9" s="331"/>
    </row>
    <row r="10" spans="2:55" ht="15" customHeight="1">
      <c r="B10" s="325" t="s">
        <v>444</v>
      </c>
      <c r="C10" s="325"/>
      <c r="D10" s="325"/>
      <c r="E10" s="325"/>
      <c r="F10" s="325"/>
      <c r="G10" s="325"/>
      <c r="H10" s="325"/>
      <c r="I10" s="1090" t="str">
        <f>Data!C35</f>
        <v>Azərbaycan</v>
      </c>
      <c r="J10" s="1090"/>
      <c r="K10" s="1090"/>
      <c r="L10" s="1090"/>
      <c r="M10" s="1090"/>
      <c r="N10" s="1090"/>
      <c r="O10" s="1090"/>
      <c r="P10" s="1090"/>
      <c r="Q10" s="1090"/>
      <c r="R10" s="1090"/>
      <c r="S10" s="325" t="s">
        <v>445</v>
      </c>
      <c r="T10" s="325"/>
      <c r="U10" s="325"/>
      <c r="V10" s="325"/>
      <c r="W10" s="325"/>
      <c r="X10" s="325"/>
      <c r="Y10" s="1088" t="str">
        <f>Data!D35</f>
        <v>Bakı</v>
      </c>
      <c r="Z10" s="1088"/>
      <c r="AA10" s="1088"/>
      <c r="AB10" s="1088"/>
      <c r="AC10" s="1088"/>
      <c r="AD10" s="1088"/>
      <c r="AE10" s="1088"/>
      <c r="AF10" s="1088"/>
      <c r="AG10" s="1088"/>
      <c r="AH10" s="1088"/>
      <c r="AI10" s="1088"/>
      <c r="AJ10" s="1088"/>
      <c r="AK10" s="1088"/>
      <c r="AL10" s="432" t="s">
        <v>169</v>
      </c>
      <c r="AM10" s="431"/>
      <c r="AN10" s="431"/>
      <c r="AO10" s="1076" t="str">
        <f>Data!C37</f>
        <v>Azərbaycanlı</v>
      </c>
      <c r="AP10" s="1076"/>
      <c r="AQ10" s="1076"/>
      <c r="AR10" s="1076"/>
      <c r="AS10" s="1076"/>
      <c r="AT10" s="1076"/>
      <c r="AU10" s="1076"/>
      <c r="AV10" s="1076"/>
      <c r="AW10" s="1076"/>
      <c r="AX10" s="1076"/>
      <c r="AY10" s="1076"/>
      <c r="AZ10" s="1076"/>
      <c r="BA10" s="1076"/>
      <c r="BB10" s="1076"/>
      <c r="BC10" s="1076"/>
    </row>
    <row r="11" spans="2:55" ht="15" customHeight="1">
      <c r="B11" s="325" t="s">
        <v>446</v>
      </c>
      <c r="N11" s="1089" t="str">
        <f>Data!C29</f>
        <v>NEFTÇALA RAYONU, XOL QARABUCAQ Ə/D, DÖRDLƏR KƏNDİ</v>
      </c>
      <c r="O11" s="1089"/>
      <c r="P11" s="1089"/>
      <c r="Q11" s="1089"/>
      <c r="R11" s="1089"/>
      <c r="S11" s="1089"/>
      <c r="T11" s="1089"/>
      <c r="U11" s="1089"/>
      <c r="V11" s="1089"/>
      <c r="W11" s="1089"/>
      <c r="X11" s="1089"/>
      <c r="Y11" s="1089"/>
      <c r="Z11" s="1089"/>
      <c r="AA11" s="1089"/>
      <c r="AB11" s="1089"/>
      <c r="AC11" s="1089"/>
      <c r="AD11" s="1089"/>
      <c r="AE11" s="1089"/>
      <c r="AF11" s="1089"/>
      <c r="AG11" s="1089"/>
      <c r="AH11" s="1089"/>
      <c r="AI11" s="1089"/>
      <c r="AJ11" s="1089"/>
      <c r="AK11" s="1089"/>
      <c r="AL11" s="1089"/>
      <c r="AM11" s="1089"/>
      <c r="AN11" s="1089"/>
      <c r="AO11" s="1089"/>
      <c r="AP11" s="1089"/>
      <c r="AQ11" s="1089"/>
      <c r="AR11" s="1089"/>
      <c r="AS11" s="1089"/>
      <c r="AT11" s="1089"/>
      <c r="AU11" s="1089"/>
      <c r="AV11" s="1089"/>
      <c r="AW11" s="1089"/>
      <c r="AX11" s="1089"/>
      <c r="AY11" s="1089"/>
      <c r="AZ11" s="1089"/>
      <c r="BA11" s="1089"/>
      <c r="BB11" s="1089"/>
      <c r="BC11" s="1089"/>
    </row>
    <row r="12" spans="2:55" ht="15" customHeight="1">
      <c r="B12" s="325" t="s">
        <v>447</v>
      </c>
      <c r="N12" s="1093" t="str">
        <f>Data!C31</f>
        <v>Sabunçu ray., Kürdəxanı qəs,Elton İsgəndərov küç,23-cü məhəllə, (113 nömrəli məktəb tərəf)</v>
      </c>
      <c r="O12" s="1093"/>
      <c r="P12" s="1093"/>
      <c r="Q12" s="1093"/>
      <c r="R12" s="1093"/>
      <c r="S12" s="1093"/>
      <c r="T12" s="1093"/>
      <c r="U12" s="1093"/>
      <c r="V12" s="1093"/>
      <c r="W12" s="1093"/>
      <c r="X12" s="1093"/>
      <c r="Y12" s="1093"/>
      <c r="Z12" s="1093"/>
      <c r="AA12" s="1093"/>
      <c r="AB12" s="1093"/>
      <c r="AC12" s="1093"/>
      <c r="AD12" s="1093"/>
      <c r="AE12" s="1093"/>
      <c r="AF12" s="1093"/>
      <c r="AG12" s="1093"/>
      <c r="AH12" s="1093"/>
      <c r="AI12" s="1093"/>
      <c r="AJ12" s="1093"/>
      <c r="AK12" s="1093"/>
      <c r="AL12" s="1093"/>
      <c r="AM12" s="1093"/>
      <c r="AN12" s="1093"/>
      <c r="AO12" s="1093"/>
      <c r="AP12" s="1093"/>
      <c r="AQ12" s="1093"/>
      <c r="AR12" s="1093"/>
      <c r="AS12" s="1093"/>
      <c r="AT12" s="1093"/>
      <c r="AU12" s="1093"/>
      <c r="AV12" s="1093"/>
      <c r="AW12" s="1093"/>
      <c r="AX12" s="1093"/>
      <c r="AY12" s="1093"/>
      <c r="AZ12" s="1093"/>
      <c r="BA12" s="1093"/>
      <c r="BB12" s="1093"/>
      <c r="BC12" s="1093"/>
    </row>
    <row r="13" spans="2:55" ht="15" customHeight="1">
      <c r="B13" s="325" t="s">
        <v>448</v>
      </c>
    </row>
    <row r="14" spans="2:55" ht="19.899999999999999" customHeight="1">
      <c r="C14" s="1095" t="str">
        <f>Data!C33</f>
        <v>0703732363 müştəri,</v>
      </c>
      <c r="D14" s="1096"/>
      <c r="E14" s="1096"/>
      <c r="F14" s="1096"/>
      <c r="G14" s="1096"/>
      <c r="H14" s="1096"/>
      <c r="I14" s="1096"/>
      <c r="J14" s="1096"/>
      <c r="K14" s="1096"/>
      <c r="L14" s="1096"/>
      <c r="M14" s="1096"/>
      <c r="N14" s="1096"/>
      <c r="O14" s="1096"/>
      <c r="P14" s="1096"/>
      <c r="Q14" s="1096"/>
      <c r="R14" s="1096"/>
      <c r="S14" s="1096"/>
      <c r="T14" s="1096"/>
      <c r="U14" s="1096"/>
      <c r="V14" s="1096"/>
      <c r="W14" s="1096"/>
      <c r="X14" s="1096"/>
      <c r="Y14" s="1096"/>
      <c r="Z14" s="1096"/>
      <c r="AA14" s="1096"/>
      <c r="AB14" s="1096"/>
      <c r="AC14" s="1096"/>
      <c r="AD14" s="1096"/>
      <c r="AE14" s="1096"/>
      <c r="AF14" s="1096"/>
      <c r="AG14" s="1096"/>
      <c r="AH14" s="1096"/>
      <c r="AI14" s="1096"/>
      <c r="AJ14" s="1096"/>
      <c r="AK14" s="1096"/>
      <c r="AL14" s="1096"/>
      <c r="AM14" s="1096"/>
      <c r="AN14" s="1096"/>
      <c r="AO14" s="1096"/>
      <c r="AP14" s="1096"/>
      <c r="AQ14" s="1096"/>
      <c r="AR14" s="1096"/>
      <c r="AS14" s="1096"/>
      <c r="AT14" s="1096"/>
      <c r="AU14" s="1096"/>
      <c r="AV14" s="1096"/>
      <c r="AW14" s="1096"/>
      <c r="AX14" s="1096"/>
      <c r="AY14" s="1096"/>
      <c r="AZ14" s="1096"/>
      <c r="BA14" s="1096"/>
      <c r="BB14" s="1096"/>
      <c r="BC14" s="1096"/>
    </row>
    <row r="15" spans="2:55" ht="19.899999999999999" customHeight="1">
      <c r="B15" s="331"/>
      <c r="C15" s="1097"/>
      <c r="D15" s="1097"/>
      <c r="E15" s="1097"/>
      <c r="F15" s="1097"/>
      <c r="G15" s="1097"/>
      <c r="H15" s="1097"/>
      <c r="I15" s="1097"/>
      <c r="J15" s="1097"/>
      <c r="K15" s="1097"/>
      <c r="L15" s="1097"/>
      <c r="M15" s="1097"/>
      <c r="N15" s="1097"/>
      <c r="O15" s="1097"/>
      <c r="P15" s="1097"/>
      <c r="Q15" s="1097"/>
      <c r="R15" s="1097"/>
      <c r="S15" s="1097"/>
      <c r="T15" s="1097"/>
      <c r="U15" s="1097"/>
      <c r="V15" s="1097"/>
      <c r="W15" s="1097"/>
      <c r="X15" s="1097"/>
      <c r="Y15" s="1097"/>
      <c r="Z15" s="1097"/>
      <c r="AA15" s="1097"/>
      <c r="AB15" s="1097"/>
      <c r="AC15" s="1097"/>
      <c r="AD15" s="1097"/>
      <c r="AE15" s="1097"/>
      <c r="AF15" s="1097"/>
      <c r="AG15" s="1097"/>
      <c r="AH15" s="1097"/>
      <c r="AI15" s="1097"/>
      <c r="AJ15" s="1097"/>
      <c r="AK15" s="1097"/>
      <c r="AL15" s="1097"/>
      <c r="AM15" s="1097"/>
      <c r="AN15" s="1097"/>
      <c r="AO15" s="1097"/>
      <c r="AP15" s="1097"/>
      <c r="AQ15" s="1097"/>
      <c r="AR15" s="1097"/>
      <c r="AS15" s="1097"/>
      <c r="AT15" s="1097"/>
      <c r="AU15" s="1097"/>
      <c r="AV15" s="1097"/>
      <c r="AW15" s="1097"/>
      <c r="AX15" s="1097"/>
      <c r="AY15" s="1097"/>
      <c r="AZ15" s="1097"/>
      <c r="BA15" s="1097"/>
      <c r="BB15" s="1097"/>
      <c r="BC15" s="1097"/>
    </row>
    <row r="16" spans="2:55" ht="15" customHeight="1">
      <c r="B16" s="325" t="s">
        <v>449</v>
      </c>
      <c r="J16" s="332"/>
      <c r="K16" s="332"/>
      <c r="L16" s="331"/>
      <c r="M16" s="331"/>
      <c r="N16" s="331"/>
      <c r="O16" s="331"/>
      <c r="P16" s="331"/>
      <c r="Q16" s="331"/>
      <c r="R16" s="331"/>
      <c r="S16" s="331"/>
      <c r="T16" s="331"/>
      <c r="U16" s="331"/>
      <c r="V16" s="331"/>
      <c r="W16" s="416" t="str">
        <f>Data!C39</f>
        <v>Evli</v>
      </c>
      <c r="X16" s="331"/>
      <c r="Y16" s="331"/>
      <c r="Z16" s="331"/>
      <c r="AA16" s="331"/>
      <c r="AB16" s="331"/>
      <c r="AC16" s="331"/>
      <c r="AD16" s="331"/>
      <c r="AE16" s="331"/>
      <c r="AF16" s="331"/>
      <c r="AG16" s="331"/>
      <c r="AH16" s="331"/>
      <c r="AI16" s="331"/>
      <c r="AJ16" s="331"/>
      <c r="AK16" s="331"/>
      <c r="AL16" s="331"/>
      <c r="AM16" s="331"/>
      <c r="AN16" s="331"/>
      <c r="AO16" s="331"/>
      <c r="AP16" s="331"/>
      <c r="AQ16" s="331"/>
      <c r="AR16" s="331"/>
      <c r="AS16" s="331"/>
      <c r="AT16" s="331"/>
      <c r="AU16" s="331"/>
      <c r="AV16" s="331"/>
      <c r="AW16" s="331"/>
      <c r="AX16" s="331"/>
      <c r="AY16" s="331"/>
      <c r="AZ16" s="331"/>
      <c r="BA16" s="331"/>
      <c r="BB16" s="331"/>
      <c r="BC16" s="331"/>
    </row>
    <row r="17" spans="2:56" ht="15" customHeight="1">
      <c r="B17" s="325" t="s">
        <v>450</v>
      </c>
      <c r="Q17" s="332"/>
      <c r="R17" s="417" t="str">
        <f>Data!C59</f>
        <v>2</v>
      </c>
      <c r="S17" s="417"/>
      <c r="T17" s="417"/>
      <c r="U17" s="417"/>
      <c r="V17" s="417"/>
      <c r="W17" s="417"/>
      <c r="X17" s="417"/>
      <c r="Y17" s="417"/>
      <c r="Z17" s="417"/>
      <c r="AA17" s="417"/>
      <c r="AB17" s="417"/>
      <c r="AC17" s="417"/>
      <c r="AD17" s="417"/>
      <c r="AE17" s="417"/>
      <c r="AF17" s="417"/>
      <c r="AG17" s="417"/>
      <c r="AH17" s="417"/>
      <c r="AI17" s="417"/>
      <c r="AJ17" s="417"/>
      <c r="AK17" s="417"/>
      <c r="AL17" s="417"/>
      <c r="AM17" s="417"/>
      <c r="AN17" s="417"/>
      <c r="AO17" s="417"/>
      <c r="AP17" s="417"/>
      <c r="AQ17" s="417"/>
      <c r="AR17" s="417"/>
      <c r="AS17" s="417"/>
      <c r="AT17" s="417"/>
      <c r="AU17" s="417"/>
      <c r="AV17" s="417"/>
      <c r="AW17" s="417"/>
      <c r="AX17" s="417"/>
      <c r="AY17" s="417"/>
      <c r="AZ17" s="417"/>
      <c r="BA17" s="417"/>
      <c r="BB17" s="417"/>
      <c r="BC17" s="417"/>
    </row>
    <row r="18" spans="2:56" ht="15" customHeight="1">
      <c r="B18" s="325" t="s">
        <v>451</v>
      </c>
      <c r="G18" s="331"/>
      <c r="H18" s="331"/>
      <c r="I18" s="331"/>
      <c r="J18" s="331"/>
      <c r="K18" s="331"/>
      <c r="L18" s="416" t="str">
        <f>Data!C41</f>
        <v>Orta</v>
      </c>
      <c r="M18" s="331"/>
      <c r="N18" s="331"/>
      <c r="O18" s="331"/>
      <c r="P18" s="331"/>
      <c r="Q18" s="331"/>
      <c r="R18" s="331"/>
      <c r="S18" s="331"/>
      <c r="T18" s="331"/>
      <c r="U18" s="331"/>
    </row>
    <row r="19" spans="2:56" ht="15" customHeight="1">
      <c r="B19" s="325" t="s">
        <v>452</v>
      </c>
      <c r="K19" s="1094" t="str">
        <f>Data!C43</f>
        <v>Fərdi gəlirlər</v>
      </c>
      <c r="L19" s="1094"/>
      <c r="M19" s="1094"/>
      <c r="N19" s="1094"/>
      <c r="O19" s="1094"/>
      <c r="P19" s="1094"/>
      <c r="Q19" s="1094"/>
      <c r="R19" s="1094"/>
      <c r="S19" s="1094"/>
      <c r="T19" s="1094"/>
      <c r="U19" s="1094"/>
      <c r="V19" s="1094"/>
      <c r="W19" s="1094"/>
      <c r="X19" s="1094"/>
      <c r="Y19" s="1094"/>
      <c r="Z19" s="1094"/>
      <c r="AA19" s="1094"/>
      <c r="AB19" s="1094"/>
      <c r="AC19" s="1094"/>
      <c r="AD19" s="1094"/>
      <c r="AE19" s="1094"/>
      <c r="AF19" s="1094"/>
      <c r="AG19" s="1094"/>
      <c r="AH19" s="1094"/>
      <c r="AI19" s="1094"/>
      <c r="AJ19" s="1094"/>
      <c r="AK19" s="1094"/>
      <c r="AL19" s="1094"/>
      <c r="AM19" s="1094"/>
      <c r="AN19" s="1094"/>
      <c r="AO19" s="1094"/>
      <c r="AP19" s="1094"/>
      <c r="AQ19" s="1094"/>
      <c r="AR19" s="1094"/>
      <c r="AS19" s="1094"/>
      <c r="AT19" s="1094"/>
      <c r="AU19" s="1094"/>
      <c r="AV19" s="1094"/>
      <c r="AW19" s="1094"/>
      <c r="AX19" s="1094"/>
      <c r="AY19" s="1094"/>
      <c r="AZ19" s="1094"/>
      <c r="BA19" s="1094"/>
      <c r="BB19" s="1094"/>
      <c r="BC19" s="1094"/>
    </row>
    <row r="20" spans="2:56" ht="15" customHeight="1">
      <c r="B20" s="325" t="s">
        <v>453</v>
      </c>
      <c r="M20" s="1077" t="str">
        <f>Data!C45</f>
        <v>Bakı</v>
      </c>
      <c r="N20" s="1077"/>
      <c r="O20" s="1077"/>
      <c r="P20" s="1077"/>
      <c r="Q20" s="1077"/>
      <c r="R20" s="1077"/>
      <c r="S20" s="1077"/>
      <c r="T20" s="1077"/>
      <c r="U20" s="1077"/>
      <c r="V20" s="1077"/>
      <c r="W20" s="1077"/>
      <c r="X20" s="1077"/>
      <c r="Y20" s="1077"/>
      <c r="Z20" s="1077"/>
      <c r="AA20" s="1077"/>
      <c r="AB20" s="1077"/>
      <c r="AC20" s="1077"/>
      <c r="AD20" s="1077"/>
      <c r="AE20" s="1077"/>
      <c r="AF20" s="1077"/>
      <c r="AG20" s="1077"/>
      <c r="AH20" s="1077"/>
      <c r="AI20" s="1077"/>
      <c r="AJ20" s="1077"/>
      <c r="AK20" s="1077"/>
      <c r="AL20" s="1077"/>
      <c r="AM20" s="1077"/>
      <c r="AN20" s="1077"/>
      <c r="AO20" s="1077"/>
      <c r="AP20" s="1077"/>
      <c r="AQ20" s="1077"/>
      <c r="AR20" s="1077"/>
      <c r="AS20" s="1077"/>
      <c r="AT20" s="1077"/>
      <c r="AU20" s="1077"/>
      <c r="AV20" s="1077"/>
      <c r="AW20" s="1077"/>
      <c r="AX20" s="1077"/>
      <c r="AY20" s="1077"/>
      <c r="AZ20" s="1077"/>
      <c r="BA20" s="1077"/>
      <c r="BB20" s="1077"/>
      <c r="BC20" s="1077"/>
    </row>
    <row r="21" spans="2:56" ht="15" customHeight="1">
      <c r="B21" s="325" t="s">
        <v>454</v>
      </c>
      <c r="L21" s="1082" t="str">
        <f>Data!C47</f>
        <v>Diş texniki</v>
      </c>
      <c r="M21" s="1082"/>
      <c r="N21" s="1082"/>
      <c r="O21" s="1082"/>
      <c r="P21" s="1082"/>
      <c r="Q21" s="1082"/>
      <c r="R21" s="1082"/>
      <c r="S21" s="1082"/>
      <c r="T21" s="1082"/>
      <c r="U21" s="1082"/>
      <c r="V21" s="1082"/>
      <c r="W21" s="1082"/>
      <c r="X21" s="1082"/>
      <c r="Y21" s="1082"/>
      <c r="Z21" s="1082"/>
      <c r="AA21" s="1082"/>
      <c r="AB21" s="1082"/>
      <c r="AC21" s="1082"/>
      <c r="AD21" s="1082"/>
      <c r="AE21" s="1082"/>
      <c r="AF21" s="1082"/>
      <c r="AG21" s="1082"/>
      <c r="AH21" s="1082"/>
      <c r="AI21" s="1082"/>
      <c r="AJ21" s="1082"/>
      <c r="AK21" s="1082"/>
      <c r="AL21" s="1082"/>
      <c r="AM21" s="1082"/>
      <c r="AN21" s="1082"/>
      <c r="AO21" s="1082"/>
      <c r="AP21" s="1082"/>
      <c r="AQ21" s="1082"/>
      <c r="AR21" s="1082"/>
      <c r="AS21" s="1082"/>
      <c r="AT21" s="1082"/>
      <c r="AU21" s="1082"/>
      <c r="AV21" s="1082"/>
      <c r="AW21" s="1082"/>
      <c r="AX21" s="1082"/>
      <c r="AY21" s="1082"/>
      <c r="AZ21" s="1082"/>
      <c r="BA21" s="1082"/>
      <c r="BB21" s="1082"/>
      <c r="BC21" s="1082"/>
    </row>
    <row r="22" spans="2:56" ht="15" customHeight="1">
      <c r="B22" s="325" t="s">
        <v>455</v>
      </c>
      <c r="U22" s="332"/>
      <c r="V22" s="332"/>
      <c r="W22" s="332"/>
      <c r="X22" s="1081">
        <f>Data!C49</f>
        <v>1500</v>
      </c>
      <c r="Y22" s="1081"/>
      <c r="Z22" s="1081"/>
      <c r="AA22" s="1081"/>
      <c r="AB22" s="1081"/>
      <c r="AC22" s="1081"/>
      <c r="AD22" s="1081"/>
      <c r="AE22" s="1081"/>
      <c r="AF22" s="1081"/>
      <c r="AG22" s="1081"/>
      <c r="AH22" s="1081"/>
      <c r="AI22" s="1081"/>
      <c r="AJ22" s="1081"/>
      <c r="AK22" s="1081"/>
      <c r="AL22" s="415" t="s">
        <v>183</v>
      </c>
      <c r="AN22" s="332"/>
      <c r="AO22" s="332"/>
      <c r="AP22" s="332"/>
      <c r="AQ22" s="332"/>
      <c r="AR22" s="332"/>
      <c r="AS22" s="332"/>
      <c r="AT22" s="332"/>
      <c r="AU22" s="332"/>
      <c r="AV22" s="332"/>
      <c r="AW22" s="332"/>
      <c r="AX22" s="332"/>
      <c r="AY22" s="332"/>
      <c r="AZ22" s="332"/>
      <c r="BA22" s="332"/>
      <c r="BB22" s="332"/>
      <c r="BC22" s="332"/>
    </row>
    <row r="23" spans="2:56" ht="15" customHeight="1">
      <c r="B23" s="418" t="s">
        <v>456</v>
      </c>
      <c r="C23" s="325"/>
      <c r="J23" s="331"/>
      <c r="K23" s="331"/>
      <c r="L23" s="331"/>
      <c r="M23" s="331"/>
      <c r="N23" s="331"/>
      <c r="O23" s="331"/>
      <c r="P23" s="331"/>
      <c r="Q23" s="331"/>
      <c r="R23" s="331"/>
      <c r="S23" s="331"/>
      <c r="T23" s="1098" t="str">
        <f>Data!C51</f>
        <v>0</v>
      </c>
      <c r="U23" s="1098"/>
      <c r="V23" s="1098"/>
      <c r="W23" s="1098"/>
      <c r="X23" s="1098"/>
      <c r="Y23" s="1098"/>
      <c r="Z23" s="1098"/>
      <c r="AA23" s="1098"/>
      <c r="AB23" s="1098"/>
      <c r="AC23" s="337" t="s">
        <v>183</v>
      </c>
      <c r="AD23" s="433"/>
      <c r="AE23" s="433"/>
      <c r="AF23" s="433"/>
      <c r="AG23" s="433"/>
      <c r="AH23" s="433"/>
      <c r="AI23" s="433"/>
      <c r="AJ23" s="433"/>
      <c r="AK23" s="433"/>
      <c r="AL23" s="419"/>
      <c r="AM23" s="419"/>
      <c r="AN23" s="419"/>
      <c r="AO23" s="419"/>
      <c r="AP23" s="419"/>
      <c r="AQ23" s="419"/>
      <c r="AR23" s="419"/>
      <c r="AS23" s="419"/>
      <c r="AT23" s="420"/>
      <c r="AU23" s="337"/>
      <c r="AV23" s="420"/>
      <c r="AW23" s="420"/>
      <c r="AX23" s="420"/>
      <c r="AY23" s="420"/>
      <c r="AZ23" s="420"/>
      <c r="BA23" s="420"/>
      <c r="BB23" s="420"/>
      <c r="BC23" s="420"/>
      <c r="BD23" s="421"/>
    </row>
    <row r="24" spans="2:56" ht="15" customHeight="1">
      <c r="B24" s="422" t="s">
        <v>457</v>
      </c>
      <c r="J24" s="332"/>
      <c r="K24" s="332"/>
      <c r="L24" s="332"/>
      <c r="M24" s="332"/>
      <c r="N24" s="332"/>
      <c r="O24" s="332"/>
      <c r="P24" s="332"/>
      <c r="Q24" s="332"/>
      <c r="R24" s="332"/>
      <c r="S24" s="332"/>
      <c r="T24" s="1077" t="str">
        <f>Data!C53</f>
        <v>500</v>
      </c>
      <c r="U24" s="1078"/>
      <c r="V24" s="1078"/>
      <c r="W24" s="1078"/>
      <c r="X24" s="1078"/>
      <c r="Y24" s="1078"/>
      <c r="Z24" s="1078"/>
      <c r="AA24" s="1078"/>
      <c r="AB24" s="1078"/>
      <c r="AC24" s="415" t="s">
        <v>183</v>
      </c>
      <c r="AD24" s="331"/>
      <c r="AE24" s="331"/>
      <c r="AF24" s="331"/>
      <c r="AG24" s="331"/>
      <c r="AH24" s="331"/>
      <c r="AI24" s="331"/>
      <c r="AJ24" s="331"/>
      <c r="AK24" s="331"/>
      <c r="AL24" s="331"/>
      <c r="AM24" s="331"/>
      <c r="AN24" s="331"/>
      <c r="AO24" s="331"/>
      <c r="AP24" s="331"/>
      <c r="AQ24" s="331"/>
      <c r="AR24" s="331"/>
      <c r="AS24" s="331"/>
      <c r="AT24" s="331"/>
      <c r="AU24" s="331"/>
      <c r="AV24" s="331"/>
      <c r="AW24" s="331"/>
      <c r="AX24" s="331"/>
      <c r="AY24" s="331"/>
      <c r="AZ24" s="331"/>
      <c r="BA24" s="331"/>
      <c r="BB24" s="331"/>
      <c r="BC24" s="331"/>
    </row>
    <row r="25" spans="2:56" ht="7.15" customHeight="1"/>
    <row r="26" spans="2:56" ht="15" customHeight="1">
      <c r="B26" s="330" t="s">
        <v>220</v>
      </c>
    </row>
    <row r="27" spans="2:56" ht="15" customHeight="1">
      <c r="B27" s="325" t="s">
        <v>458</v>
      </c>
    </row>
    <row r="28" spans="2:56" ht="15" customHeight="1">
      <c r="B28" s="325" t="s">
        <v>459</v>
      </c>
      <c r="I28" s="331"/>
      <c r="J28" s="331"/>
      <c r="K28" s="1079">
        <f>Data!C106</f>
        <v>0</v>
      </c>
      <c r="L28" s="1079"/>
      <c r="M28" s="1079"/>
      <c r="N28" s="1079"/>
      <c r="O28" s="1079"/>
      <c r="P28" s="1079"/>
      <c r="Q28" s="1079"/>
      <c r="R28" s="1079"/>
      <c r="S28" s="1079"/>
      <c r="T28" s="1079"/>
      <c r="U28" s="1079"/>
      <c r="V28" s="1079"/>
      <c r="W28" s="1079"/>
      <c r="X28" s="1079"/>
      <c r="Y28" s="1079"/>
      <c r="Z28" s="1079"/>
      <c r="AA28" s="1079"/>
      <c r="AB28" s="1079"/>
      <c r="AC28" s="1079"/>
      <c r="AD28" s="1079"/>
      <c r="AE28" s="1079"/>
      <c r="AF28" s="1079"/>
      <c r="AG28" s="1079"/>
      <c r="AH28" s="1079"/>
      <c r="AI28" s="1079"/>
      <c r="AJ28" s="1079"/>
      <c r="AK28" s="1079"/>
      <c r="AL28" s="1079"/>
      <c r="AM28" s="1079"/>
      <c r="AN28" s="1079"/>
      <c r="AO28" s="1079"/>
      <c r="AP28" s="1079"/>
      <c r="AQ28" s="1079"/>
      <c r="AR28" s="1079"/>
      <c r="AS28" s="1079"/>
      <c r="AT28" s="1079"/>
      <c r="AU28" s="1079"/>
      <c r="AV28" s="1079"/>
      <c r="AW28" s="1079"/>
      <c r="AX28" s="1079"/>
      <c r="AY28" s="1079"/>
      <c r="AZ28" s="1079"/>
      <c r="BA28" s="1079"/>
      <c r="BB28" s="1079"/>
      <c r="BC28" s="1079"/>
    </row>
    <row r="29" spans="2:56" ht="15" customHeight="1">
      <c r="B29" s="325" t="s">
        <v>460</v>
      </c>
      <c r="K29" s="413"/>
      <c r="L29" s="413"/>
      <c r="M29" s="413"/>
      <c r="N29" s="413"/>
      <c r="O29" s="413"/>
      <c r="P29" s="423"/>
      <c r="Q29" s="423"/>
      <c r="R29" s="423"/>
      <c r="S29" s="423"/>
      <c r="T29" s="1077">
        <f>Data!C102</f>
        <v>0</v>
      </c>
      <c r="U29" s="1078"/>
      <c r="V29" s="1078"/>
      <c r="W29" s="1078"/>
      <c r="X29" s="1078"/>
      <c r="Y29" s="1078"/>
      <c r="Z29" s="1078"/>
      <c r="AA29" s="1078"/>
      <c r="AB29" s="1078"/>
      <c r="AC29" s="1078"/>
      <c r="AD29" s="1078"/>
      <c r="AE29" s="1078"/>
      <c r="AF29" s="1078"/>
      <c r="AG29" s="1078"/>
      <c r="AH29" s="1078"/>
      <c r="AI29" s="1078"/>
      <c r="AJ29" s="1078"/>
      <c r="AK29" s="1078"/>
      <c r="AL29" s="1078"/>
      <c r="AM29" s="1078"/>
      <c r="AN29" s="1078"/>
      <c r="AO29" s="1078"/>
      <c r="AP29" s="1078"/>
      <c r="AQ29" s="1078"/>
      <c r="AR29" s="1078"/>
      <c r="AS29" s="1078"/>
      <c r="AT29" s="1078"/>
      <c r="AU29" s="1078"/>
      <c r="AV29" s="1078"/>
      <c r="AW29" s="1078"/>
      <c r="AX29" s="1078"/>
      <c r="AY29" s="1078"/>
      <c r="AZ29" s="1078"/>
      <c r="BA29" s="1078"/>
      <c r="BB29" s="424"/>
      <c r="BC29" s="424"/>
    </row>
    <row r="30" spans="2:56" ht="15" customHeight="1">
      <c r="B30" s="325" t="s">
        <v>461</v>
      </c>
      <c r="K30" s="413"/>
      <c r="L30" s="413"/>
      <c r="M30" s="413"/>
      <c r="N30" s="413"/>
      <c r="O30" s="413"/>
      <c r="P30" s="413"/>
      <c r="Q30" s="413"/>
      <c r="R30" s="423"/>
      <c r="S30" s="423"/>
      <c r="T30" s="423"/>
      <c r="U30" s="423"/>
      <c r="V30" s="423"/>
      <c r="W30" s="1084">
        <f>Data!E102</f>
        <v>0</v>
      </c>
      <c r="X30" s="1084"/>
      <c r="Y30" s="1084"/>
      <c r="Z30" s="1084"/>
      <c r="AA30" s="1084"/>
      <c r="AB30" s="1084"/>
      <c r="AC30" s="1084"/>
      <c r="AD30" s="1084"/>
      <c r="AE30" s="1084"/>
      <c r="AF30" s="1084"/>
      <c r="AG30" s="1084"/>
      <c r="AH30" s="1084"/>
      <c r="AI30" s="1084"/>
      <c r="AJ30" s="1084"/>
      <c r="AK30" s="1084"/>
      <c r="AL30" s="1084"/>
      <c r="AM30" s="1084"/>
      <c r="AN30" s="1084"/>
      <c r="AO30" s="1084"/>
      <c r="AP30" s="1084"/>
      <c r="AQ30" s="1084"/>
      <c r="AR30" s="1084"/>
      <c r="AS30" s="1084"/>
      <c r="AT30" s="1084"/>
      <c r="AU30" s="1084"/>
      <c r="AV30" s="1084"/>
      <c r="AW30" s="1084"/>
      <c r="AX30" s="1084"/>
      <c r="AY30" s="1084"/>
      <c r="AZ30" s="1084"/>
      <c r="BA30" s="1084"/>
      <c r="BB30" s="1084"/>
      <c r="BC30" s="423"/>
    </row>
    <row r="31" spans="2:56" ht="15" customHeight="1">
      <c r="B31" s="325" t="s">
        <v>144</v>
      </c>
      <c r="K31" s="413"/>
      <c r="L31" s="425"/>
      <c r="M31" s="425"/>
      <c r="N31" s="425"/>
      <c r="O31" s="425"/>
      <c r="P31" s="425"/>
      <c r="Q31" s="425"/>
      <c r="R31" s="425"/>
      <c r="S31" s="425"/>
      <c r="T31" s="425"/>
      <c r="U31" s="425"/>
      <c r="V31" s="1078" t="str">
        <f>Data!C104</f>
        <v>ASAN 2</v>
      </c>
      <c r="W31" s="1078"/>
      <c r="X31" s="1078"/>
      <c r="Y31" s="1078"/>
      <c r="Z31" s="1078"/>
      <c r="AA31" s="1078"/>
      <c r="AB31" s="1078"/>
      <c r="AC31" s="1078"/>
      <c r="AD31" s="1078"/>
      <c r="AE31" s="1078"/>
      <c r="AF31" s="1078"/>
      <c r="AG31" s="1078"/>
      <c r="AH31" s="1078"/>
      <c r="AI31" s="1078"/>
      <c r="AJ31" s="1078"/>
      <c r="AK31" s="1078"/>
      <c r="AL31" s="1078"/>
      <c r="AM31" s="1078"/>
      <c r="AN31" s="1078"/>
      <c r="AO31" s="1078"/>
      <c r="AP31" s="1078"/>
      <c r="AQ31" s="1078"/>
      <c r="AR31" s="1078"/>
      <c r="AS31" s="1078"/>
      <c r="AT31" s="1078"/>
      <c r="AU31" s="1078"/>
      <c r="AV31" s="1078"/>
      <c r="AW31" s="1078"/>
      <c r="AX31" s="1078"/>
      <c r="AY31" s="1078"/>
      <c r="AZ31" s="1078"/>
      <c r="BA31" s="1078"/>
      <c r="BB31" s="425"/>
      <c r="BC31" s="425"/>
    </row>
    <row r="32" spans="2:56" ht="15" customHeight="1">
      <c r="B32" s="326" t="s">
        <v>462</v>
      </c>
      <c r="G32" s="331"/>
      <c r="H32" s="331"/>
      <c r="I32" s="331"/>
      <c r="J32" s="416"/>
      <c r="K32" s="425"/>
      <c r="L32" s="425"/>
      <c r="M32" s="425"/>
      <c r="N32" s="425"/>
      <c r="O32" s="425"/>
      <c r="P32" s="425"/>
      <c r="Q32" s="425"/>
      <c r="R32" s="423"/>
      <c r="S32" s="423"/>
      <c r="T32" s="423"/>
      <c r="U32" s="423"/>
      <c r="V32" s="425"/>
      <c r="W32" s="425"/>
      <c r="X32" s="425"/>
      <c r="Y32" s="425"/>
      <c r="Z32" s="425"/>
      <c r="AA32" s="425"/>
      <c r="AB32" s="426"/>
      <c r="AC32" s="425"/>
      <c r="AD32" s="425"/>
      <c r="AE32" s="425"/>
      <c r="AF32" s="413" t="s">
        <v>169</v>
      </c>
      <c r="AI32" s="413"/>
      <c r="AJ32" s="413"/>
      <c r="AK32" s="413"/>
      <c r="AL32" s="425"/>
      <c r="AM32" s="425"/>
      <c r="AN32" s="425"/>
      <c r="AO32" s="425"/>
      <c r="AP32" s="425"/>
      <c r="AQ32" s="425"/>
      <c r="AR32" s="425"/>
      <c r="AS32" s="425"/>
      <c r="AT32" s="425"/>
      <c r="AU32" s="425"/>
      <c r="AV32" s="425"/>
      <c r="AW32" s="425"/>
      <c r="AX32" s="425"/>
      <c r="AY32" s="425"/>
      <c r="AZ32" s="425"/>
      <c r="BA32" s="425"/>
      <c r="BB32" s="423"/>
      <c r="BC32" s="423"/>
    </row>
    <row r="33" spans="2:55" ht="15" customHeight="1">
      <c r="B33" s="325" t="s">
        <v>463</v>
      </c>
      <c r="K33" s="413"/>
      <c r="L33" s="413"/>
      <c r="M33" s="1105">
        <f>Data!C110</f>
        <v>0</v>
      </c>
      <c r="N33" s="1105"/>
      <c r="O33" s="1105"/>
      <c r="P33" s="1105"/>
      <c r="Q33" s="1105"/>
      <c r="R33" s="1105"/>
      <c r="S33" s="1105"/>
      <c r="T33" s="1105"/>
      <c r="U33" s="1105"/>
      <c r="V33" s="1105"/>
      <c r="W33" s="1105"/>
      <c r="X33" s="1105"/>
      <c r="Y33" s="1105"/>
      <c r="Z33" s="1105"/>
      <c r="AA33" s="1105"/>
      <c r="AB33" s="1105"/>
      <c r="AC33" s="1105"/>
      <c r="AD33" s="1105"/>
      <c r="AE33" s="1105"/>
      <c r="AF33" s="1105"/>
      <c r="AG33" s="1105"/>
      <c r="AH33" s="1105"/>
      <c r="AI33" s="1105"/>
      <c r="AJ33" s="1105"/>
      <c r="AK33" s="1105"/>
      <c r="AL33" s="1105"/>
      <c r="AM33" s="1105"/>
      <c r="AN33" s="1105"/>
      <c r="AO33" s="1105"/>
      <c r="AP33" s="1105"/>
      <c r="AQ33" s="1105"/>
      <c r="AR33" s="1105"/>
      <c r="AS33" s="1105"/>
      <c r="AT33" s="1105"/>
      <c r="AU33" s="1105"/>
      <c r="AV33" s="1105"/>
      <c r="AW33" s="1105"/>
      <c r="AX33" s="1105"/>
      <c r="AY33" s="1105"/>
      <c r="AZ33" s="1105"/>
      <c r="BA33" s="1105"/>
      <c r="BB33" s="1105"/>
      <c r="BC33" s="1105"/>
    </row>
    <row r="34" spans="2:55" ht="15" customHeight="1">
      <c r="B34" s="325" t="s">
        <v>464</v>
      </c>
      <c r="K34" s="413"/>
      <c r="L34" s="413"/>
      <c r="M34" s="1106">
        <f>Data!C112</f>
        <v>0</v>
      </c>
      <c r="N34" s="1106"/>
      <c r="O34" s="1106"/>
      <c r="P34" s="1106"/>
      <c r="Q34" s="1106"/>
      <c r="R34" s="1106"/>
      <c r="S34" s="1106"/>
      <c r="T34" s="1106"/>
      <c r="U34" s="1106"/>
      <c r="V34" s="1106"/>
      <c r="W34" s="1106"/>
      <c r="X34" s="1106"/>
      <c r="Y34" s="1106"/>
      <c r="Z34" s="1106"/>
      <c r="AA34" s="1106"/>
      <c r="AB34" s="1106"/>
      <c r="AC34" s="1106"/>
      <c r="AD34" s="1106"/>
      <c r="AE34" s="1106"/>
      <c r="AF34" s="1106"/>
      <c r="AG34" s="1106"/>
      <c r="AH34" s="1106"/>
      <c r="AI34" s="1106"/>
      <c r="AJ34" s="1106"/>
      <c r="AK34" s="1106"/>
      <c r="AL34" s="1106"/>
      <c r="AM34" s="1106"/>
      <c r="AN34" s="1106"/>
      <c r="AO34" s="1106"/>
      <c r="AP34" s="1106"/>
      <c r="AQ34" s="1106"/>
      <c r="AR34" s="1106"/>
      <c r="AS34" s="1106"/>
      <c r="AT34" s="1106"/>
      <c r="AU34" s="1106"/>
      <c r="AV34" s="1106"/>
      <c r="AW34" s="1106"/>
      <c r="AX34" s="1106"/>
      <c r="AY34" s="1106"/>
      <c r="AZ34" s="1106"/>
      <c r="BA34" s="1106"/>
      <c r="BB34" s="1106"/>
      <c r="BC34" s="1106"/>
    </row>
    <row r="35" spans="2:55" ht="15" customHeight="1">
      <c r="B35" s="325" t="s">
        <v>465</v>
      </c>
      <c r="J35" s="1083">
        <f>Data!C114</f>
        <v>0</v>
      </c>
      <c r="K35" s="1083"/>
      <c r="L35" s="1083"/>
      <c r="M35" s="1083"/>
      <c r="N35" s="1083"/>
      <c r="O35" s="1083"/>
      <c r="P35" s="1083"/>
      <c r="Q35" s="1083"/>
      <c r="R35" s="1083"/>
      <c r="S35" s="1083"/>
      <c r="T35" s="1083"/>
      <c r="U35" s="1083"/>
      <c r="V35" s="1083"/>
      <c r="W35" s="1083"/>
      <c r="X35" s="1083"/>
      <c r="Y35" s="1083"/>
      <c r="Z35" s="1083"/>
      <c r="AA35" s="1083"/>
      <c r="AB35" s="1083"/>
      <c r="AC35" s="1083"/>
      <c r="AD35" s="1083"/>
      <c r="AE35" s="1083"/>
      <c r="AF35" s="1083"/>
      <c r="AG35" s="1083"/>
      <c r="AH35" s="1083"/>
      <c r="AI35" s="1083"/>
      <c r="AJ35" s="1083"/>
      <c r="AK35" s="1083"/>
      <c r="AL35" s="1083"/>
      <c r="AM35" s="1083"/>
      <c r="AN35" s="1083"/>
      <c r="AO35" s="1083"/>
      <c r="AP35" s="1083"/>
      <c r="AQ35" s="1083"/>
      <c r="AR35" s="1083"/>
      <c r="AS35" s="1083"/>
      <c r="AT35" s="1083"/>
      <c r="AU35" s="1083"/>
      <c r="AV35" s="1083"/>
      <c r="AW35" s="1083"/>
      <c r="AX35" s="1083"/>
      <c r="AY35" s="1083"/>
      <c r="AZ35" s="1083"/>
      <c r="BA35" s="1083"/>
      <c r="BB35" s="1083"/>
      <c r="BC35" s="1083"/>
    </row>
    <row r="36" spans="2:55" ht="15" customHeight="1">
      <c r="B36" s="325" t="s">
        <v>466</v>
      </c>
      <c r="O36" s="331"/>
      <c r="P36" s="331"/>
      <c r="Q36" s="331"/>
      <c r="R36" s="331"/>
      <c r="S36" s="331"/>
      <c r="T36" s="331"/>
      <c r="U36" s="331"/>
      <c r="V36" s="331"/>
      <c r="W36" s="416"/>
      <c r="X36" s="331"/>
      <c r="Y36" s="331"/>
      <c r="Z36" s="331"/>
      <c r="AA36" s="331"/>
      <c r="AB36" s="331"/>
      <c r="AC36" s="331"/>
      <c r="AD36" s="331"/>
      <c r="AE36" s="331"/>
      <c r="AF36" s="331"/>
      <c r="AG36" s="331"/>
      <c r="AH36" s="331"/>
      <c r="AI36" s="331"/>
      <c r="AJ36" s="331"/>
      <c r="AK36" s="331"/>
      <c r="AL36" s="331"/>
      <c r="AM36" s="331"/>
      <c r="AN36" s="331"/>
      <c r="AO36" s="331"/>
      <c r="AP36" s="331"/>
      <c r="AQ36" s="331"/>
      <c r="AR36" s="331"/>
      <c r="AS36" s="331"/>
      <c r="AT36" s="331"/>
      <c r="AU36" s="331"/>
      <c r="AV36" s="331"/>
      <c r="AW36" s="331"/>
      <c r="AX36" s="331"/>
      <c r="AY36" s="331"/>
      <c r="AZ36" s="331"/>
      <c r="BA36" s="331"/>
      <c r="BB36" s="331"/>
      <c r="BC36" s="331"/>
    </row>
    <row r="37" spans="2:55" ht="15" customHeight="1">
      <c r="B37" s="325" t="s">
        <v>175</v>
      </c>
      <c r="K37" s="331"/>
      <c r="L37" s="331"/>
      <c r="M37" s="331"/>
      <c r="N37" s="331"/>
      <c r="O37" s="331"/>
      <c r="P37" s="331"/>
      <c r="Q37" s="331"/>
      <c r="R37" s="331"/>
      <c r="S37" s="331"/>
      <c r="T37" s="331"/>
      <c r="U37" s="331"/>
      <c r="V37" s="331"/>
      <c r="W37" s="416"/>
      <c r="X37" s="331"/>
      <c r="Y37" s="331"/>
      <c r="Z37" s="331"/>
      <c r="AA37" s="331"/>
      <c r="AB37" s="331"/>
      <c r="AC37" s="331"/>
      <c r="AD37" s="331"/>
      <c r="AE37" s="331"/>
      <c r="AF37" s="331"/>
      <c r="AG37" s="331"/>
      <c r="AH37" s="331"/>
      <c r="AI37" s="331"/>
      <c r="AJ37" s="331"/>
      <c r="AK37" s="331"/>
      <c r="AL37" s="331"/>
      <c r="AM37" s="331"/>
      <c r="AN37" s="331"/>
      <c r="AO37" s="331"/>
      <c r="AP37" s="331"/>
      <c r="AQ37" s="331"/>
      <c r="AR37" s="331"/>
      <c r="AS37" s="331"/>
      <c r="AT37" s="331"/>
      <c r="AU37" s="331"/>
      <c r="AV37" s="331"/>
      <c r="AW37" s="331"/>
      <c r="AX37" s="331"/>
      <c r="AY37" s="331"/>
      <c r="AZ37" s="331"/>
      <c r="BA37" s="331"/>
      <c r="BB37" s="331"/>
      <c r="BC37" s="331"/>
    </row>
    <row r="38" spans="2:55" ht="7.15" customHeight="1">
      <c r="B38" s="325"/>
    </row>
    <row r="39" spans="2:55" ht="15" customHeight="1">
      <c r="B39" s="330" t="s">
        <v>222</v>
      </c>
    </row>
    <row r="40" spans="2:55" ht="15" customHeight="1">
      <c r="B40" s="325" t="s">
        <v>467</v>
      </c>
    </row>
    <row r="41" spans="2:55" ht="15" customHeight="1">
      <c r="B41" s="325" t="s">
        <v>459</v>
      </c>
      <c r="I41" s="331"/>
      <c r="J41" s="331"/>
      <c r="K41" s="1079">
        <f>Data!C124</f>
        <v>0</v>
      </c>
      <c r="L41" s="1079"/>
      <c r="M41" s="1079"/>
      <c r="N41" s="1079"/>
      <c r="O41" s="1079"/>
      <c r="P41" s="1079"/>
      <c r="Q41" s="1079"/>
      <c r="R41" s="1079"/>
      <c r="S41" s="1079"/>
      <c r="T41" s="1079"/>
      <c r="U41" s="1079"/>
      <c r="V41" s="1079"/>
      <c r="W41" s="1079"/>
      <c r="X41" s="1079"/>
      <c r="Y41" s="1079"/>
      <c r="Z41" s="1079"/>
      <c r="AA41" s="1079"/>
      <c r="AB41" s="1079"/>
      <c r="AC41" s="1079"/>
      <c r="AD41" s="1079"/>
      <c r="AE41" s="1079"/>
      <c r="AF41" s="1079"/>
      <c r="AG41" s="1079"/>
      <c r="AH41" s="1079"/>
      <c r="AI41" s="1079"/>
      <c r="AJ41" s="1079"/>
      <c r="AK41" s="1079"/>
      <c r="AL41" s="1079"/>
      <c r="AM41" s="1079"/>
      <c r="AN41" s="1079"/>
      <c r="AO41" s="1079"/>
      <c r="AP41" s="1079"/>
      <c r="AQ41" s="1079"/>
      <c r="AR41" s="1079"/>
      <c r="AS41" s="1079"/>
      <c r="AT41" s="1079"/>
      <c r="AU41" s="1079"/>
      <c r="AV41" s="1079"/>
      <c r="AW41" s="1079"/>
      <c r="AX41" s="1079"/>
      <c r="AY41" s="1079"/>
      <c r="AZ41" s="1079"/>
      <c r="BA41" s="1079"/>
      <c r="BB41" s="1079"/>
      <c r="BC41" s="1079"/>
    </row>
    <row r="42" spans="2:55" ht="15" customHeight="1">
      <c r="B42" s="325" t="s">
        <v>460</v>
      </c>
      <c r="K42" s="413"/>
      <c r="L42" s="413"/>
      <c r="M42" s="413"/>
      <c r="N42" s="413"/>
      <c r="O42" s="413"/>
      <c r="P42" s="423"/>
      <c r="Q42" s="423"/>
      <c r="R42" s="423"/>
      <c r="S42" s="423"/>
      <c r="T42" s="1077">
        <f>Data!C120</f>
        <v>0</v>
      </c>
      <c r="U42" s="1077"/>
      <c r="V42" s="1077"/>
      <c r="W42" s="1077"/>
      <c r="X42" s="1077"/>
      <c r="Y42" s="1077"/>
      <c r="Z42" s="1077"/>
      <c r="AA42" s="1077"/>
      <c r="AB42" s="1077"/>
      <c r="AC42" s="1077"/>
      <c r="AD42" s="1077"/>
      <c r="AE42" s="1077"/>
      <c r="AF42" s="1077"/>
      <c r="AG42" s="1077"/>
      <c r="AH42" s="1077"/>
      <c r="AI42" s="1077"/>
      <c r="AJ42" s="1077"/>
      <c r="AK42" s="1077"/>
      <c r="AL42" s="1077"/>
      <c r="AM42" s="1077"/>
      <c r="AN42" s="1077"/>
      <c r="AO42" s="1077"/>
      <c r="AP42" s="1077"/>
      <c r="AQ42" s="1077"/>
      <c r="AR42" s="1077"/>
      <c r="AS42" s="1077"/>
      <c r="AT42" s="1077"/>
      <c r="AU42" s="1077"/>
      <c r="AV42" s="1077"/>
      <c r="AW42" s="1077"/>
      <c r="AX42" s="1077"/>
      <c r="AY42" s="1077"/>
      <c r="AZ42" s="1077"/>
      <c r="BA42" s="1077"/>
      <c r="BB42" s="424"/>
      <c r="BC42" s="424"/>
    </row>
    <row r="43" spans="2:55" ht="15" customHeight="1">
      <c r="B43" s="325" t="s">
        <v>461</v>
      </c>
      <c r="K43" s="413"/>
      <c r="L43" s="413"/>
      <c r="M43" s="413"/>
      <c r="N43" s="413"/>
      <c r="O43" s="413"/>
      <c r="P43" s="413"/>
      <c r="Q43" s="413"/>
      <c r="R43" s="423"/>
      <c r="S43" s="423"/>
      <c r="T43" s="423"/>
      <c r="U43" s="423"/>
      <c r="V43" s="423"/>
      <c r="W43" s="1084">
        <f>Data!E120</f>
        <v>0</v>
      </c>
      <c r="X43" s="1084"/>
      <c r="Y43" s="1084"/>
      <c r="Z43" s="1084"/>
      <c r="AA43" s="1084"/>
      <c r="AB43" s="1084"/>
      <c r="AC43" s="1084"/>
      <c r="AD43" s="1084"/>
      <c r="AE43" s="1084"/>
      <c r="AF43" s="1084"/>
      <c r="AG43" s="1084"/>
      <c r="AH43" s="1084"/>
      <c r="AI43" s="1084"/>
      <c r="AJ43" s="1084"/>
      <c r="AK43" s="1084"/>
      <c r="AL43" s="1084"/>
      <c r="AM43" s="1084"/>
      <c r="AN43" s="1084"/>
      <c r="AO43" s="1084"/>
      <c r="AP43" s="1084"/>
      <c r="AQ43" s="1084"/>
      <c r="AR43" s="1084"/>
      <c r="AS43" s="1084"/>
      <c r="AT43" s="1084"/>
      <c r="AU43" s="1084"/>
      <c r="AV43" s="1084"/>
      <c r="AW43" s="1084"/>
      <c r="AX43" s="1084"/>
      <c r="AY43" s="1084"/>
      <c r="AZ43" s="1084"/>
      <c r="BA43" s="1084"/>
      <c r="BB43" s="1084"/>
      <c r="BC43" s="423"/>
    </row>
    <row r="44" spans="2:55" ht="15" customHeight="1">
      <c r="B44" s="325" t="s">
        <v>144</v>
      </c>
      <c r="K44" s="413"/>
      <c r="L44" s="425"/>
      <c r="M44" s="425"/>
      <c r="N44" s="425"/>
      <c r="O44" s="425"/>
      <c r="P44" s="425"/>
      <c r="Q44" s="425"/>
      <c r="R44" s="425"/>
      <c r="S44" s="425"/>
      <c r="T44" s="425"/>
      <c r="U44" s="425"/>
      <c r="V44" s="1078">
        <f>Data!C122</f>
        <v>0</v>
      </c>
      <c r="W44" s="1078"/>
      <c r="X44" s="1078"/>
      <c r="Y44" s="1078"/>
      <c r="Z44" s="1078"/>
      <c r="AA44" s="1078"/>
      <c r="AB44" s="1078"/>
      <c r="AC44" s="1078"/>
      <c r="AD44" s="1078"/>
      <c r="AE44" s="1078"/>
      <c r="AF44" s="1078"/>
      <c r="AG44" s="1078"/>
      <c r="AH44" s="1078"/>
      <c r="AI44" s="1078"/>
      <c r="AJ44" s="1078"/>
      <c r="AK44" s="1078"/>
      <c r="AL44" s="1078"/>
      <c r="AM44" s="1078"/>
      <c r="AN44" s="1078"/>
      <c r="AO44" s="1078"/>
      <c r="AP44" s="1078"/>
      <c r="AQ44" s="1078"/>
      <c r="AR44" s="1078"/>
      <c r="AS44" s="1078"/>
      <c r="AT44" s="1078"/>
      <c r="AU44" s="1078"/>
      <c r="AV44" s="1078"/>
      <c r="AW44" s="1078"/>
      <c r="AX44" s="1078"/>
      <c r="AY44" s="1078"/>
      <c r="AZ44" s="1078"/>
      <c r="BA44" s="1078"/>
      <c r="BB44" s="425"/>
      <c r="BC44" s="425"/>
    </row>
    <row r="45" spans="2:55" ht="15" customHeight="1">
      <c r="B45" s="326" t="s">
        <v>462</v>
      </c>
      <c r="G45" s="331"/>
      <c r="H45" s="331"/>
      <c r="I45" s="331"/>
      <c r="J45" s="416"/>
      <c r="K45" s="425"/>
      <c r="L45" s="425"/>
      <c r="M45" s="425"/>
      <c r="N45" s="425"/>
      <c r="O45" s="425"/>
      <c r="P45" s="425"/>
      <c r="Q45" s="425"/>
      <c r="R45" s="423"/>
      <c r="S45" s="423"/>
      <c r="T45" s="423"/>
      <c r="U45" s="423"/>
      <c r="V45" s="425"/>
      <c r="W45" s="425"/>
      <c r="X45" s="425"/>
      <c r="Y45" s="425"/>
      <c r="Z45" s="425"/>
      <c r="AA45" s="425"/>
      <c r="AB45" s="426"/>
      <c r="AC45" s="425"/>
      <c r="AD45" s="425"/>
      <c r="AE45" s="425"/>
      <c r="AF45" s="413" t="s">
        <v>169</v>
      </c>
      <c r="AI45" s="413"/>
      <c r="AJ45" s="413"/>
      <c r="AK45" s="413"/>
      <c r="AL45" s="425"/>
      <c r="AM45" s="425"/>
      <c r="AN45" s="425"/>
      <c r="AO45" s="425"/>
      <c r="AP45" s="425"/>
      <c r="AQ45" s="425"/>
      <c r="AR45" s="425"/>
      <c r="AS45" s="425"/>
      <c r="AT45" s="425"/>
      <c r="AU45" s="425"/>
      <c r="AV45" s="425"/>
      <c r="AW45" s="425"/>
      <c r="AX45" s="425"/>
      <c r="AY45" s="425"/>
      <c r="AZ45" s="425"/>
      <c r="BA45" s="425"/>
      <c r="BB45" s="423"/>
      <c r="BC45" s="423"/>
    </row>
    <row r="46" spans="2:55" ht="15" customHeight="1">
      <c r="B46" s="325" t="s">
        <v>463</v>
      </c>
      <c r="K46" s="413"/>
      <c r="L46" s="413"/>
      <c r="M46" s="1106">
        <f>Data!C128</f>
        <v>0</v>
      </c>
      <c r="N46" s="1106"/>
      <c r="O46" s="1106"/>
      <c r="P46" s="1106"/>
      <c r="Q46" s="1106"/>
      <c r="R46" s="1106"/>
      <c r="S46" s="1106"/>
      <c r="T46" s="1106"/>
      <c r="U46" s="1106"/>
      <c r="V46" s="1106"/>
      <c r="W46" s="1106"/>
      <c r="X46" s="1106"/>
      <c r="Y46" s="1106"/>
      <c r="Z46" s="1106"/>
      <c r="AA46" s="1106"/>
      <c r="AB46" s="1106"/>
      <c r="AC46" s="1106"/>
      <c r="AD46" s="1106"/>
      <c r="AE46" s="1106"/>
      <c r="AF46" s="1105"/>
      <c r="AG46" s="1105"/>
      <c r="AH46" s="1105"/>
      <c r="AI46" s="1105"/>
      <c r="AJ46" s="1105"/>
      <c r="AK46" s="1105"/>
      <c r="AL46" s="1106"/>
      <c r="AM46" s="1106"/>
      <c r="AN46" s="1106"/>
      <c r="AO46" s="1106"/>
      <c r="AP46" s="1106"/>
      <c r="AQ46" s="1106"/>
      <c r="AR46" s="1106"/>
      <c r="AS46" s="1106"/>
      <c r="AT46" s="1106"/>
      <c r="AU46" s="1106"/>
      <c r="AV46" s="1106"/>
      <c r="AW46" s="1106"/>
      <c r="AX46" s="1106"/>
      <c r="AY46" s="1106"/>
      <c r="AZ46" s="1106"/>
      <c r="BA46" s="1106"/>
      <c r="BB46" s="1106"/>
      <c r="BC46" s="1106"/>
    </row>
    <row r="47" spans="2:55" ht="15" customHeight="1">
      <c r="B47" s="325" t="s">
        <v>464</v>
      </c>
      <c r="K47" s="413"/>
      <c r="L47" s="1105">
        <f>Data!C130</f>
        <v>0</v>
      </c>
      <c r="M47" s="1105"/>
      <c r="N47" s="1105"/>
      <c r="O47" s="1105"/>
      <c r="P47" s="1105"/>
      <c r="Q47" s="1105"/>
      <c r="R47" s="1105"/>
      <c r="S47" s="1105"/>
      <c r="T47" s="1105"/>
      <c r="U47" s="1105"/>
      <c r="V47" s="1105"/>
      <c r="W47" s="1105"/>
      <c r="X47" s="1105"/>
      <c r="Y47" s="1105"/>
      <c r="Z47" s="1105"/>
      <c r="AA47" s="1105"/>
      <c r="AB47" s="1105"/>
      <c r="AC47" s="1105"/>
      <c r="AD47" s="1105"/>
      <c r="AE47" s="1105"/>
      <c r="AF47" s="1105"/>
      <c r="AG47" s="1105"/>
      <c r="AH47" s="1105"/>
      <c r="AI47" s="1105"/>
      <c r="AJ47" s="1105"/>
      <c r="AK47" s="1105"/>
      <c r="AL47" s="1105"/>
      <c r="AM47" s="1105"/>
      <c r="AN47" s="1105"/>
      <c r="AO47" s="1105"/>
      <c r="AP47" s="1105"/>
      <c r="AQ47" s="1105"/>
      <c r="AR47" s="1105"/>
      <c r="AS47" s="1105"/>
      <c r="AT47" s="1105"/>
      <c r="AU47" s="1105"/>
      <c r="AV47" s="1105"/>
      <c r="AW47" s="1105"/>
      <c r="AX47" s="1105"/>
      <c r="AY47" s="1105"/>
      <c r="AZ47" s="1105"/>
      <c r="BA47" s="1105"/>
      <c r="BB47" s="1105"/>
      <c r="BC47" s="1105"/>
    </row>
    <row r="48" spans="2:55" ht="15" customHeight="1">
      <c r="B48" s="325" t="s">
        <v>465</v>
      </c>
      <c r="I48" s="331"/>
      <c r="J48" s="1083">
        <f>Data!C132</f>
        <v>0</v>
      </c>
      <c r="K48" s="1083"/>
      <c r="L48" s="1083"/>
      <c r="M48" s="1083"/>
      <c r="N48" s="1083"/>
      <c r="O48" s="1083"/>
      <c r="P48" s="1083"/>
      <c r="Q48" s="1083"/>
      <c r="R48" s="1083"/>
      <c r="S48" s="1083"/>
      <c r="T48" s="1083"/>
      <c r="U48" s="1083"/>
      <c r="V48" s="1083"/>
      <c r="W48" s="1083"/>
      <c r="X48" s="1083"/>
      <c r="Y48" s="1083"/>
      <c r="Z48" s="1083"/>
      <c r="AA48" s="1083"/>
      <c r="AB48" s="1083"/>
      <c r="AC48" s="1083"/>
      <c r="AD48" s="1083"/>
      <c r="AE48" s="1083"/>
      <c r="AF48" s="1083"/>
      <c r="AG48" s="1083"/>
      <c r="AH48" s="1083"/>
      <c r="AI48" s="1083"/>
      <c r="AJ48" s="1083"/>
      <c r="AK48" s="1083"/>
      <c r="AL48" s="1083"/>
      <c r="AM48" s="1083"/>
      <c r="AN48" s="1083"/>
      <c r="AO48" s="1083"/>
      <c r="AP48" s="1083"/>
      <c r="AQ48" s="1083"/>
      <c r="AR48" s="1083"/>
      <c r="AS48" s="1083"/>
      <c r="AT48" s="1083"/>
      <c r="AU48" s="1083"/>
      <c r="AV48" s="1083"/>
      <c r="AW48" s="1083"/>
      <c r="AX48" s="1083"/>
      <c r="AY48" s="1083"/>
      <c r="AZ48" s="1083"/>
      <c r="BA48" s="1083"/>
      <c r="BB48" s="1083"/>
      <c r="BC48" s="1083"/>
    </row>
    <row r="49" spans="2:55" ht="15" customHeight="1">
      <c r="B49" s="325" t="s">
        <v>466</v>
      </c>
      <c r="O49" s="331"/>
      <c r="P49" s="331"/>
      <c r="Q49" s="331"/>
      <c r="R49" s="331"/>
      <c r="S49" s="331"/>
      <c r="T49" s="331"/>
      <c r="U49" s="331"/>
      <c r="V49" s="331"/>
      <c r="W49" s="416"/>
      <c r="X49" s="331"/>
      <c r="Y49" s="331"/>
      <c r="Z49" s="331"/>
      <c r="AA49" s="331"/>
      <c r="AB49" s="331"/>
      <c r="AC49" s="331"/>
      <c r="AD49" s="331"/>
      <c r="AE49" s="331"/>
      <c r="AF49" s="331"/>
      <c r="AG49" s="331"/>
      <c r="AH49" s="331"/>
      <c r="AI49" s="331"/>
      <c r="AJ49" s="331"/>
      <c r="AK49" s="331"/>
      <c r="AL49" s="331"/>
      <c r="AM49" s="331"/>
      <c r="AN49" s="331"/>
      <c r="AO49" s="331"/>
      <c r="AP49" s="331"/>
      <c r="AQ49" s="331"/>
      <c r="AR49" s="331"/>
      <c r="AS49" s="331"/>
      <c r="AT49" s="331"/>
      <c r="AU49" s="331"/>
      <c r="AV49" s="331"/>
      <c r="AW49" s="331"/>
      <c r="AX49" s="331"/>
      <c r="AY49" s="331"/>
      <c r="AZ49" s="331"/>
      <c r="BA49" s="331"/>
      <c r="BB49" s="331"/>
      <c r="BC49" s="331"/>
    </row>
    <row r="50" spans="2:55" ht="15" customHeight="1">
      <c r="B50" s="325" t="s">
        <v>175</v>
      </c>
      <c r="K50" s="331"/>
      <c r="L50" s="331"/>
      <c r="M50" s="331"/>
      <c r="N50" s="331"/>
      <c r="O50" s="331"/>
      <c r="P50" s="331"/>
      <c r="Q50" s="331"/>
      <c r="R50" s="331"/>
      <c r="S50" s="331"/>
      <c r="T50" s="331"/>
      <c r="U50" s="331"/>
      <c r="V50" s="331"/>
      <c r="W50" s="416"/>
      <c r="X50" s="331"/>
      <c r="Y50" s="331"/>
      <c r="Z50" s="331"/>
      <c r="AA50" s="331"/>
      <c r="AB50" s="331"/>
      <c r="AC50" s="331"/>
      <c r="AD50" s="331"/>
      <c r="AE50" s="331"/>
      <c r="AF50" s="331"/>
      <c r="AG50" s="331"/>
      <c r="AH50" s="331"/>
      <c r="AI50" s="331"/>
      <c r="AJ50" s="331"/>
      <c r="AK50" s="331"/>
      <c r="AL50" s="331"/>
      <c r="AM50" s="331"/>
      <c r="AN50" s="331"/>
      <c r="AO50" s="331"/>
      <c r="AP50" s="331"/>
      <c r="AQ50" s="331"/>
      <c r="AR50" s="331"/>
      <c r="AS50" s="331"/>
      <c r="AT50" s="331"/>
      <c r="AU50" s="331"/>
      <c r="AV50" s="331"/>
      <c r="AW50" s="331"/>
      <c r="AX50" s="331"/>
      <c r="AY50" s="331"/>
      <c r="AZ50" s="331"/>
      <c r="BA50" s="331"/>
      <c r="BB50" s="331"/>
      <c r="BC50" s="331"/>
    </row>
    <row r="51" spans="2:55" ht="7.15" customHeight="1">
      <c r="B51" s="325"/>
    </row>
    <row r="52" spans="2:55" ht="15" customHeight="1">
      <c r="B52" s="1101" t="s">
        <v>432</v>
      </c>
      <c r="C52" s="1092"/>
      <c r="D52" s="1092"/>
      <c r="E52" s="1092"/>
      <c r="F52" s="1092"/>
      <c r="G52" s="1092"/>
      <c r="H52" s="1092"/>
      <c r="I52" s="1092"/>
      <c r="J52" s="1092"/>
      <c r="K52" s="1092"/>
      <c r="L52" s="1092"/>
      <c r="M52" s="1092"/>
      <c r="N52" s="1092"/>
      <c r="O52" s="1092"/>
      <c r="P52" s="1092"/>
      <c r="Q52" s="1092"/>
      <c r="R52" s="1092"/>
      <c r="S52" s="1092"/>
      <c r="T52" s="1092"/>
      <c r="U52" s="1092"/>
      <c r="V52" s="1092"/>
      <c r="W52" s="1092"/>
      <c r="X52" s="1092"/>
      <c r="Y52" s="1092"/>
      <c r="Z52" s="1092"/>
      <c r="AA52" s="1092"/>
      <c r="AB52" s="1092"/>
      <c r="AC52" s="1092"/>
      <c r="AD52" s="1092"/>
    </row>
    <row r="53" spans="2:55" ht="7.15" customHeight="1">
      <c r="B53" s="331"/>
      <c r="C53" s="331"/>
      <c r="D53" s="331"/>
      <c r="E53" s="331"/>
      <c r="F53" s="331"/>
      <c r="G53" s="331"/>
      <c r="H53" s="331"/>
      <c r="I53" s="331"/>
      <c r="J53" s="331"/>
      <c r="K53" s="331"/>
      <c r="L53" s="331"/>
      <c r="M53" s="331"/>
      <c r="N53" s="331"/>
      <c r="O53" s="331"/>
      <c r="P53" s="331"/>
      <c r="Q53" s="331"/>
      <c r="R53" s="331"/>
      <c r="S53" s="331"/>
      <c r="T53" s="331"/>
      <c r="U53" s="331"/>
      <c r="V53" s="331"/>
      <c r="W53" s="331"/>
      <c r="X53" s="331"/>
      <c r="Y53" s="331"/>
      <c r="Z53" s="331"/>
      <c r="AA53" s="331"/>
      <c r="AB53" s="331"/>
      <c r="AC53" s="331"/>
      <c r="AD53" s="331"/>
      <c r="AE53" s="331"/>
      <c r="AF53" s="331"/>
      <c r="AG53" s="331"/>
      <c r="AH53" s="331"/>
      <c r="AI53" s="331"/>
      <c r="AJ53" s="331"/>
      <c r="AK53" s="331"/>
      <c r="AL53" s="331"/>
      <c r="AM53" s="331"/>
      <c r="AN53" s="331"/>
      <c r="AO53" s="331"/>
      <c r="AP53" s="331"/>
      <c r="AQ53" s="331"/>
      <c r="AR53" s="331"/>
      <c r="AS53" s="331"/>
      <c r="AT53" s="331"/>
      <c r="AU53" s="331"/>
      <c r="AV53" s="331"/>
      <c r="AW53" s="331"/>
      <c r="AX53" s="331"/>
      <c r="AY53" s="331"/>
      <c r="AZ53" s="331"/>
      <c r="BA53" s="331"/>
      <c r="BB53" s="331"/>
      <c r="BC53" s="331"/>
    </row>
    <row r="54" spans="2:55" ht="15" customHeight="1">
      <c r="B54" s="334" t="s">
        <v>179</v>
      </c>
      <c r="C54" s="332"/>
      <c r="D54" s="332"/>
      <c r="E54" s="332"/>
      <c r="F54" s="332"/>
      <c r="G54" s="332"/>
      <c r="H54" s="332"/>
      <c r="I54" s="332"/>
      <c r="J54" s="332"/>
      <c r="K54" s="332"/>
      <c r="L54" s="332"/>
      <c r="M54" s="332"/>
      <c r="N54" s="332"/>
      <c r="O54" s="332"/>
      <c r="P54" s="332"/>
      <c r="Q54" s="332"/>
      <c r="R54" s="332"/>
      <c r="S54" s="332"/>
      <c r="T54" s="332"/>
      <c r="U54" s="332"/>
      <c r="V54" s="332"/>
      <c r="W54" s="332"/>
      <c r="X54" s="332"/>
      <c r="Y54" s="332"/>
      <c r="Z54" s="332"/>
      <c r="AA54" s="332"/>
      <c r="AB54" s="335"/>
      <c r="AC54" s="332"/>
      <c r="AD54" s="332"/>
      <c r="AE54" s="332"/>
      <c r="AF54" s="332"/>
      <c r="AG54" s="332"/>
      <c r="AH54" s="1107">
        <f>X22+T23+T24</f>
        <v>2000</v>
      </c>
      <c r="AI54" s="1107"/>
      <c r="AJ54" s="1107"/>
      <c r="AK54" s="1107"/>
      <c r="AL54" s="1107"/>
      <c r="AM54" s="1107"/>
      <c r="AN54" s="1107"/>
      <c r="AO54" s="1107"/>
      <c r="AP54" s="1107"/>
      <c r="AQ54" s="1107"/>
      <c r="AR54" s="1107"/>
      <c r="AS54" s="1107"/>
      <c r="AT54" s="1107"/>
      <c r="AU54" s="332"/>
      <c r="AV54" s="332"/>
      <c r="AW54" s="332"/>
      <c r="AX54" s="332"/>
      <c r="AY54" s="332"/>
      <c r="AZ54" s="332"/>
      <c r="BA54" s="332"/>
      <c r="BB54" s="332"/>
      <c r="BC54" s="335"/>
    </row>
    <row r="55" spans="2:55" ht="15" customHeight="1">
      <c r="B55" s="334" t="s">
        <v>180</v>
      </c>
      <c r="C55" s="332"/>
      <c r="D55" s="332"/>
      <c r="E55" s="332"/>
      <c r="F55" s="332"/>
      <c r="G55" s="332"/>
      <c r="H55" s="332"/>
      <c r="I55" s="332"/>
      <c r="J55" s="332"/>
      <c r="K55" s="332"/>
      <c r="L55" s="332"/>
      <c r="M55" s="332"/>
      <c r="N55" s="332"/>
      <c r="O55" s="332"/>
      <c r="P55" s="332"/>
      <c r="Q55" s="332"/>
      <c r="R55" s="332"/>
      <c r="S55" s="332"/>
      <c r="T55" s="332"/>
      <c r="U55" s="332"/>
      <c r="V55" s="332"/>
      <c r="W55" s="332"/>
      <c r="X55" s="332"/>
      <c r="Y55" s="332"/>
      <c r="Z55" s="332"/>
      <c r="AA55" s="332"/>
      <c r="AB55" s="335"/>
      <c r="AC55" s="332"/>
      <c r="AD55" s="332"/>
      <c r="AE55" s="332"/>
      <c r="AF55" s="332"/>
      <c r="AG55" s="332"/>
      <c r="AH55" s="1081" t="str">
        <f>Data!C55</f>
        <v>1500</v>
      </c>
      <c r="AI55" s="1081"/>
      <c r="AJ55" s="1081"/>
      <c r="AK55" s="1081"/>
      <c r="AL55" s="1081"/>
      <c r="AM55" s="1081"/>
      <c r="AN55" s="1081"/>
      <c r="AO55" s="1081"/>
      <c r="AP55" s="1081"/>
      <c r="AQ55" s="1081"/>
      <c r="AR55" s="1081"/>
      <c r="AS55" s="1081"/>
      <c r="AT55" s="1081"/>
      <c r="AU55" s="332"/>
      <c r="AV55" s="332"/>
      <c r="AW55" s="332"/>
      <c r="AX55" s="332"/>
      <c r="AY55" s="332"/>
      <c r="AZ55" s="332"/>
      <c r="BA55" s="332"/>
      <c r="BB55" s="332"/>
      <c r="BC55" s="335"/>
    </row>
    <row r="56" spans="2:55" ht="15" customHeight="1">
      <c r="B56" s="336" t="s">
        <v>181</v>
      </c>
      <c r="C56" s="331"/>
      <c r="D56" s="331"/>
      <c r="E56" s="331"/>
      <c r="F56" s="331"/>
      <c r="G56" s="331"/>
      <c r="H56" s="331"/>
      <c r="I56" s="331"/>
      <c r="J56" s="331"/>
      <c r="K56" s="331"/>
      <c r="L56" s="331"/>
      <c r="M56" s="331"/>
      <c r="N56" s="331"/>
      <c r="O56" s="331"/>
      <c r="P56" s="331"/>
      <c r="Q56" s="331"/>
      <c r="R56" s="331"/>
      <c r="S56" s="331"/>
      <c r="T56" s="331"/>
      <c r="U56" s="331"/>
      <c r="V56" s="331"/>
      <c r="W56" s="331"/>
      <c r="X56" s="331"/>
      <c r="Y56" s="331"/>
      <c r="Z56" s="331"/>
      <c r="AA56" s="331"/>
      <c r="AB56" s="333"/>
      <c r="AC56" s="331"/>
      <c r="AD56" s="331"/>
      <c r="AE56" s="331"/>
      <c r="AF56" s="331"/>
      <c r="AG56" s="331"/>
      <c r="AH56" s="1107">
        <f>AH54-AH55</f>
        <v>500</v>
      </c>
      <c r="AI56" s="1107"/>
      <c r="AJ56" s="1107"/>
      <c r="AK56" s="1107"/>
      <c r="AL56" s="1107"/>
      <c r="AM56" s="1107"/>
      <c r="AN56" s="1107"/>
      <c r="AO56" s="1107"/>
      <c r="AP56" s="1107"/>
      <c r="AQ56" s="1107"/>
      <c r="AR56" s="1107"/>
      <c r="AS56" s="1107"/>
      <c r="AT56" s="1107"/>
      <c r="AU56" s="331"/>
      <c r="AV56" s="331"/>
      <c r="AW56" s="331"/>
      <c r="AX56" s="331"/>
      <c r="AY56" s="331"/>
      <c r="AZ56" s="331"/>
      <c r="BA56" s="331"/>
      <c r="BB56" s="331"/>
      <c r="BC56" s="333"/>
    </row>
    <row r="57" spans="2:55" ht="7.15" customHeight="1">
      <c r="AL57" s="427"/>
    </row>
    <row r="58" spans="2:55" ht="15" customHeight="1">
      <c r="B58" s="1101" t="s">
        <v>433</v>
      </c>
      <c r="C58" s="1092"/>
      <c r="D58" s="1092"/>
      <c r="E58" s="1092"/>
      <c r="F58" s="1092"/>
      <c r="G58" s="1092"/>
      <c r="H58" s="1092"/>
      <c r="I58" s="1092"/>
      <c r="J58" s="1092"/>
      <c r="K58" s="1092"/>
      <c r="L58" s="1092"/>
      <c r="M58" s="1092"/>
      <c r="N58" s="1092"/>
      <c r="O58" s="1092"/>
      <c r="P58" s="1092"/>
      <c r="Q58" s="1092"/>
      <c r="R58" s="1092"/>
      <c r="S58" s="1092"/>
      <c r="T58" s="1092"/>
      <c r="U58" s="1092"/>
      <c r="V58" s="1092"/>
      <c r="W58" s="1092"/>
      <c r="X58" s="1092"/>
      <c r="Y58" s="1092"/>
      <c r="Z58" s="1092"/>
      <c r="AA58" s="1092"/>
      <c r="AB58" s="1092"/>
      <c r="AC58" s="1092"/>
      <c r="AD58" s="1092"/>
      <c r="AE58" s="1092"/>
    </row>
    <row r="59" spans="2:55" ht="12" customHeight="1">
      <c r="B59" s="1102" t="s">
        <v>468</v>
      </c>
      <c r="C59" s="1103"/>
      <c r="D59" s="1103"/>
      <c r="E59" s="1103"/>
      <c r="F59" s="1103"/>
      <c r="G59" s="1103"/>
      <c r="H59" s="1103"/>
      <c r="I59" s="1103"/>
      <c r="J59" s="1103"/>
      <c r="K59" s="1103"/>
      <c r="L59" s="1103"/>
      <c r="M59" s="1103"/>
      <c r="N59" s="1103"/>
      <c r="O59" s="1103"/>
      <c r="P59" s="1103"/>
      <c r="Q59" s="1103"/>
      <c r="R59" s="1103"/>
      <c r="S59" s="1103"/>
      <c r="T59" s="1103"/>
      <c r="U59" s="1103"/>
      <c r="V59" s="1103"/>
      <c r="W59" s="1103"/>
      <c r="X59" s="1103"/>
      <c r="Y59" s="1103"/>
      <c r="Z59" s="1103"/>
      <c r="AA59" s="1103"/>
      <c r="AB59" s="1103"/>
      <c r="AC59" s="1103"/>
      <c r="AD59" s="1103"/>
      <c r="AE59" s="1103"/>
      <c r="AF59" s="1103"/>
      <c r="AG59" s="1103"/>
      <c r="AH59" s="1103"/>
      <c r="AI59" s="1103"/>
      <c r="AJ59" s="1103"/>
      <c r="AK59" s="1103"/>
      <c r="AL59" s="1103"/>
      <c r="AM59" s="1103"/>
      <c r="AN59" s="1103"/>
      <c r="AO59" s="1103"/>
      <c r="AP59" s="1103"/>
      <c r="AQ59" s="1103"/>
      <c r="AR59" s="1103"/>
      <c r="AS59" s="1103"/>
      <c r="AT59" s="1103"/>
      <c r="AU59" s="1103"/>
      <c r="AV59" s="1103"/>
      <c r="AW59" s="1103"/>
      <c r="AX59" s="1103"/>
      <c r="AY59" s="1103"/>
      <c r="AZ59" s="1103"/>
      <c r="BA59" s="1103"/>
      <c r="BB59" s="1103"/>
      <c r="BC59" s="1103"/>
    </row>
    <row r="60" spans="2:55" ht="12" customHeight="1">
      <c r="B60" s="1104"/>
      <c r="C60" s="1104"/>
      <c r="D60" s="1104"/>
      <c r="E60" s="1104"/>
      <c r="F60" s="1104"/>
      <c r="G60" s="1104"/>
      <c r="H60" s="1104"/>
      <c r="I60" s="1104"/>
      <c r="J60" s="1104"/>
      <c r="K60" s="1104"/>
      <c r="L60" s="1104"/>
      <c r="M60" s="1104"/>
      <c r="N60" s="1104"/>
      <c r="O60" s="1104"/>
      <c r="P60" s="1104"/>
      <c r="Q60" s="1104"/>
      <c r="R60" s="1104"/>
      <c r="S60" s="1104"/>
      <c r="T60" s="1104"/>
      <c r="U60" s="1104"/>
      <c r="V60" s="1104"/>
      <c r="W60" s="1104"/>
      <c r="X60" s="1104"/>
      <c r="Y60" s="1104"/>
      <c r="Z60" s="1104"/>
      <c r="AA60" s="1104"/>
      <c r="AB60" s="1104"/>
      <c r="AC60" s="1104"/>
      <c r="AD60" s="1104"/>
      <c r="AE60" s="1104"/>
      <c r="AF60" s="1104"/>
      <c r="AG60" s="1104"/>
      <c r="AH60" s="1104"/>
      <c r="AI60" s="1104"/>
      <c r="AJ60" s="1104"/>
      <c r="AK60" s="1104"/>
      <c r="AL60" s="1104"/>
      <c r="AM60" s="1104"/>
      <c r="AN60" s="1104"/>
      <c r="AO60" s="1104"/>
      <c r="AP60" s="1104"/>
      <c r="AQ60" s="1104"/>
      <c r="AR60" s="1104"/>
      <c r="AS60" s="1104"/>
      <c r="AT60" s="1104"/>
      <c r="AU60" s="1104"/>
      <c r="AV60" s="1104"/>
      <c r="AW60" s="1104"/>
      <c r="AX60" s="1104"/>
      <c r="AY60" s="1104"/>
      <c r="AZ60" s="1104"/>
      <c r="BA60" s="1104"/>
      <c r="BB60" s="1104"/>
      <c r="BC60" s="1104"/>
    </row>
    <row r="61" spans="2:55" ht="12" customHeight="1">
      <c r="B61" s="1104"/>
      <c r="C61" s="1104"/>
      <c r="D61" s="1104"/>
      <c r="E61" s="1104"/>
      <c r="F61" s="1104"/>
      <c r="G61" s="1104"/>
      <c r="H61" s="1104"/>
      <c r="I61" s="1104"/>
      <c r="J61" s="1104"/>
      <c r="K61" s="1104"/>
      <c r="L61" s="1104"/>
      <c r="M61" s="1104"/>
      <c r="N61" s="1104"/>
      <c r="O61" s="1104"/>
      <c r="P61" s="1104"/>
      <c r="Q61" s="1104"/>
      <c r="R61" s="1104"/>
      <c r="S61" s="1104"/>
      <c r="T61" s="1104"/>
      <c r="U61" s="1104"/>
      <c r="V61" s="1104"/>
      <c r="W61" s="1104"/>
      <c r="X61" s="1104"/>
      <c r="Y61" s="1104"/>
      <c r="Z61" s="1104"/>
      <c r="AA61" s="1104"/>
      <c r="AB61" s="1104"/>
      <c r="AC61" s="1104"/>
      <c r="AD61" s="1104"/>
      <c r="AE61" s="1104"/>
      <c r="AF61" s="1104"/>
      <c r="AG61" s="1104"/>
      <c r="AH61" s="1104"/>
      <c r="AI61" s="1104"/>
      <c r="AJ61" s="1104"/>
      <c r="AK61" s="1104"/>
      <c r="AL61" s="1104"/>
      <c r="AM61" s="1104"/>
      <c r="AN61" s="1104"/>
      <c r="AO61" s="1104"/>
      <c r="AP61" s="1104"/>
      <c r="AQ61" s="1104"/>
      <c r="AR61" s="1104"/>
      <c r="AS61" s="1104"/>
      <c r="AT61" s="1104"/>
      <c r="AU61" s="1104"/>
      <c r="AV61" s="1104"/>
      <c r="AW61" s="1104"/>
      <c r="AX61" s="1104"/>
      <c r="AY61" s="1104"/>
      <c r="AZ61" s="1104"/>
      <c r="BA61" s="1104"/>
      <c r="BB61" s="1104"/>
      <c r="BC61" s="1104"/>
    </row>
    <row r="62" spans="2:55" ht="12" customHeight="1">
      <c r="B62" s="1104"/>
      <c r="C62" s="1104"/>
      <c r="D62" s="1104"/>
      <c r="E62" s="1104"/>
      <c r="F62" s="1104"/>
      <c r="G62" s="1104"/>
      <c r="H62" s="1104"/>
      <c r="I62" s="1104"/>
      <c r="J62" s="1104"/>
      <c r="K62" s="1104"/>
      <c r="L62" s="1104"/>
      <c r="M62" s="1104"/>
      <c r="N62" s="1104"/>
      <c r="O62" s="1104"/>
      <c r="P62" s="1104"/>
      <c r="Q62" s="1104"/>
      <c r="R62" s="1104"/>
      <c r="S62" s="1104"/>
      <c r="T62" s="1104"/>
      <c r="U62" s="1104"/>
      <c r="V62" s="1104"/>
      <c r="W62" s="1104"/>
      <c r="X62" s="1104"/>
      <c r="Y62" s="1104"/>
      <c r="Z62" s="1104"/>
      <c r="AA62" s="1104"/>
      <c r="AB62" s="1104"/>
      <c r="AC62" s="1104"/>
      <c r="AD62" s="1104"/>
      <c r="AE62" s="1104"/>
      <c r="AF62" s="1104"/>
      <c r="AG62" s="1104"/>
      <c r="AH62" s="1104"/>
      <c r="AI62" s="1104"/>
      <c r="AJ62" s="1104"/>
      <c r="AK62" s="1104"/>
      <c r="AL62" s="1104"/>
      <c r="AM62" s="1104"/>
      <c r="AN62" s="1104"/>
      <c r="AO62" s="1104"/>
      <c r="AP62" s="1104"/>
      <c r="AQ62" s="1104"/>
      <c r="AR62" s="1104"/>
      <c r="AS62" s="1104"/>
      <c r="AT62" s="1104"/>
      <c r="AU62" s="1104"/>
      <c r="AV62" s="1104"/>
      <c r="AW62" s="1104"/>
      <c r="AX62" s="1104"/>
      <c r="AY62" s="1104"/>
      <c r="AZ62" s="1104"/>
      <c r="BA62" s="1104"/>
      <c r="BB62" s="1104"/>
      <c r="BC62" s="1104"/>
    </row>
    <row r="63" spans="2:55" ht="12" customHeight="1">
      <c r="B63" s="1104"/>
      <c r="C63" s="1104"/>
      <c r="D63" s="1104"/>
      <c r="E63" s="1104"/>
      <c r="F63" s="1104"/>
      <c r="G63" s="1104"/>
      <c r="H63" s="1104"/>
      <c r="I63" s="1104"/>
      <c r="J63" s="1104"/>
      <c r="K63" s="1104"/>
      <c r="L63" s="1104"/>
      <c r="M63" s="1104"/>
      <c r="N63" s="1104"/>
      <c r="O63" s="1104"/>
      <c r="P63" s="1104"/>
      <c r="Q63" s="1104"/>
      <c r="R63" s="1104"/>
      <c r="S63" s="1104"/>
      <c r="T63" s="1104"/>
      <c r="U63" s="1104"/>
      <c r="V63" s="1104"/>
      <c r="W63" s="1104"/>
      <c r="X63" s="1104"/>
      <c r="Y63" s="1104"/>
      <c r="Z63" s="1104"/>
      <c r="AA63" s="1104"/>
      <c r="AB63" s="1104"/>
      <c r="AC63" s="1104"/>
      <c r="AD63" s="1104"/>
      <c r="AE63" s="1104"/>
      <c r="AF63" s="1104"/>
      <c r="AG63" s="1104"/>
      <c r="AH63" s="1104"/>
      <c r="AI63" s="1104"/>
      <c r="AJ63" s="1104"/>
      <c r="AK63" s="1104"/>
      <c r="AL63" s="1104"/>
      <c r="AM63" s="1104"/>
      <c r="AN63" s="1104"/>
      <c r="AO63" s="1104"/>
      <c r="AP63" s="1104"/>
      <c r="AQ63" s="1104"/>
      <c r="AR63" s="1104"/>
      <c r="AS63" s="1104"/>
      <c r="AT63" s="1104"/>
      <c r="AU63" s="1104"/>
      <c r="AV63" s="1104"/>
      <c r="AW63" s="1104"/>
      <c r="AX63" s="1104"/>
      <c r="AY63" s="1104"/>
      <c r="AZ63" s="1104"/>
      <c r="BA63" s="1104"/>
      <c r="BB63" s="1104"/>
      <c r="BC63" s="1104"/>
    </row>
    <row r="64" spans="2:55" ht="15" customHeight="1">
      <c r="B64" s="428"/>
      <c r="C64" s="428"/>
      <c r="D64" s="428"/>
      <c r="E64" s="428"/>
      <c r="F64" s="428"/>
      <c r="G64" s="428"/>
      <c r="H64" s="428"/>
      <c r="I64" s="428"/>
      <c r="J64" s="428"/>
      <c r="K64" s="428"/>
      <c r="L64" s="428"/>
      <c r="M64" s="428"/>
      <c r="N64" s="428"/>
      <c r="O64" s="428"/>
      <c r="P64" s="428"/>
      <c r="Q64" s="428"/>
      <c r="R64" s="428"/>
      <c r="S64" s="428"/>
      <c r="T64" s="428"/>
      <c r="U64" s="428"/>
      <c r="V64" s="428"/>
      <c r="W64" s="428"/>
      <c r="X64" s="428"/>
      <c r="Y64" s="428"/>
      <c r="Z64" s="428"/>
      <c r="AA64" s="428"/>
      <c r="AB64" s="428"/>
      <c r="AC64" s="428"/>
      <c r="AD64" s="428"/>
      <c r="AE64" s="428"/>
      <c r="AF64" s="428"/>
      <c r="AG64" s="428"/>
      <c r="AH64" s="428"/>
      <c r="AI64" s="428"/>
      <c r="AJ64" s="428"/>
      <c r="AK64" s="428"/>
      <c r="AL64" s="428"/>
      <c r="AM64" s="428"/>
      <c r="AN64" s="428"/>
      <c r="AO64" s="428"/>
      <c r="AP64" s="428"/>
      <c r="AQ64" s="428"/>
      <c r="AR64" s="428"/>
      <c r="AS64" s="428"/>
      <c r="AT64" s="428"/>
      <c r="AU64" s="428"/>
      <c r="AV64" s="428"/>
      <c r="AW64" s="428"/>
      <c r="AX64" s="428"/>
      <c r="AY64" s="428"/>
      <c r="AZ64" s="428"/>
      <c r="BA64" s="428"/>
      <c r="BB64" s="428"/>
      <c r="BC64" s="428"/>
    </row>
    <row r="65" spans="1:55" ht="15" customHeight="1">
      <c r="B65" s="331"/>
      <c r="C65" s="331"/>
      <c r="D65" s="331"/>
      <c r="E65" s="331"/>
      <c r="F65" s="331"/>
      <c r="G65" s="331"/>
      <c r="H65" s="331"/>
      <c r="I65" s="331"/>
      <c r="J65" s="331"/>
      <c r="K65" s="331"/>
      <c r="L65" s="331"/>
      <c r="M65" s="331"/>
      <c r="N65" s="331"/>
      <c r="O65" s="331"/>
      <c r="P65" s="331"/>
      <c r="Q65" s="331"/>
      <c r="R65" s="331"/>
      <c r="S65" s="331"/>
      <c r="T65" s="331"/>
      <c r="U65" s="331"/>
      <c r="V65" s="331"/>
      <c r="W65" s="331"/>
      <c r="X65" s="331"/>
      <c r="Y65" s="331"/>
      <c r="Z65" s="331"/>
      <c r="AA65" s="331"/>
      <c r="AB65" s="331"/>
      <c r="AC65" s="331"/>
      <c r="AD65" s="331"/>
      <c r="AE65" s="331"/>
      <c r="AF65" s="331"/>
      <c r="AG65" s="331"/>
      <c r="AH65" s="331"/>
      <c r="AI65" s="331"/>
      <c r="AJ65" s="331"/>
      <c r="AK65" s="331"/>
      <c r="AL65" s="331"/>
      <c r="AM65" s="331"/>
      <c r="AN65" s="331"/>
      <c r="AO65" s="331"/>
      <c r="AP65" s="331"/>
      <c r="AQ65" s="331"/>
      <c r="AR65" s="331"/>
      <c r="AS65" s="331"/>
      <c r="AT65" s="331"/>
      <c r="AU65" s="331"/>
      <c r="AV65" s="331"/>
      <c r="AW65" s="331"/>
      <c r="AX65" s="331"/>
      <c r="AY65" s="331"/>
      <c r="AZ65" s="331"/>
      <c r="BA65" s="331"/>
      <c r="BB65" s="331"/>
      <c r="BC65" s="331"/>
    </row>
    <row r="66" spans="1:55" ht="15" customHeight="1">
      <c r="D66" s="434" t="s">
        <v>469</v>
      </c>
      <c r="E66" s="434"/>
      <c r="F66" s="434"/>
      <c r="G66" s="434"/>
      <c r="H66" s="434"/>
      <c r="I66" s="434"/>
      <c r="J66" s="434"/>
      <c r="K66" s="434"/>
      <c r="L66" s="434"/>
      <c r="M66" s="434"/>
      <c r="N66" s="434"/>
      <c r="O66" s="434"/>
      <c r="P66" s="434"/>
      <c r="Q66" s="434"/>
      <c r="R66" s="434"/>
      <c r="S66" s="434"/>
      <c r="T66" s="434"/>
      <c r="U66" s="434"/>
      <c r="V66" s="434"/>
      <c r="W66" s="434"/>
      <c r="X66" s="434"/>
      <c r="Y66" s="434"/>
      <c r="Z66" s="434"/>
      <c r="AA66" s="434"/>
      <c r="AB66" s="434"/>
      <c r="AC66" s="434"/>
      <c r="AD66" s="434"/>
      <c r="AE66" s="434"/>
      <c r="AF66" s="434"/>
      <c r="AG66" s="434"/>
      <c r="AH66" s="434"/>
      <c r="AI66" s="434"/>
      <c r="AJ66" s="434"/>
      <c r="AK66" s="434"/>
      <c r="AL66" s="434"/>
      <c r="AM66" s="434"/>
      <c r="AN66" s="434"/>
      <c r="AO66" s="434"/>
      <c r="AP66" s="434" t="s">
        <v>470</v>
      </c>
      <c r="AQ66" s="434"/>
      <c r="AR66" s="434"/>
      <c r="AS66" s="434"/>
      <c r="AT66" s="434"/>
    </row>
    <row r="67" spans="1:55" ht="10.15" customHeight="1">
      <c r="B67" s="429"/>
    </row>
    <row r="68" spans="1:55" ht="15" customHeight="1">
      <c r="A68" s="1099">
        <f>Data!E5</f>
        <v>45768</v>
      </c>
      <c r="B68" s="1100"/>
      <c r="C68" s="1100"/>
      <c r="D68" s="1100"/>
      <c r="E68" s="1100"/>
      <c r="F68" s="1100"/>
      <c r="G68" s="1100"/>
      <c r="H68" s="1100"/>
      <c r="I68" s="1100"/>
      <c r="J68" s="1100"/>
      <c r="K68" s="1100"/>
      <c r="L68" s="1100"/>
      <c r="M68" s="430" t="s">
        <v>158</v>
      </c>
    </row>
  </sheetData>
  <mergeCells count="39">
    <mergeCell ref="A68:L68"/>
    <mergeCell ref="B52:AD52"/>
    <mergeCell ref="B59:BC63"/>
    <mergeCell ref="M33:BC33"/>
    <mergeCell ref="M34:BC34"/>
    <mergeCell ref="J35:BC35"/>
    <mergeCell ref="M46:BC46"/>
    <mergeCell ref="K41:BC41"/>
    <mergeCell ref="W43:BB43"/>
    <mergeCell ref="V44:BA44"/>
    <mergeCell ref="B58:AE58"/>
    <mergeCell ref="AH56:AT56"/>
    <mergeCell ref="AH55:AT55"/>
    <mergeCell ref="T42:BA42"/>
    <mergeCell ref="AH54:AT54"/>
    <mergeCell ref="L47:BC47"/>
    <mergeCell ref="J48:BC48"/>
    <mergeCell ref="W30:BB30"/>
    <mergeCell ref="V31:BA31"/>
    <mergeCell ref="W8:AB8"/>
    <mergeCell ref="T3:AL3"/>
    <mergeCell ref="Y10:AK10"/>
    <mergeCell ref="AO10:BC10"/>
    <mergeCell ref="N11:BC11"/>
    <mergeCell ref="I10:R10"/>
    <mergeCell ref="B4:S4"/>
    <mergeCell ref="T29:BA29"/>
    <mergeCell ref="N12:BC12"/>
    <mergeCell ref="K19:BC19"/>
    <mergeCell ref="M20:BC20"/>
    <mergeCell ref="C14:BC15"/>
    <mergeCell ref="T23:AB23"/>
    <mergeCell ref="V7:BC7"/>
    <mergeCell ref="T24:AB24"/>
    <mergeCell ref="K28:BC28"/>
    <mergeCell ref="T1:AM1"/>
    <mergeCell ref="T2:AL2"/>
    <mergeCell ref="X22:AK22"/>
    <mergeCell ref="L21:BC21"/>
  </mergeCells>
  <phoneticPr fontId="3" type="noConversion"/>
  <pageMargins left="0.35433070866141736" right="0.35433070866141736" top="0.27559055118110237" bottom="0.27559055118110237" header="0.51181102362204722" footer="0"/>
  <pageSetup paperSize="9" scale="70" orientation="portrait"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ayfa4">
    <tabColor indexed="8"/>
  </sheetPr>
  <dimension ref="A1:R89"/>
  <sheetViews>
    <sheetView view="pageBreakPreview" zoomScaleNormal="100" workbookViewId="0">
      <selection sqref="A1:I1"/>
    </sheetView>
  </sheetViews>
  <sheetFormatPr defaultRowHeight="12.75"/>
  <cols>
    <col min="1" max="1" width="1.7109375" style="212" customWidth="1"/>
    <col min="2" max="2" width="9.5703125" style="212" customWidth="1"/>
    <col min="3" max="3" width="11" style="212" customWidth="1"/>
    <col min="4" max="4" width="9.140625" style="212"/>
    <col min="5" max="5" width="10" style="212" customWidth="1"/>
    <col min="6" max="6" width="11.5703125" style="212" customWidth="1"/>
    <col min="7" max="7" width="8.85546875" style="212" customWidth="1"/>
    <col min="8" max="8" width="10.85546875" style="212" customWidth="1"/>
    <col min="9" max="9" width="10.28515625" style="212" customWidth="1"/>
    <col min="10" max="10" width="12.7109375" style="212" customWidth="1"/>
    <col min="11" max="11" width="9.140625" style="212"/>
    <col min="12" max="13" width="10.5703125" style="212" customWidth="1"/>
    <col min="14" max="14" width="6.85546875" style="212" customWidth="1"/>
    <col min="15" max="16384" width="9.140625" style="212"/>
  </cols>
  <sheetData>
    <row r="1" spans="2:18">
      <c r="E1" s="143"/>
      <c r="F1" s="1124"/>
      <c r="G1" s="1124"/>
      <c r="H1" s="1124"/>
      <c r="I1" s="1124"/>
    </row>
    <row r="2" spans="2:18">
      <c r="B2" s="1120" t="s">
        <v>371</v>
      </c>
      <c r="C2" s="1120"/>
      <c r="D2" s="1120"/>
      <c r="E2" s="1120"/>
      <c r="F2" s="1120"/>
      <c r="G2" s="1120"/>
      <c r="H2" s="1120"/>
      <c r="I2" s="1120"/>
      <c r="J2" s="1120"/>
      <c r="K2" s="1120"/>
      <c r="L2" s="1120"/>
      <c r="M2" s="1120"/>
      <c r="N2" s="1120"/>
      <c r="O2" s="142"/>
    </row>
    <row r="3" spans="2:18">
      <c r="E3" s="1125" t="s">
        <v>8</v>
      </c>
      <c r="F3" s="1125"/>
      <c r="G3" s="1125"/>
      <c r="H3" s="1125"/>
      <c r="I3" s="329" t="str">
        <f>Data!I5</f>
        <v>04/2078-25</v>
      </c>
    </row>
    <row r="4" spans="2:18" ht="12" customHeight="1"/>
    <row r="5" spans="2:18">
      <c r="C5" s="1126" t="s">
        <v>223</v>
      </c>
      <c r="D5" s="1126"/>
      <c r="L5" s="1114">
        <f>Data!E5</f>
        <v>45768</v>
      </c>
      <c r="M5" s="1114"/>
      <c r="N5" s="1114"/>
    </row>
    <row r="6" spans="2:18" ht="9.75" customHeight="1"/>
    <row r="7" spans="2:18">
      <c r="B7" s="697" t="s">
        <v>950</v>
      </c>
    </row>
    <row r="8" spans="2:18">
      <c r="B8" s="534" t="s">
        <v>949</v>
      </c>
      <c r="K8" s="1117" t="str">
        <f>Data!C23</f>
        <v>Yunusov Vüqar Fikrət oğlu</v>
      </c>
      <c r="L8" s="1117"/>
      <c r="M8" s="1117"/>
      <c r="N8" s="1117"/>
    </row>
    <row r="9" spans="2:18">
      <c r="B9" s="212" t="s">
        <v>382</v>
      </c>
      <c r="G9" s="1127">
        <f>Data!C106</f>
        <v>0</v>
      </c>
      <c r="H9" s="1127"/>
      <c r="I9" s="1127"/>
      <c r="J9" s="1127"/>
      <c r="K9" s="212" t="s">
        <v>505</v>
      </c>
    </row>
    <row r="10" spans="2:18">
      <c r="B10" s="212" t="s">
        <v>506</v>
      </c>
    </row>
    <row r="11" spans="2:18" ht="6.75" customHeight="1"/>
    <row r="12" spans="2:18">
      <c r="B12" s="1120" t="s">
        <v>527</v>
      </c>
      <c r="C12" s="1120"/>
      <c r="D12" s="1120"/>
      <c r="E12" s="1120"/>
      <c r="F12" s="1120"/>
      <c r="G12" s="1120"/>
      <c r="H12" s="1120"/>
      <c r="I12" s="1120"/>
      <c r="J12" s="1120"/>
      <c r="K12" s="1120"/>
      <c r="L12" s="1120"/>
      <c r="M12" s="1120"/>
      <c r="N12" s="1120"/>
      <c r="O12" s="142"/>
      <c r="P12" s="142"/>
      <c r="Q12" s="142"/>
      <c r="R12" s="142"/>
    </row>
    <row r="13" spans="2:18">
      <c r="B13" s="142" t="s">
        <v>543</v>
      </c>
      <c r="D13" s="1119" t="str">
        <f>Data!C23</f>
        <v>Yunusov Vüqar Fikrət oğlu</v>
      </c>
      <c r="E13" s="1119"/>
      <c r="F13" s="1119"/>
      <c r="G13" s="1119"/>
      <c r="H13" s="212" t="s">
        <v>421</v>
      </c>
      <c r="I13" s="1114">
        <f>Data!E5</f>
        <v>45768</v>
      </c>
      <c r="J13" s="1114"/>
      <c r="K13" s="212" t="s">
        <v>422</v>
      </c>
    </row>
    <row r="14" spans="2:18">
      <c r="B14" s="409" t="str">
        <f>Data!I5</f>
        <v>04/2078-25</v>
      </c>
      <c r="C14" s="212" t="s">
        <v>818</v>
      </c>
      <c r="H14" s="484">
        <f>Data!C78</f>
        <v>12</v>
      </c>
      <c r="I14" s="212" t="s">
        <v>819</v>
      </c>
      <c r="K14" s="214">
        <f>Data!C76</f>
        <v>0</v>
      </c>
      <c r="L14" s="212" t="s">
        <v>370</v>
      </c>
      <c r="M14" s="1118">
        <f>Data!C74</f>
        <v>1272</v>
      </c>
      <c r="N14" s="1118"/>
    </row>
    <row r="15" spans="2:18">
      <c r="B15" s="1117" t="str">
        <f>PP!AK6</f>
        <v>(Bir min iki yüz yetmiş iki manat )</v>
      </c>
      <c r="C15" s="1117"/>
      <c r="D15" s="1117"/>
      <c r="E15" s="1117"/>
      <c r="F15" s="1117"/>
      <c r="G15" s="212" t="s">
        <v>1</v>
      </c>
    </row>
    <row r="16" spans="2:18">
      <c r="B16" s="142" t="s">
        <v>544</v>
      </c>
      <c r="E16" s="1119">
        <f>Data!C106</f>
        <v>0</v>
      </c>
      <c r="F16" s="1119"/>
      <c r="G16" s="1119"/>
      <c r="H16" s="1119"/>
      <c r="I16" s="212" t="s">
        <v>426</v>
      </c>
    </row>
    <row r="17" spans="2:18">
      <c r="B17" s="212" t="s">
        <v>427</v>
      </c>
      <c r="E17" s="1114">
        <f>Data!E5</f>
        <v>45768</v>
      </c>
      <c r="F17" s="1114"/>
      <c r="G17" s="212" t="s">
        <v>428</v>
      </c>
      <c r="H17" s="213" t="str">
        <f>Data!I5</f>
        <v>04/2078-25</v>
      </c>
      <c r="I17" s="212" t="s">
        <v>429</v>
      </c>
      <c r="M17" s="404"/>
      <c r="N17" s="404"/>
    </row>
    <row r="18" spans="2:18">
      <c r="B18" s="212" t="s">
        <v>363</v>
      </c>
      <c r="M18" s="404"/>
      <c r="N18" s="404"/>
    </row>
    <row r="19" spans="2:18">
      <c r="B19" s="142" t="s">
        <v>545</v>
      </c>
    </row>
    <row r="20" spans="2:18">
      <c r="B20" s="142" t="s">
        <v>546</v>
      </c>
    </row>
    <row r="21" spans="2:18">
      <c r="B21" s="212" t="s">
        <v>524</v>
      </c>
    </row>
    <row r="22" spans="2:18">
      <c r="B22" s="212" t="s">
        <v>523</v>
      </c>
    </row>
    <row r="23" spans="2:18">
      <c r="B23" s="142" t="s">
        <v>547</v>
      </c>
      <c r="E23" s="700" t="str">
        <f>Data!I5</f>
        <v>04/2078-25</v>
      </c>
      <c r="F23" s="212" t="s">
        <v>509</v>
      </c>
    </row>
    <row r="24" spans="2:18" ht="9" customHeight="1"/>
    <row r="25" spans="2:18">
      <c r="B25" s="1120" t="s">
        <v>548</v>
      </c>
      <c r="C25" s="1120"/>
      <c r="D25" s="1120"/>
      <c r="E25" s="1120"/>
      <c r="F25" s="1120"/>
      <c r="G25" s="1120"/>
      <c r="H25" s="1120"/>
      <c r="I25" s="1120"/>
      <c r="J25" s="1120"/>
      <c r="K25" s="1120"/>
      <c r="L25" s="1120"/>
      <c r="M25" s="1120"/>
      <c r="N25" s="1120"/>
      <c r="O25" s="142"/>
      <c r="P25" s="142"/>
      <c r="Q25" s="142"/>
      <c r="R25" s="142"/>
    </row>
    <row r="26" spans="2:18">
      <c r="B26" s="142" t="s">
        <v>549</v>
      </c>
    </row>
    <row r="27" spans="2:18">
      <c r="B27" s="142" t="s">
        <v>550</v>
      </c>
    </row>
    <row r="28" spans="2:18">
      <c r="B28" s="212" t="s">
        <v>551</v>
      </c>
    </row>
    <row r="29" spans="2:18">
      <c r="B29" s="142" t="s">
        <v>552</v>
      </c>
    </row>
    <row r="30" spans="2:18">
      <c r="B30" s="212" t="s">
        <v>553</v>
      </c>
    </row>
    <row r="31" spans="2:18">
      <c r="B31" s="142" t="s">
        <v>554</v>
      </c>
    </row>
    <row r="32" spans="2:18">
      <c r="B32" s="142" t="s">
        <v>555</v>
      </c>
    </row>
    <row r="33" spans="2:18">
      <c r="B33" s="212" t="s">
        <v>430</v>
      </c>
    </row>
    <row r="34" spans="2:18">
      <c r="B34" s="142" t="s">
        <v>556</v>
      </c>
    </row>
    <row r="35" spans="2:18">
      <c r="B35" s="212" t="s">
        <v>557</v>
      </c>
    </row>
    <row r="36" spans="2:18">
      <c r="B36" s="142" t="s">
        <v>558</v>
      </c>
    </row>
    <row r="37" spans="2:18">
      <c r="B37" s="142" t="s">
        <v>559</v>
      </c>
    </row>
    <row r="38" spans="2:18">
      <c r="B38" s="142" t="s">
        <v>560</v>
      </c>
    </row>
    <row r="39" spans="2:18">
      <c r="B39" s="142" t="s">
        <v>561</v>
      </c>
    </row>
    <row r="40" spans="2:18">
      <c r="B40" s="212" t="s">
        <v>423</v>
      </c>
    </row>
    <row r="41" spans="2:18" ht="8.25" customHeight="1"/>
    <row r="42" spans="2:18">
      <c r="B42" s="1120" t="s">
        <v>562</v>
      </c>
      <c r="C42" s="1120"/>
      <c r="D42" s="1120"/>
      <c r="E42" s="1120"/>
      <c r="F42" s="1120"/>
      <c r="G42" s="1120"/>
      <c r="H42" s="1120"/>
      <c r="I42" s="1120"/>
      <c r="J42" s="1120"/>
      <c r="K42" s="1120"/>
      <c r="L42" s="1120"/>
      <c r="M42" s="1120"/>
      <c r="N42" s="1120"/>
      <c r="O42" s="142"/>
      <c r="P42" s="142"/>
      <c r="Q42" s="142"/>
      <c r="R42" s="142"/>
    </row>
    <row r="43" spans="2:18">
      <c r="B43" s="142" t="s">
        <v>563</v>
      </c>
    </row>
    <row r="44" spans="2:18">
      <c r="B44" s="212" t="s">
        <v>564</v>
      </c>
    </row>
    <row r="45" spans="2:18">
      <c r="B45" s="142" t="s">
        <v>565</v>
      </c>
    </row>
    <row r="46" spans="2:18">
      <c r="B46" s="142" t="s">
        <v>566</v>
      </c>
    </row>
    <row r="47" spans="2:18">
      <c r="B47" s="212" t="s">
        <v>424</v>
      </c>
    </row>
    <row r="48" spans="2:18">
      <c r="B48" s="142" t="s">
        <v>567</v>
      </c>
    </row>
    <row r="49" spans="2:14">
      <c r="B49" s="212" t="s">
        <v>568</v>
      </c>
    </row>
    <row r="50" spans="2:14">
      <c r="B50" s="142" t="s">
        <v>569</v>
      </c>
    </row>
    <row r="51" spans="2:14">
      <c r="B51" s="212" t="s">
        <v>436</v>
      </c>
    </row>
    <row r="52" spans="2:14">
      <c r="B52" s="212" t="s">
        <v>437</v>
      </c>
    </row>
    <row r="53" spans="2:14">
      <c r="B53" s="142" t="s">
        <v>570</v>
      </c>
    </row>
    <row r="54" spans="2:14">
      <c r="B54" s="212" t="s">
        <v>571</v>
      </c>
    </row>
    <row r="55" spans="2:14">
      <c r="B55" s="202" t="s">
        <v>572</v>
      </c>
    </row>
    <row r="56" spans="2:14">
      <c r="B56" s="201" t="s">
        <v>376</v>
      </c>
    </row>
    <row r="57" spans="2:14">
      <c r="B57" s="142" t="s">
        <v>573</v>
      </c>
    </row>
    <row r="58" spans="2:14">
      <c r="B58" s="212" t="s">
        <v>425</v>
      </c>
    </row>
    <row r="59" spans="2:14">
      <c r="B59" s="142" t="s">
        <v>574</v>
      </c>
    </row>
    <row r="60" spans="2:14">
      <c r="B60" s="142" t="s">
        <v>575</v>
      </c>
    </row>
    <row r="61" spans="2:14">
      <c r="B61" s="202" t="s">
        <v>576</v>
      </c>
    </row>
    <row r="62" spans="2:14">
      <c r="B62" s="212" t="s">
        <v>380</v>
      </c>
    </row>
    <row r="63" spans="2:14">
      <c r="B63" s="212" t="s">
        <v>381</v>
      </c>
    </row>
    <row r="64" spans="2:14" ht="20.25" customHeight="1">
      <c r="B64" s="204"/>
      <c r="C64" s="203"/>
      <c r="D64" s="203"/>
      <c r="E64" s="203"/>
      <c r="F64" s="203"/>
      <c r="G64" s="203"/>
      <c r="H64" s="204"/>
      <c r="I64" s="203"/>
      <c r="J64" s="203"/>
      <c r="K64" s="203"/>
      <c r="L64" s="203"/>
      <c r="M64" s="203"/>
      <c r="N64" s="203"/>
    </row>
    <row r="65" spans="1:15" ht="12" customHeight="1">
      <c r="B65" s="1121" t="s">
        <v>377</v>
      </c>
      <c r="C65" s="1121"/>
      <c r="D65" s="1121"/>
      <c r="E65" s="1121"/>
      <c r="F65" s="1121"/>
      <c r="G65" s="1121"/>
      <c r="H65" s="1121"/>
      <c r="I65" s="1121"/>
      <c r="J65" s="1121"/>
      <c r="K65" s="1121"/>
      <c r="L65" s="1121"/>
      <c r="M65" s="1121"/>
      <c r="N65" s="1121"/>
    </row>
    <row r="66" spans="1:15" ht="17.25" customHeight="1">
      <c r="B66" s="1122"/>
      <c r="C66" s="1122"/>
      <c r="D66" s="1122"/>
      <c r="E66" s="1122"/>
      <c r="F66" s="1122"/>
      <c r="G66" s="1122"/>
      <c r="H66" s="1122"/>
      <c r="I66" s="1122"/>
      <c r="J66" s="1122"/>
      <c r="K66" s="1122"/>
      <c r="L66" s="1122"/>
      <c r="M66" s="1122"/>
      <c r="N66" s="1122"/>
    </row>
    <row r="67" spans="1:15">
      <c r="B67" s="1115" t="s">
        <v>378</v>
      </c>
      <c r="C67" s="1115"/>
      <c r="D67" s="1115"/>
      <c r="E67" s="1115"/>
      <c r="F67" s="1115"/>
      <c r="G67" s="1115"/>
      <c r="H67" s="1115"/>
      <c r="I67" s="1115"/>
      <c r="J67" s="1115"/>
      <c r="K67" s="1115"/>
      <c r="L67" s="1115"/>
      <c r="M67" s="1115"/>
      <c r="N67" s="1115"/>
    </row>
    <row r="68" spans="1:15" ht="16.5" customHeight="1">
      <c r="B68" s="1123" t="s">
        <v>577</v>
      </c>
      <c r="C68" s="1123"/>
      <c r="D68" s="1123"/>
      <c r="E68" s="1123"/>
      <c r="F68" s="1123"/>
      <c r="G68" s="1123"/>
      <c r="H68" s="1123"/>
      <c r="I68" s="1123"/>
      <c r="J68" s="1123"/>
      <c r="K68" s="1123"/>
      <c r="L68" s="1123"/>
      <c r="M68" s="1123"/>
      <c r="N68" s="1123"/>
      <c r="O68" s="202"/>
    </row>
    <row r="69" spans="1:15">
      <c r="A69" s="201"/>
      <c r="B69" s="205" t="s">
        <v>284</v>
      </c>
      <c r="C69" s="206"/>
      <c r="D69" s="206"/>
      <c r="E69" s="206"/>
      <c r="F69" s="206"/>
      <c r="G69" s="208"/>
      <c r="H69" s="206"/>
      <c r="I69" s="207"/>
      <c r="J69" s="207"/>
      <c r="K69" s="216" t="s">
        <v>129</v>
      </c>
      <c r="L69" s="206"/>
      <c r="M69" s="206"/>
      <c r="N69" s="208"/>
      <c r="O69" s="201"/>
    </row>
    <row r="70" spans="1:15">
      <c r="A70" s="201"/>
      <c r="B70" s="737" t="s">
        <v>940</v>
      </c>
      <c r="C70" s="201"/>
      <c r="D70" s="201"/>
      <c r="E70" s="201"/>
      <c r="F70" s="201"/>
      <c r="G70" s="210"/>
      <c r="H70" s="201"/>
      <c r="I70" s="1109" t="str">
        <f>Data!C23</f>
        <v>Yunusov Vüqar Fikrət oğlu</v>
      </c>
      <c r="J70" s="1109"/>
      <c r="K70" s="1109"/>
      <c r="L70" s="1109"/>
      <c r="M70" s="1109"/>
      <c r="N70" s="1110"/>
      <c r="O70" s="201"/>
    </row>
    <row r="71" spans="1:15">
      <c r="A71" s="201"/>
      <c r="B71" s="741" t="s">
        <v>941</v>
      </c>
      <c r="C71" s="201"/>
      <c r="D71" s="201"/>
      <c r="E71" s="201"/>
      <c r="F71" s="201"/>
      <c r="G71" s="210"/>
      <c r="H71" s="202" t="s">
        <v>4</v>
      </c>
      <c r="I71" s="1109" t="str">
        <f>Data!C29</f>
        <v>NEFTÇALA RAYONU, XOL QARABUCAQ Ə/D, DÖRDLƏR KƏNDİ</v>
      </c>
      <c r="J71" s="1109"/>
      <c r="K71" s="1109"/>
      <c r="L71" s="1109"/>
      <c r="M71" s="1109"/>
      <c r="N71" s="1110"/>
      <c r="O71" s="201"/>
    </row>
    <row r="72" spans="1:15">
      <c r="A72" s="201"/>
      <c r="B72" s="209" t="s">
        <v>367</v>
      </c>
      <c r="C72" s="201"/>
      <c r="D72" s="201"/>
      <c r="E72" s="201"/>
      <c r="F72" s="201"/>
      <c r="G72" s="210"/>
      <c r="H72" s="202" t="s">
        <v>372</v>
      </c>
      <c r="J72" s="1113" t="str">
        <f>Data!C21</f>
        <v>AA5512135</v>
      </c>
      <c r="K72" s="1109"/>
      <c r="M72" s="201"/>
      <c r="N72" s="210"/>
      <c r="O72" s="201"/>
    </row>
    <row r="73" spans="1:15">
      <c r="A73" s="201"/>
      <c r="B73" s="218" t="s">
        <v>951</v>
      </c>
      <c r="C73" s="201"/>
      <c r="D73" s="201"/>
      <c r="E73" s="201"/>
      <c r="F73" s="201"/>
      <c r="G73" s="210"/>
      <c r="H73" s="202" t="s">
        <v>5</v>
      </c>
      <c r="J73" s="1108" t="str">
        <f>Data!E21</f>
        <v>29.10.2023</v>
      </c>
      <c r="K73" s="1108"/>
      <c r="M73" s="1109" t="str">
        <f>Data!C27</f>
        <v>Asan4</v>
      </c>
      <c r="N73" s="1110"/>
      <c r="O73" s="201"/>
    </row>
    <row r="74" spans="1:15">
      <c r="A74" s="201"/>
      <c r="B74" s="209" t="s">
        <v>478</v>
      </c>
      <c r="C74" s="202"/>
      <c r="D74" s="202"/>
      <c r="E74" s="202"/>
      <c r="F74" s="202"/>
      <c r="G74" s="210"/>
      <c r="H74" s="201"/>
      <c r="I74" s="201"/>
      <c r="J74" s="201"/>
      <c r="K74" s="201"/>
      <c r="L74" s="201"/>
      <c r="M74" s="201"/>
      <c r="N74" s="210"/>
      <c r="O74" s="201"/>
    </row>
    <row r="75" spans="1:15">
      <c r="A75" s="201"/>
      <c r="B75" s="224" t="s">
        <v>6</v>
      </c>
      <c r="C75" s="225" t="s">
        <v>285</v>
      </c>
      <c r="D75" s="201"/>
      <c r="E75" s="201"/>
      <c r="F75" s="201"/>
      <c r="G75" s="210"/>
      <c r="H75" s="201"/>
      <c r="I75" s="201"/>
      <c r="J75" s="201"/>
      <c r="K75" s="201"/>
      <c r="L75" s="201"/>
      <c r="M75" s="201"/>
      <c r="N75" s="210"/>
      <c r="O75" s="201"/>
    </row>
    <row r="76" spans="1:15">
      <c r="A76" s="201"/>
      <c r="B76" s="218"/>
      <c r="D76" s="201"/>
      <c r="E76" s="201"/>
      <c r="F76" s="201"/>
      <c r="G76" s="210"/>
      <c r="H76" s="201"/>
      <c r="I76" s="201"/>
      <c r="J76" s="201"/>
      <c r="K76" s="201"/>
      <c r="L76" s="201"/>
      <c r="M76" s="201"/>
      <c r="N76" s="210"/>
      <c r="O76" s="201"/>
    </row>
    <row r="77" spans="1:15">
      <c r="A77" s="201"/>
      <c r="B77" s="209"/>
      <c r="C77" s="225"/>
      <c r="D77" s="201"/>
      <c r="E77" s="201"/>
      <c r="F77" s="201"/>
      <c r="G77" s="210"/>
      <c r="H77" s="201"/>
      <c r="I77" s="202" t="s">
        <v>129</v>
      </c>
      <c r="J77" s="203"/>
      <c r="K77" s="203"/>
      <c r="L77" s="203"/>
      <c r="M77" s="203"/>
      <c r="N77" s="210"/>
      <c r="O77" s="201"/>
    </row>
    <row r="78" spans="1:15">
      <c r="A78" s="201"/>
      <c r="B78" s="209"/>
      <c r="C78" s="201"/>
      <c r="D78" s="201"/>
      <c r="E78" s="201"/>
      <c r="F78" s="201"/>
      <c r="G78" s="210"/>
      <c r="H78" s="201"/>
      <c r="I78" s="201"/>
      <c r="J78" s="201"/>
      <c r="K78" s="201"/>
      <c r="L78" s="201"/>
      <c r="M78" s="201"/>
      <c r="N78" s="210"/>
      <c r="O78" s="201"/>
    </row>
    <row r="79" spans="1:15">
      <c r="A79" s="201"/>
      <c r="B79" s="211"/>
      <c r="C79" s="201"/>
      <c r="D79" s="201"/>
      <c r="E79" s="201"/>
      <c r="F79" s="201"/>
      <c r="G79" s="210"/>
      <c r="H79" s="201"/>
      <c r="I79" s="201"/>
      <c r="J79" s="201"/>
      <c r="K79" s="201"/>
      <c r="L79" s="201"/>
      <c r="M79" s="201"/>
      <c r="N79" s="210"/>
      <c r="O79" s="201"/>
    </row>
    <row r="80" spans="1:15">
      <c r="A80" s="201"/>
      <c r="B80" s="224"/>
      <c r="C80" s="142"/>
      <c r="D80" s="142"/>
      <c r="E80" s="142"/>
      <c r="F80" s="142"/>
      <c r="G80" s="228"/>
      <c r="H80" s="201"/>
      <c r="I80" s="201"/>
      <c r="J80" s="201"/>
      <c r="K80" s="217" t="s">
        <v>2</v>
      </c>
      <c r="L80" s="201"/>
      <c r="M80" s="201"/>
      <c r="N80" s="210"/>
      <c r="O80" s="201"/>
    </row>
    <row r="81" spans="2:14">
      <c r="B81" s="224"/>
      <c r="C81" s="142"/>
      <c r="D81" s="142"/>
      <c r="E81" s="142"/>
      <c r="F81" s="142"/>
      <c r="G81" s="228"/>
      <c r="I81" s="1116">
        <f>Data!C106</f>
        <v>0</v>
      </c>
      <c r="J81" s="1116"/>
      <c r="K81" s="1116"/>
      <c r="L81" s="1116"/>
      <c r="N81" s="219"/>
    </row>
    <row r="82" spans="2:14">
      <c r="B82" s="218"/>
      <c r="D82" s="212" t="s">
        <v>159</v>
      </c>
      <c r="F82" s="212" t="s">
        <v>159</v>
      </c>
      <c r="G82" s="219"/>
      <c r="H82" s="202" t="s">
        <v>4</v>
      </c>
      <c r="I82" s="1111">
        <f>Data!C110</f>
        <v>0</v>
      </c>
      <c r="J82" s="1111"/>
      <c r="K82" s="1111"/>
      <c r="L82" s="1111"/>
      <c r="M82" s="1111"/>
      <c r="N82" s="1112"/>
    </row>
    <row r="83" spans="2:14">
      <c r="B83" s="218"/>
      <c r="G83" s="219"/>
      <c r="H83" s="202" t="s">
        <v>372</v>
      </c>
      <c r="J83" s="1113">
        <f>Data!C102</f>
        <v>0</v>
      </c>
      <c r="K83" s="1109"/>
      <c r="M83" s="201"/>
      <c r="N83" s="210"/>
    </row>
    <row r="84" spans="2:14">
      <c r="B84" s="209" t="s">
        <v>364</v>
      </c>
      <c r="C84" s="203"/>
      <c r="D84" s="203"/>
      <c r="E84" s="203"/>
      <c r="F84" s="201"/>
      <c r="G84" s="219"/>
      <c r="H84" s="202" t="s">
        <v>5</v>
      </c>
      <c r="J84" s="1108">
        <f>Data!E102</f>
        <v>0</v>
      </c>
      <c r="K84" s="1108"/>
      <c r="M84" s="1109" t="str">
        <f>Data!C104</f>
        <v>ASAN 2</v>
      </c>
      <c r="N84" s="1110"/>
    </row>
    <row r="85" spans="2:14">
      <c r="B85" s="209" t="s">
        <v>150</v>
      </c>
      <c r="C85" s="201"/>
      <c r="D85" s="201"/>
      <c r="E85" s="201"/>
      <c r="F85" s="201"/>
      <c r="G85" s="219"/>
      <c r="N85" s="219"/>
    </row>
    <row r="86" spans="2:14">
      <c r="B86" s="218"/>
      <c r="G86" s="219"/>
      <c r="N86" s="219"/>
    </row>
    <row r="87" spans="2:14">
      <c r="B87" s="218"/>
      <c r="G87" s="219"/>
      <c r="I87" s="142" t="s">
        <v>2</v>
      </c>
      <c r="J87" s="215"/>
      <c r="K87" s="215"/>
      <c r="L87" s="215"/>
      <c r="M87" s="215"/>
      <c r="N87" s="219"/>
    </row>
    <row r="88" spans="2:14">
      <c r="B88" s="218"/>
      <c r="G88" s="219"/>
      <c r="N88" s="219"/>
    </row>
    <row r="89" spans="2:14">
      <c r="B89" s="220"/>
      <c r="C89" s="215"/>
      <c r="D89" s="215"/>
      <c r="E89" s="215"/>
      <c r="F89" s="215"/>
      <c r="G89" s="221"/>
      <c r="H89" s="215"/>
      <c r="I89" s="215"/>
      <c r="J89" s="215"/>
      <c r="K89" s="215"/>
      <c r="L89" s="215"/>
      <c r="M89" s="215"/>
      <c r="N89" s="221"/>
    </row>
  </sheetData>
  <mergeCells count="30">
    <mergeCell ref="F1:I1"/>
    <mergeCell ref="L5:N5"/>
    <mergeCell ref="I13:J13"/>
    <mergeCell ref="K8:N8"/>
    <mergeCell ref="D13:G13"/>
    <mergeCell ref="E3:H3"/>
    <mergeCell ref="B2:N2"/>
    <mergeCell ref="C5:D5"/>
    <mergeCell ref="G9:J9"/>
    <mergeCell ref="B12:N12"/>
    <mergeCell ref="B15:F15"/>
    <mergeCell ref="M73:N73"/>
    <mergeCell ref="M14:N14"/>
    <mergeCell ref="E16:H16"/>
    <mergeCell ref="B25:N25"/>
    <mergeCell ref="J72:K72"/>
    <mergeCell ref="B65:N65"/>
    <mergeCell ref="B42:N42"/>
    <mergeCell ref="B66:N66"/>
    <mergeCell ref="B68:N68"/>
    <mergeCell ref="J84:K84"/>
    <mergeCell ref="M84:N84"/>
    <mergeCell ref="I82:N82"/>
    <mergeCell ref="J83:K83"/>
    <mergeCell ref="E17:F17"/>
    <mergeCell ref="B67:N67"/>
    <mergeCell ref="I81:L81"/>
    <mergeCell ref="J73:K73"/>
    <mergeCell ref="I70:N70"/>
    <mergeCell ref="I71:N71"/>
  </mergeCells>
  <phoneticPr fontId="3" type="noConversion"/>
  <pageMargins left="0.23622047244094491" right="0.19685039370078741" top="7.874015748031496E-2" bottom="0.15748031496062992" header="0.19685039370078741" footer="0.19685039370078741"/>
  <pageSetup paperSize="9" scale="65" orientation="portrait" r:id="rId1"/>
  <headerFooter alignWithMargins="0"/>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ayfa5">
    <tabColor indexed="8"/>
  </sheetPr>
  <dimension ref="A1:R89"/>
  <sheetViews>
    <sheetView view="pageBreakPreview" zoomScaleNormal="100" zoomScaleSheetLayoutView="100" workbookViewId="0">
      <selection sqref="A1:G1"/>
    </sheetView>
  </sheetViews>
  <sheetFormatPr defaultRowHeight="12.75"/>
  <cols>
    <col min="1" max="1" width="1.140625" style="212" customWidth="1"/>
    <col min="2" max="2" width="9.140625" style="212" customWidth="1"/>
    <col min="3" max="3" width="11" style="212" customWidth="1"/>
    <col min="4" max="4" width="9.140625" style="212"/>
    <col min="5" max="5" width="10" style="212" customWidth="1"/>
    <col min="6" max="6" width="11.28515625" style="212" customWidth="1"/>
    <col min="7" max="7" width="9.42578125" style="212" customWidth="1"/>
    <col min="8" max="8" width="9.28515625" style="212" customWidth="1"/>
    <col min="9" max="9" width="10.7109375" style="212" customWidth="1"/>
    <col min="10" max="10" width="12.28515625" style="212" customWidth="1"/>
    <col min="11" max="11" width="9.7109375" style="212" customWidth="1"/>
    <col min="12" max="12" width="10.28515625" style="212" customWidth="1"/>
    <col min="13" max="13" width="8.28515625" style="212" customWidth="1"/>
    <col min="14" max="14" width="9" style="212" customWidth="1"/>
    <col min="15" max="15" width="0.85546875" style="212" customWidth="1"/>
    <col min="16" max="16384" width="9.140625" style="212"/>
  </cols>
  <sheetData>
    <row r="1" spans="2:18" ht="14.25">
      <c r="B1" s="1129"/>
      <c r="C1" s="1129"/>
      <c r="D1" s="1129"/>
      <c r="E1" s="1129"/>
      <c r="F1" s="1129"/>
      <c r="G1" s="1129"/>
      <c r="H1" s="1129"/>
      <c r="I1" s="1129"/>
      <c r="J1" s="1129"/>
      <c r="K1" s="1129"/>
      <c r="L1" s="1129"/>
      <c r="M1" s="1129"/>
      <c r="N1" s="1129"/>
    </row>
    <row r="2" spans="2:18">
      <c r="B2" s="1120" t="s">
        <v>371</v>
      </c>
      <c r="C2" s="1120"/>
      <c r="D2" s="1120"/>
      <c r="E2" s="1120"/>
      <c r="F2" s="1120"/>
      <c r="G2" s="1120"/>
      <c r="H2" s="1120"/>
      <c r="I2" s="1120"/>
      <c r="J2" s="1120"/>
      <c r="K2" s="1120"/>
      <c r="L2" s="1120"/>
      <c r="M2" s="1120"/>
      <c r="N2" s="1120"/>
    </row>
    <row r="3" spans="2:18">
      <c r="E3" s="1125" t="s">
        <v>8</v>
      </c>
      <c r="F3" s="1125"/>
      <c r="G3" s="1125"/>
      <c r="H3" s="1125"/>
      <c r="I3" s="329" t="str">
        <f>Data!I5</f>
        <v>04/2078-25</v>
      </c>
    </row>
    <row r="4" spans="2:18" ht="9" customHeight="1"/>
    <row r="5" spans="2:18">
      <c r="C5" s="1126" t="s">
        <v>223</v>
      </c>
      <c r="D5" s="1126"/>
      <c r="L5" s="1114">
        <f>Data!E5</f>
        <v>45768</v>
      </c>
      <c r="M5" s="1114"/>
      <c r="N5" s="1114"/>
    </row>
    <row r="6" spans="2:18" ht="9" customHeight="1"/>
    <row r="7" spans="2:18">
      <c r="B7" s="697" t="s">
        <v>950</v>
      </c>
    </row>
    <row r="8" spans="2:18">
      <c r="B8" s="534" t="s">
        <v>949</v>
      </c>
      <c r="K8" s="1117" t="str">
        <f>Data!C23</f>
        <v>Yunusov Vüqar Fikrət oğlu</v>
      </c>
      <c r="L8" s="1117"/>
      <c r="M8" s="1117"/>
      <c r="N8" s="1117"/>
    </row>
    <row r="9" spans="2:18">
      <c r="B9" s="212" t="s">
        <v>382</v>
      </c>
      <c r="G9" s="1127">
        <f>Data!C124</f>
        <v>0</v>
      </c>
      <c r="H9" s="1127"/>
      <c r="I9" s="1127"/>
      <c r="J9" s="1127"/>
      <c r="K9" s="212" t="s">
        <v>505</v>
      </c>
    </row>
    <row r="10" spans="2:18">
      <c r="B10" s="212" t="s">
        <v>507</v>
      </c>
    </row>
    <row r="11" spans="2:18">
      <c r="B11" s="142"/>
    </row>
    <row r="12" spans="2:18">
      <c r="B12" s="1120" t="s">
        <v>527</v>
      </c>
      <c r="C12" s="1120"/>
      <c r="D12" s="1120"/>
      <c r="E12" s="1120"/>
      <c r="F12" s="1120"/>
      <c r="G12" s="1120"/>
      <c r="H12" s="1120"/>
      <c r="I12" s="1120"/>
      <c r="J12" s="1120"/>
      <c r="K12" s="1120"/>
      <c r="L12" s="1120"/>
      <c r="M12" s="1120"/>
      <c r="N12" s="1120"/>
      <c r="O12" s="142"/>
      <c r="P12" s="142"/>
      <c r="Q12" s="142"/>
      <c r="R12" s="142"/>
    </row>
    <row r="13" spans="2:18">
      <c r="B13" s="142" t="s">
        <v>543</v>
      </c>
      <c r="D13" s="1119" t="str">
        <f>Data!C23</f>
        <v>Yunusov Vüqar Fikrət oğlu</v>
      </c>
      <c r="E13" s="1119"/>
      <c r="F13" s="1119"/>
      <c r="G13" s="1119"/>
      <c r="H13" s="212" t="s">
        <v>421</v>
      </c>
      <c r="I13" s="1114">
        <f>Data!E5</f>
        <v>45768</v>
      </c>
      <c r="J13" s="1114"/>
      <c r="K13" s="212" t="s">
        <v>422</v>
      </c>
    </row>
    <row r="14" spans="2:18">
      <c r="B14" s="340" t="str">
        <f>Data!I5</f>
        <v>04/2078-25</v>
      </c>
      <c r="C14" s="212" t="s">
        <v>818</v>
      </c>
      <c r="H14" s="484">
        <f>Data!C78</f>
        <v>12</v>
      </c>
      <c r="I14" s="212" t="s">
        <v>820</v>
      </c>
      <c r="K14" s="214">
        <f>Data!C76</f>
        <v>0</v>
      </c>
      <c r="L14" s="212" t="s">
        <v>370</v>
      </c>
      <c r="M14" s="1118">
        <f>Data!C74</f>
        <v>1272</v>
      </c>
      <c r="N14" s="1118"/>
    </row>
    <row r="15" spans="2:18">
      <c r="B15" s="1117" t="str">
        <f>PP!AK6</f>
        <v>(Bir min iki yüz yetmiş iki manat )</v>
      </c>
      <c r="C15" s="1117"/>
      <c r="D15" s="1117"/>
      <c r="E15" s="1117"/>
      <c r="F15" s="1117"/>
      <c r="G15" s="212" t="s">
        <v>1</v>
      </c>
      <c r="H15" s="409"/>
    </row>
    <row r="16" spans="2:18">
      <c r="B16" s="142" t="s">
        <v>578</v>
      </c>
      <c r="E16" s="1119">
        <f>Data!C124</f>
        <v>0</v>
      </c>
      <c r="F16" s="1119"/>
      <c r="G16" s="1119"/>
      <c r="H16" s="1119"/>
      <c r="I16" s="212" t="s">
        <v>426</v>
      </c>
    </row>
    <row r="17" spans="2:18">
      <c r="B17" s="212" t="s">
        <v>427</v>
      </c>
      <c r="E17" s="1114">
        <f>Data!E5</f>
        <v>45768</v>
      </c>
      <c r="F17" s="1114"/>
      <c r="G17" s="212" t="s">
        <v>428</v>
      </c>
      <c r="H17" s="213" t="str">
        <f>Data!I5</f>
        <v>04/2078-25</v>
      </c>
      <c r="I17" s="212" t="s">
        <v>429</v>
      </c>
      <c r="M17" s="405"/>
      <c r="N17" s="405"/>
    </row>
    <row r="18" spans="2:18">
      <c r="B18" s="212" t="s">
        <v>363</v>
      </c>
      <c r="M18" s="405"/>
      <c r="N18" s="405"/>
    </row>
    <row r="19" spans="2:18">
      <c r="B19" s="142" t="s">
        <v>545</v>
      </c>
    </row>
    <row r="20" spans="2:18">
      <c r="B20" s="142" t="s">
        <v>546</v>
      </c>
    </row>
    <row r="21" spans="2:18">
      <c r="B21" s="212" t="s">
        <v>525</v>
      </c>
    </row>
    <row r="22" spans="2:18">
      <c r="B22" s="212" t="s">
        <v>523</v>
      </c>
    </row>
    <row r="23" spans="2:18">
      <c r="B23" s="142" t="s">
        <v>547</v>
      </c>
      <c r="E23" s="339" t="str">
        <f>Data!I5</f>
        <v>04/2078-25</v>
      </c>
      <c r="F23" s="212" t="s">
        <v>368</v>
      </c>
    </row>
    <row r="24" spans="2:18" ht="8.25" customHeight="1"/>
    <row r="25" spans="2:18">
      <c r="B25" s="1120" t="s">
        <v>548</v>
      </c>
      <c r="C25" s="1120"/>
      <c r="D25" s="1120"/>
      <c r="E25" s="1120"/>
      <c r="F25" s="1120"/>
      <c r="G25" s="1120"/>
      <c r="H25" s="1120"/>
      <c r="I25" s="1120"/>
      <c r="J25" s="1120"/>
      <c r="K25" s="1120"/>
      <c r="L25" s="1120"/>
      <c r="M25" s="1120"/>
      <c r="N25" s="1120"/>
      <c r="O25" s="142"/>
      <c r="P25" s="142"/>
      <c r="Q25" s="142"/>
      <c r="R25" s="142"/>
    </row>
    <row r="26" spans="2:18">
      <c r="B26" s="142" t="s">
        <v>549</v>
      </c>
    </row>
    <row r="27" spans="2:18">
      <c r="B27" s="142" t="s">
        <v>550</v>
      </c>
    </row>
    <row r="28" spans="2:18">
      <c r="B28" s="212" t="s">
        <v>551</v>
      </c>
    </row>
    <row r="29" spans="2:18">
      <c r="B29" s="142" t="s">
        <v>552</v>
      </c>
    </row>
    <row r="30" spans="2:18">
      <c r="B30" s="212" t="s">
        <v>553</v>
      </c>
    </row>
    <row r="31" spans="2:18">
      <c r="B31" s="142" t="s">
        <v>554</v>
      </c>
    </row>
    <row r="32" spans="2:18">
      <c r="B32" s="142" t="s">
        <v>555</v>
      </c>
    </row>
    <row r="33" spans="2:18">
      <c r="B33" s="212" t="s">
        <v>430</v>
      </c>
    </row>
    <row r="34" spans="2:18">
      <c r="B34" s="142" t="s">
        <v>556</v>
      </c>
    </row>
    <row r="35" spans="2:18">
      <c r="B35" s="212" t="s">
        <v>557</v>
      </c>
    </row>
    <row r="36" spans="2:18">
      <c r="B36" s="142" t="s">
        <v>558</v>
      </c>
    </row>
    <row r="37" spans="2:18">
      <c r="B37" s="142" t="s">
        <v>559</v>
      </c>
    </row>
    <row r="38" spans="2:18">
      <c r="B38" s="142" t="s">
        <v>560</v>
      </c>
    </row>
    <row r="39" spans="2:18">
      <c r="B39" s="142" t="s">
        <v>561</v>
      </c>
    </row>
    <row r="40" spans="2:18">
      <c r="B40" s="212" t="s">
        <v>423</v>
      </c>
    </row>
    <row r="41" spans="2:18" ht="8.1" customHeight="1"/>
    <row r="42" spans="2:18">
      <c r="B42" s="1120" t="s">
        <v>562</v>
      </c>
      <c r="C42" s="1120"/>
      <c r="D42" s="1120"/>
      <c r="E42" s="1120"/>
      <c r="F42" s="1120"/>
      <c r="G42" s="1120"/>
      <c r="H42" s="1120"/>
      <c r="I42" s="1120"/>
      <c r="J42" s="1120"/>
      <c r="K42" s="1120"/>
      <c r="L42" s="1120"/>
      <c r="M42" s="1120"/>
      <c r="N42" s="1120"/>
      <c r="O42" s="142"/>
      <c r="P42" s="142"/>
      <c r="Q42" s="142"/>
      <c r="R42" s="142"/>
    </row>
    <row r="43" spans="2:18">
      <c r="B43" s="142" t="s">
        <v>563</v>
      </c>
    </row>
    <row r="44" spans="2:18">
      <c r="B44" s="212" t="s">
        <v>564</v>
      </c>
    </row>
    <row r="45" spans="2:18">
      <c r="B45" s="142" t="s">
        <v>565</v>
      </c>
    </row>
    <row r="46" spans="2:18">
      <c r="B46" s="142" t="s">
        <v>566</v>
      </c>
    </row>
    <row r="47" spans="2:18">
      <c r="B47" s="212" t="s">
        <v>424</v>
      </c>
    </row>
    <row r="48" spans="2:18">
      <c r="B48" s="142" t="s">
        <v>567</v>
      </c>
    </row>
    <row r="49" spans="2:14">
      <c r="B49" s="212" t="s">
        <v>568</v>
      </c>
    </row>
    <row r="50" spans="2:14">
      <c r="B50" s="142" t="s">
        <v>569</v>
      </c>
    </row>
    <row r="51" spans="2:14">
      <c r="B51" s="212" t="s">
        <v>436</v>
      </c>
    </row>
    <row r="52" spans="2:14">
      <c r="B52" s="212" t="s">
        <v>437</v>
      </c>
    </row>
    <row r="53" spans="2:14">
      <c r="B53" s="142" t="s">
        <v>570</v>
      </c>
    </row>
    <row r="54" spans="2:14">
      <c r="B54" s="212" t="s">
        <v>571</v>
      </c>
    </row>
    <row r="55" spans="2:14">
      <c r="B55" s="202" t="s">
        <v>572</v>
      </c>
    </row>
    <row r="56" spans="2:14">
      <c r="B56" s="201" t="s">
        <v>376</v>
      </c>
    </row>
    <row r="57" spans="2:14">
      <c r="B57" s="142" t="s">
        <v>573</v>
      </c>
    </row>
    <row r="58" spans="2:14">
      <c r="B58" s="212" t="s">
        <v>425</v>
      </c>
    </row>
    <row r="59" spans="2:14">
      <c r="B59" s="142" t="s">
        <v>574</v>
      </c>
    </row>
    <row r="60" spans="2:14">
      <c r="B60" s="142" t="s">
        <v>575</v>
      </c>
    </row>
    <row r="61" spans="2:14">
      <c r="B61" s="202" t="s">
        <v>576</v>
      </c>
    </row>
    <row r="62" spans="2:14">
      <c r="B62" s="212" t="s">
        <v>380</v>
      </c>
    </row>
    <row r="63" spans="2:14">
      <c r="B63" s="212" t="s">
        <v>381</v>
      </c>
    </row>
    <row r="64" spans="2:14" ht="21" customHeight="1">
      <c r="B64" s="204"/>
      <c r="C64" s="203"/>
      <c r="D64" s="203"/>
      <c r="E64" s="203"/>
      <c r="F64" s="203"/>
      <c r="G64" s="203"/>
      <c r="H64" s="204"/>
      <c r="I64" s="203"/>
      <c r="J64" s="203"/>
      <c r="K64" s="203"/>
      <c r="L64" s="203"/>
      <c r="M64" s="203"/>
      <c r="N64" s="203"/>
    </row>
    <row r="65" spans="1:15" ht="12.75" customHeight="1">
      <c r="B65" s="1121" t="s">
        <v>377</v>
      </c>
      <c r="C65" s="1121"/>
      <c r="D65" s="1121"/>
      <c r="E65" s="1121"/>
      <c r="F65" s="1121"/>
      <c r="G65" s="1121"/>
      <c r="H65" s="1121"/>
      <c r="I65" s="1121"/>
      <c r="J65" s="1121"/>
      <c r="K65" s="1121"/>
      <c r="L65" s="1121"/>
      <c r="M65" s="1121"/>
      <c r="N65" s="1121"/>
    </row>
    <row r="66" spans="1:15" ht="20.25" customHeight="1">
      <c r="B66" s="1122"/>
      <c r="C66" s="1122"/>
      <c r="D66" s="1122"/>
      <c r="E66" s="1122"/>
      <c r="F66" s="1122"/>
      <c r="G66" s="1122"/>
      <c r="H66" s="1122"/>
      <c r="I66" s="1122"/>
      <c r="J66" s="1122"/>
      <c r="K66" s="1122"/>
      <c r="L66" s="1122"/>
      <c r="M66" s="1122"/>
      <c r="N66" s="1122"/>
    </row>
    <row r="67" spans="1:15">
      <c r="B67" s="1115" t="s">
        <v>378</v>
      </c>
      <c r="C67" s="1115"/>
      <c r="D67" s="1115"/>
      <c r="E67" s="1115"/>
      <c r="F67" s="1115"/>
      <c r="G67" s="1115"/>
      <c r="H67" s="1115"/>
      <c r="I67" s="1115"/>
      <c r="J67" s="1115"/>
      <c r="K67" s="1115"/>
      <c r="L67" s="1115"/>
      <c r="M67" s="1115"/>
      <c r="N67" s="1115"/>
    </row>
    <row r="68" spans="1:15" ht="17.25" customHeight="1">
      <c r="A68" s="1123" t="s">
        <v>379</v>
      </c>
      <c r="B68" s="1123"/>
      <c r="C68" s="1123"/>
      <c r="D68" s="1123"/>
      <c r="E68" s="1123"/>
      <c r="F68" s="1123"/>
      <c r="G68" s="1123"/>
      <c r="H68" s="1123"/>
      <c r="I68" s="1123"/>
      <c r="J68" s="1123"/>
      <c r="K68" s="1123"/>
      <c r="L68" s="1123"/>
      <c r="M68" s="1123"/>
      <c r="N68" s="1123"/>
      <c r="O68" s="1123"/>
    </row>
    <row r="69" spans="1:15">
      <c r="A69" s="201"/>
      <c r="B69" s="205" t="s">
        <v>284</v>
      </c>
      <c r="C69" s="206"/>
      <c r="D69" s="206"/>
      <c r="E69" s="206"/>
      <c r="F69" s="206"/>
      <c r="G69" s="208"/>
      <c r="H69" s="206"/>
      <c r="I69" s="207"/>
      <c r="J69" s="207"/>
      <c r="K69" s="216" t="s">
        <v>129</v>
      </c>
      <c r="L69" s="206"/>
      <c r="M69" s="206"/>
      <c r="N69" s="208"/>
      <c r="O69" s="201"/>
    </row>
    <row r="70" spans="1:15">
      <c r="A70" s="201"/>
      <c r="B70" s="737" t="s">
        <v>940</v>
      </c>
      <c r="C70" s="201"/>
      <c r="D70" s="201"/>
      <c r="E70" s="201"/>
      <c r="F70" s="201"/>
      <c r="G70" s="210"/>
      <c r="H70" s="201"/>
      <c r="I70" s="1109" t="str">
        <f>Data!C23</f>
        <v>Yunusov Vüqar Fikrət oğlu</v>
      </c>
      <c r="J70" s="1109"/>
      <c r="K70" s="1109"/>
      <c r="L70" s="1109"/>
      <c r="M70" s="1109"/>
      <c r="N70" s="1110"/>
      <c r="O70" s="201"/>
    </row>
    <row r="71" spans="1:15">
      <c r="A71" s="201"/>
      <c r="B71" s="741" t="s">
        <v>941</v>
      </c>
      <c r="C71" s="201"/>
      <c r="D71" s="201"/>
      <c r="E71" s="201"/>
      <c r="F71" s="201"/>
      <c r="G71" s="210"/>
      <c r="H71" s="202" t="s">
        <v>4</v>
      </c>
      <c r="J71" s="1109" t="str">
        <f>Data!C29</f>
        <v>NEFTÇALA RAYONU, XOL QARABUCAQ Ə/D, DÖRDLƏR KƏNDİ</v>
      </c>
      <c r="K71" s="1109"/>
      <c r="L71" s="1109"/>
      <c r="M71" s="1109"/>
      <c r="N71" s="1110"/>
      <c r="O71" s="201"/>
    </row>
    <row r="72" spans="1:15">
      <c r="A72" s="201"/>
      <c r="B72" s="209" t="s">
        <v>367</v>
      </c>
      <c r="C72" s="201"/>
      <c r="D72" s="201"/>
      <c r="E72" s="201"/>
      <c r="F72" s="201"/>
      <c r="G72" s="210"/>
      <c r="H72" s="202" t="s">
        <v>383</v>
      </c>
      <c r="J72" s="1113" t="str">
        <f>Data!C21</f>
        <v>AA5512135</v>
      </c>
      <c r="K72" s="1109"/>
      <c r="M72" s="201"/>
      <c r="N72" s="210"/>
      <c r="O72" s="201"/>
    </row>
    <row r="73" spans="1:15">
      <c r="A73" s="201"/>
      <c r="B73" s="218" t="s">
        <v>951</v>
      </c>
      <c r="C73" s="201"/>
      <c r="D73" s="201"/>
      <c r="E73" s="201"/>
      <c r="F73" s="201"/>
      <c r="G73" s="210"/>
      <c r="H73" s="202" t="s">
        <v>5</v>
      </c>
      <c r="J73" s="1108" t="str">
        <f>Data!E21</f>
        <v>29.10.2023</v>
      </c>
      <c r="K73" s="1108"/>
      <c r="M73" s="1109" t="str">
        <f>Data!C27</f>
        <v>Asan4</v>
      </c>
      <c r="N73" s="1110"/>
      <c r="O73" s="201"/>
    </row>
    <row r="74" spans="1:15">
      <c r="A74" s="201"/>
      <c r="B74" s="209" t="s">
        <v>478</v>
      </c>
      <c r="C74" s="202"/>
      <c r="D74" s="202"/>
      <c r="E74" s="202"/>
      <c r="F74" s="202"/>
      <c r="G74" s="210"/>
      <c r="H74" s="201"/>
      <c r="I74" s="201"/>
      <c r="J74" s="201"/>
      <c r="K74" s="201"/>
      <c r="L74" s="201"/>
      <c r="M74" s="201"/>
      <c r="N74" s="210"/>
      <c r="O74" s="201"/>
    </row>
    <row r="75" spans="1:15">
      <c r="A75" s="201"/>
      <c r="B75" s="224" t="s">
        <v>6</v>
      </c>
      <c r="C75" s="225" t="s">
        <v>285</v>
      </c>
      <c r="D75" s="201"/>
      <c r="E75" s="201"/>
      <c r="F75" s="201"/>
      <c r="G75" s="210"/>
      <c r="H75" s="201"/>
      <c r="I75" s="201"/>
      <c r="J75" s="201"/>
      <c r="K75" s="201"/>
      <c r="L75" s="201"/>
      <c r="M75" s="201"/>
      <c r="N75" s="210"/>
      <c r="O75" s="201"/>
    </row>
    <row r="76" spans="1:15">
      <c r="A76" s="201"/>
      <c r="B76" s="218"/>
      <c r="D76" s="201"/>
      <c r="E76" s="201"/>
      <c r="F76" s="201"/>
      <c r="G76" s="210"/>
      <c r="H76" s="201"/>
      <c r="I76" s="201"/>
      <c r="J76" s="201"/>
      <c r="K76" s="201"/>
      <c r="L76" s="201"/>
      <c r="M76" s="201"/>
      <c r="N76" s="210"/>
      <c r="O76" s="201"/>
    </row>
    <row r="77" spans="1:15">
      <c r="A77" s="201"/>
      <c r="B77" s="209"/>
      <c r="C77" s="225"/>
      <c r="D77" s="201"/>
      <c r="E77" s="201"/>
      <c r="F77" s="201"/>
      <c r="G77" s="210"/>
      <c r="H77" s="201"/>
      <c r="I77" s="202" t="s">
        <v>129</v>
      </c>
      <c r="J77" s="203"/>
      <c r="K77" s="203"/>
      <c r="L77" s="203"/>
      <c r="M77" s="203"/>
      <c r="N77" s="210"/>
      <c r="O77" s="201"/>
    </row>
    <row r="78" spans="1:15">
      <c r="A78" s="201"/>
      <c r="B78" s="209"/>
      <c r="C78" s="201"/>
      <c r="D78" s="201"/>
      <c r="E78" s="201"/>
      <c r="F78" s="201"/>
      <c r="G78" s="210"/>
      <c r="H78" s="201"/>
      <c r="I78" s="201"/>
      <c r="J78" s="201"/>
      <c r="K78" s="201"/>
      <c r="L78" s="201"/>
      <c r="M78" s="201"/>
      <c r="N78" s="210"/>
      <c r="O78" s="201"/>
    </row>
    <row r="79" spans="1:15">
      <c r="A79" s="201"/>
      <c r="B79" s="218"/>
      <c r="G79" s="210"/>
      <c r="H79" s="201"/>
      <c r="I79" s="201"/>
      <c r="J79" s="201"/>
      <c r="K79" s="201"/>
      <c r="L79" s="201"/>
      <c r="M79" s="201"/>
      <c r="N79" s="210"/>
      <c r="O79" s="201"/>
    </row>
    <row r="80" spans="1:15">
      <c r="A80" s="201"/>
      <c r="B80" s="224"/>
      <c r="C80" s="142"/>
      <c r="D80" s="142"/>
      <c r="E80" s="142"/>
      <c r="F80" s="142"/>
      <c r="G80" s="228"/>
      <c r="H80" s="201"/>
      <c r="I80" s="201"/>
      <c r="J80" s="201"/>
      <c r="K80" s="217" t="s">
        <v>2</v>
      </c>
      <c r="L80" s="201"/>
      <c r="M80" s="201"/>
      <c r="N80" s="210"/>
      <c r="O80" s="201"/>
    </row>
    <row r="81" spans="2:14">
      <c r="B81" s="224"/>
      <c r="C81" s="142"/>
      <c r="D81" s="142"/>
      <c r="E81" s="142"/>
      <c r="F81" s="142"/>
      <c r="G81" s="228"/>
      <c r="I81" s="1116">
        <f>Data!C124</f>
        <v>0</v>
      </c>
      <c r="J81" s="1116"/>
      <c r="K81" s="1116"/>
      <c r="L81" s="1116"/>
      <c r="N81" s="219"/>
    </row>
    <row r="82" spans="2:14">
      <c r="B82" s="218"/>
      <c r="D82" s="212" t="s">
        <v>159</v>
      </c>
      <c r="F82" s="212" t="s">
        <v>159</v>
      </c>
      <c r="G82" s="219"/>
      <c r="H82" s="202" t="s">
        <v>4</v>
      </c>
      <c r="J82" s="1111">
        <f>Data!C128</f>
        <v>0</v>
      </c>
      <c r="K82" s="1111"/>
      <c r="L82" s="1111"/>
      <c r="M82" s="1111"/>
      <c r="N82" s="1112"/>
    </row>
    <row r="83" spans="2:14">
      <c r="B83" s="218"/>
      <c r="G83" s="219"/>
      <c r="H83" s="202" t="s">
        <v>383</v>
      </c>
      <c r="J83" s="1128">
        <f>Data!C120</f>
        <v>0</v>
      </c>
      <c r="K83" s="1128"/>
      <c r="M83" s="201"/>
      <c r="N83" s="210"/>
    </row>
    <row r="84" spans="2:14">
      <c r="B84" s="209" t="s">
        <v>364</v>
      </c>
      <c r="C84" s="203"/>
      <c r="D84" s="203"/>
      <c r="E84" s="203"/>
      <c r="F84" s="201"/>
      <c r="G84" s="219"/>
      <c r="H84" s="202" t="s">
        <v>5</v>
      </c>
      <c r="J84" s="1108">
        <f>Data!E120</f>
        <v>0</v>
      </c>
      <c r="K84" s="1108"/>
      <c r="M84" s="1109">
        <f>Data!C122</f>
        <v>0</v>
      </c>
      <c r="N84" s="1110"/>
    </row>
    <row r="85" spans="2:14">
      <c r="B85" s="209" t="s">
        <v>150</v>
      </c>
      <c r="C85" s="201"/>
      <c r="D85" s="201"/>
      <c r="E85" s="201"/>
      <c r="F85" s="201"/>
      <c r="G85" s="219"/>
      <c r="N85" s="219"/>
    </row>
    <row r="86" spans="2:14">
      <c r="B86" s="218"/>
      <c r="G86" s="219"/>
      <c r="N86" s="219"/>
    </row>
    <row r="87" spans="2:14">
      <c r="B87" s="218"/>
      <c r="G87" s="219"/>
      <c r="I87" s="142" t="s">
        <v>2</v>
      </c>
      <c r="J87" s="215"/>
      <c r="K87" s="215"/>
      <c r="L87" s="215"/>
      <c r="M87" s="215"/>
      <c r="N87" s="219"/>
    </row>
    <row r="88" spans="2:14">
      <c r="B88" s="218"/>
      <c r="G88" s="219"/>
      <c r="N88" s="219"/>
    </row>
    <row r="89" spans="2:14">
      <c r="B89" s="220"/>
      <c r="C89" s="215"/>
      <c r="D89" s="215"/>
      <c r="E89" s="215"/>
      <c r="F89" s="215"/>
      <c r="G89" s="221"/>
      <c r="H89" s="215"/>
      <c r="I89" s="215"/>
      <c r="J89" s="215"/>
      <c r="K89" s="215"/>
      <c r="L89" s="215"/>
      <c r="M89" s="215"/>
      <c r="N89" s="221"/>
    </row>
  </sheetData>
  <mergeCells count="30">
    <mergeCell ref="B42:N42"/>
    <mergeCell ref="B66:N66"/>
    <mergeCell ref="B67:N67"/>
    <mergeCell ref="J72:K72"/>
    <mergeCell ref="E17:F17"/>
    <mergeCell ref="B25:N25"/>
    <mergeCell ref="C5:D5"/>
    <mergeCell ref="L5:N5"/>
    <mergeCell ref="D13:G13"/>
    <mergeCell ref="I13:J13"/>
    <mergeCell ref="E16:H16"/>
    <mergeCell ref="B12:N12"/>
    <mergeCell ref="M14:N14"/>
    <mergeCell ref="B15:F15"/>
    <mergeCell ref="J82:N82"/>
    <mergeCell ref="J73:K73"/>
    <mergeCell ref="J83:K83"/>
    <mergeCell ref="B1:N1"/>
    <mergeCell ref="J84:K84"/>
    <mergeCell ref="K8:N8"/>
    <mergeCell ref="G9:J9"/>
    <mergeCell ref="M84:N84"/>
    <mergeCell ref="A68:O68"/>
    <mergeCell ref="I70:N70"/>
    <mergeCell ref="J71:N71"/>
    <mergeCell ref="M73:N73"/>
    <mergeCell ref="I81:L81"/>
    <mergeCell ref="B2:N2"/>
    <mergeCell ref="B65:N65"/>
    <mergeCell ref="E3:H3"/>
  </mergeCells>
  <pageMargins left="0.23622047244094491" right="0.15748031496062992" top="7.874015748031496E-2" bottom="7.874015748031496E-2" header="0.31496062992125984" footer="0.31496062992125984"/>
  <pageSetup paperSize="9" scale="65"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ayfa9"/>
  <dimension ref="A1:L56"/>
  <sheetViews>
    <sheetView view="pageBreakPreview" topLeftCell="A7" zoomScaleNormal="100" zoomScaleSheetLayoutView="100" workbookViewId="0">
      <selection sqref="A1:G1"/>
    </sheetView>
  </sheetViews>
  <sheetFormatPr defaultColWidth="12.28515625" defaultRowHeight="15.75"/>
  <cols>
    <col min="1" max="1" width="10.140625" style="450" customWidth="1"/>
    <col min="2" max="2" width="11.85546875" style="450" customWidth="1"/>
    <col min="3" max="3" width="13" style="450" customWidth="1"/>
    <col min="4" max="4" width="9.28515625" style="450" customWidth="1"/>
    <col min="5" max="5" width="8.140625" style="450" customWidth="1"/>
    <col min="6" max="6" width="9.7109375" style="450" customWidth="1"/>
    <col min="7" max="7" width="11.5703125" style="450" customWidth="1"/>
    <col min="8" max="8" width="9.5703125" style="450" customWidth="1"/>
    <col min="9" max="9" width="6.28515625" style="450" customWidth="1"/>
    <col min="10" max="10" width="10.42578125" style="324" customWidth="1"/>
    <col min="11" max="11" width="9.7109375" style="324" customWidth="1"/>
    <col min="12" max="12" width="8.7109375" style="324" customWidth="1"/>
    <col min="13" max="16384" width="12.28515625" style="324"/>
  </cols>
  <sheetData>
    <row r="1" spans="2:11" s="450" customFormat="1" ht="20.25" customHeight="1"/>
    <row r="2" spans="2:11" s="450" customFormat="1" ht="20.25" customHeight="1"/>
    <row r="3" spans="2:11" s="450" customFormat="1" ht="18.75" customHeight="1">
      <c r="F3" s="451"/>
      <c r="G3" s="451"/>
      <c r="H3" s="451"/>
      <c r="I3" s="451"/>
      <c r="J3" s="324"/>
    </row>
    <row r="4" spans="2:11" s="450" customFormat="1" ht="30" customHeight="1">
      <c r="D4" s="452"/>
      <c r="E4" s="1141" t="s">
        <v>484</v>
      </c>
      <c r="F4" s="1141"/>
      <c r="G4" s="1141"/>
      <c r="H4" s="1141"/>
      <c r="I4" s="1141"/>
      <c r="J4" s="453"/>
    </row>
    <row r="5" spans="2:11" s="450" customFormat="1" ht="24" customHeight="1">
      <c r="E5" s="1142" t="s">
        <v>485</v>
      </c>
      <c r="F5" s="1142"/>
      <c r="G5" s="1142"/>
      <c r="H5" s="1142"/>
      <c r="I5" s="1142"/>
    </row>
    <row r="12" spans="2:11" s="450" customFormat="1" ht="18.75" customHeight="1"/>
    <row r="14" spans="2:11" s="450" customFormat="1" ht="15.75" customHeight="1"/>
    <row r="15" spans="2:11" s="450" customFormat="1" ht="9.75" customHeight="1"/>
    <row r="16" spans="2:11" s="450" customFormat="1" ht="15.75" customHeight="1">
      <c r="B16" s="446" t="s">
        <v>223</v>
      </c>
      <c r="I16" s="454"/>
      <c r="J16" s="1143">
        <f>Data!E5</f>
        <v>45768</v>
      </c>
      <c r="K16" s="1143"/>
    </row>
    <row r="17" spans="1:12" s="450" customFormat="1" ht="15.75" customHeight="1">
      <c r="B17" s="446"/>
      <c r="I17" s="454"/>
      <c r="J17" s="455"/>
      <c r="K17" s="455"/>
    </row>
    <row r="18" spans="1:12" s="450" customFormat="1" ht="15.75" customHeight="1"/>
    <row r="19" spans="1:12" s="450" customFormat="1" ht="15.75" customHeight="1"/>
    <row r="20" spans="1:12" s="450" customFormat="1" ht="21" customHeight="1">
      <c r="A20" s="456" t="s">
        <v>486</v>
      </c>
    </row>
    <row r="21" spans="1:12" s="450" customFormat="1" ht="21.95" customHeight="1">
      <c r="A21" s="457" t="s">
        <v>487</v>
      </c>
      <c r="B21" s="457"/>
      <c r="E21" s="1144" t="str">
        <f>Data!C23</f>
        <v>Yunusov Vüqar Fikrət oğlu</v>
      </c>
      <c r="F21" s="1144"/>
      <c r="G21" s="1144"/>
      <c r="H21" s="1144"/>
      <c r="I21" s="1144"/>
      <c r="J21" s="457" t="s">
        <v>488</v>
      </c>
      <c r="K21" s="324"/>
      <c r="L21" s="324"/>
    </row>
    <row r="22" spans="1:12" s="450" customFormat="1" ht="21.95" customHeight="1">
      <c r="A22" s="457" t="s">
        <v>489</v>
      </c>
      <c r="B22" s="457"/>
      <c r="C22" s="458"/>
      <c r="D22" s="1137">
        <f>Data!E5</f>
        <v>45768</v>
      </c>
      <c r="E22" s="1137"/>
      <c r="F22" s="457" t="s">
        <v>490</v>
      </c>
      <c r="G22" s="402"/>
      <c r="H22" s="1145" t="str">
        <f>Data!I5</f>
        <v>04/2078-25</v>
      </c>
      <c r="I22" s="1144"/>
      <c r="J22" s="457" t="s">
        <v>491</v>
      </c>
      <c r="K22" s="457"/>
      <c r="L22" s="457"/>
    </row>
    <row r="23" spans="1:12" s="450" customFormat="1" ht="21.95" customHeight="1">
      <c r="A23" s="457" t="s">
        <v>492</v>
      </c>
      <c r="B23" s="457"/>
      <c r="C23" s="458"/>
      <c r="D23" s="1139">
        <f>Data!E53</f>
        <v>0</v>
      </c>
      <c r="E23" s="1140"/>
      <c r="F23" s="1140"/>
      <c r="G23" s="1140"/>
      <c r="H23" s="1140"/>
      <c r="I23" s="1140"/>
      <c r="J23" s="466" t="s">
        <v>502</v>
      </c>
      <c r="K23" s="457"/>
      <c r="L23" s="324"/>
    </row>
    <row r="24" spans="1:12" s="450" customFormat="1" ht="21.95" customHeight="1">
      <c r="A24" s="457" t="s">
        <v>503</v>
      </c>
      <c r="G24" s="457"/>
      <c r="J24" s="324"/>
      <c r="K24" s="324"/>
      <c r="L24" s="324"/>
    </row>
    <row r="25" spans="1:12" s="450" customFormat="1" ht="21.95" customHeight="1">
      <c r="A25" s="457" t="s">
        <v>504</v>
      </c>
      <c r="B25" s="457"/>
      <c r="C25" s="457"/>
      <c r="D25" s="457"/>
      <c r="E25" s="460"/>
      <c r="F25" s="460"/>
      <c r="G25" s="460"/>
      <c r="H25" s="460"/>
      <c r="I25" s="457"/>
      <c r="J25" s="457"/>
    </row>
    <row r="26" spans="1:12" s="450" customFormat="1" ht="21.95" customHeight="1">
      <c r="F26" s="141"/>
      <c r="G26" s="457"/>
      <c r="H26" s="457"/>
      <c r="I26" s="457"/>
      <c r="J26" s="461"/>
      <c r="K26" s="1136"/>
      <c r="L26" s="1136"/>
    </row>
    <row r="27" spans="1:12" s="450" customFormat="1" ht="21.95" customHeight="1">
      <c r="A27" s="462"/>
      <c r="B27" s="463"/>
      <c r="C27" s="459"/>
      <c r="D27" s="1137"/>
      <c r="E27" s="1137"/>
      <c r="F27" s="457"/>
      <c r="G27" s="457"/>
      <c r="H27" s="457"/>
      <c r="I27" s="457"/>
      <c r="J27" s="461"/>
      <c r="K27" s="464"/>
      <c r="L27" s="464"/>
    </row>
    <row r="28" spans="1:12" s="450" customFormat="1" ht="21.95" customHeight="1">
      <c r="A28" s="460"/>
      <c r="B28" s="465"/>
      <c r="C28" s="465"/>
      <c r="D28" s="465"/>
      <c r="E28" s="457"/>
      <c r="F28" s="141"/>
      <c r="G28" s="457"/>
      <c r="H28" s="457"/>
      <c r="I28" s="457"/>
      <c r="J28" s="461"/>
      <c r="K28" s="464"/>
      <c r="L28" s="464"/>
    </row>
    <row r="29" spans="1:12" s="450" customFormat="1" ht="21.95" customHeight="1">
      <c r="A29" s="466"/>
      <c r="B29" s="466"/>
      <c r="C29" s="466"/>
      <c r="D29" s="466"/>
      <c r="E29" s="466"/>
      <c r="F29" s="466"/>
      <c r="G29" s="466"/>
      <c r="H29" s="466"/>
      <c r="I29" s="466"/>
      <c r="J29" s="466"/>
      <c r="K29" s="466"/>
      <c r="L29" s="466"/>
    </row>
    <row r="30" spans="1:12" s="450" customFormat="1" ht="21.95" customHeight="1"/>
    <row r="31" spans="1:12" s="450" customFormat="1" ht="21.95" customHeight="1"/>
    <row r="32" spans="1:12" s="450" customFormat="1" ht="21.95" customHeight="1"/>
    <row r="33" spans="1:12" s="450" customFormat="1" ht="21.95" customHeight="1"/>
    <row r="34" spans="1:12" s="450" customFormat="1" ht="21.95" customHeight="1">
      <c r="A34" s="1138" t="s">
        <v>493</v>
      </c>
      <c r="B34" s="1138"/>
      <c r="C34" s="1138"/>
      <c r="D34" s="467"/>
      <c r="E34" s="1138" t="s">
        <v>494</v>
      </c>
      <c r="F34" s="1138"/>
      <c r="G34" s="1138"/>
      <c r="H34" s="1138"/>
      <c r="J34" s="1138" t="s">
        <v>495</v>
      </c>
      <c r="K34" s="1138"/>
      <c r="L34" s="1138"/>
    </row>
    <row r="35" spans="1:12" s="450" customFormat="1" ht="33" customHeight="1">
      <c r="A35" s="1134" t="s">
        <v>496</v>
      </c>
      <c r="B35" s="1134"/>
      <c r="C35" s="1134"/>
      <c r="D35" s="468"/>
      <c r="E35" s="1135" t="str">
        <f>Data!C23</f>
        <v>Yunusov Vüqar Fikrət oğlu</v>
      </c>
      <c r="F35" s="1135"/>
      <c r="G35" s="1135"/>
      <c r="H35" s="1135"/>
      <c r="I35" s="469"/>
      <c r="J35" s="1134" t="s">
        <v>497</v>
      </c>
      <c r="K35" s="1134"/>
      <c r="L35" s="1134"/>
    </row>
    <row r="36" spans="1:12" s="450" customFormat="1" ht="33" customHeight="1">
      <c r="A36" s="1135" t="s">
        <v>498</v>
      </c>
      <c r="B36" s="1135"/>
      <c r="C36" s="1135"/>
      <c r="D36" s="469"/>
      <c r="E36" s="1134" t="str">
        <f>Data!C29</f>
        <v>NEFTÇALA RAYONU, XOL QARABUCAQ Ə/D, DÖRDLƏR KƏNDİ</v>
      </c>
      <c r="F36" s="1134"/>
      <c r="G36" s="1134"/>
      <c r="H36" s="1134"/>
      <c r="I36" s="470"/>
      <c r="J36" s="1135" t="s">
        <v>498</v>
      </c>
      <c r="K36" s="1135"/>
      <c r="L36" s="1135"/>
    </row>
    <row r="37" spans="1:12" s="450" customFormat="1" ht="15.95" customHeight="1">
      <c r="A37" s="1130" t="s">
        <v>499</v>
      </c>
      <c r="B37" s="1130"/>
      <c r="C37" s="1130"/>
      <c r="D37" s="324"/>
      <c r="E37" s="471" t="s">
        <v>500</v>
      </c>
      <c r="F37" s="1131" t="str">
        <f>Data!C21</f>
        <v>AA5512135</v>
      </c>
      <c r="G37" s="1130"/>
      <c r="J37" s="1130" t="s">
        <v>499</v>
      </c>
      <c r="K37" s="1130"/>
      <c r="L37" s="1130"/>
    </row>
    <row r="38" spans="1:12" s="450" customFormat="1" ht="15.95" customHeight="1">
      <c r="I38" s="471"/>
      <c r="J38" s="472"/>
      <c r="K38" s="473"/>
    </row>
    <row r="39" spans="1:12" s="450" customFormat="1" ht="19.5" customHeight="1"/>
    <row r="40" spans="1:12" s="450" customFormat="1" ht="19.5" customHeight="1"/>
    <row r="41" spans="1:12" s="450" customFormat="1" ht="19.5" customHeight="1"/>
    <row r="42" spans="1:12" s="450" customFormat="1" ht="19.5" customHeight="1">
      <c r="A42" s="474"/>
      <c r="B42" s="474"/>
      <c r="C42" s="474"/>
      <c r="D42" s="324"/>
      <c r="E42" s="1132"/>
      <c r="F42" s="1132"/>
      <c r="G42" s="1132"/>
      <c r="H42" s="475"/>
      <c r="I42" s="324"/>
      <c r="J42" s="474"/>
      <c r="K42" s="474"/>
      <c r="L42" s="474"/>
    </row>
    <row r="43" spans="1:12" s="450" customFormat="1" ht="21.95" customHeight="1">
      <c r="A43" s="1133" t="s">
        <v>501</v>
      </c>
      <c r="B43" s="1133"/>
      <c r="C43" s="1133"/>
      <c r="D43" s="476"/>
      <c r="E43" s="1133" t="s">
        <v>501</v>
      </c>
      <c r="F43" s="1133"/>
      <c r="G43" s="1133"/>
      <c r="H43" s="1133"/>
      <c r="J43" s="1133" t="s">
        <v>501</v>
      </c>
      <c r="K43" s="1133"/>
      <c r="L43" s="1133"/>
    </row>
    <row r="44" spans="1:12" s="450" customFormat="1" ht="21.95" customHeight="1"/>
    <row r="45" spans="1:12" s="450" customFormat="1" ht="21" customHeight="1"/>
    <row r="48" spans="1:12" s="450" customFormat="1" ht="15.75" customHeight="1"/>
    <row r="52" s="450" customFormat="1" ht="15.75" customHeight="1"/>
    <row r="56" s="450" customFormat="1" ht="15.75" customHeight="1"/>
  </sheetData>
  <mergeCells count="25">
    <mergeCell ref="D23:I23"/>
    <mergeCell ref="E4:I4"/>
    <mergeCell ref="E5:I5"/>
    <mergeCell ref="J16:K16"/>
    <mergeCell ref="E21:I21"/>
    <mergeCell ref="D22:E22"/>
    <mergeCell ref="H22:I22"/>
    <mergeCell ref="K26:L26"/>
    <mergeCell ref="D27:E27"/>
    <mergeCell ref="A34:C34"/>
    <mergeCell ref="E34:H34"/>
    <mergeCell ref="J34:L34"/>
    <mergeCell ref="A35:C35"/>
    <mergeCell ref="E35:H35"/>
    <mergeCell ref="J35:L35"/>
    <mergeCell ref="A36:C36"/>
    <mergeCell ref="E36:H36"/>
    <mergeCell ref="J36:L36"/>
    <mergeCell ref="A37:C37"/>
    <mergeCell ref="F37:G37"/>
    <mergeCell ref="J37:L37"/>
    <mergeCell ref="E42:G42"/>
    <mergeCell ref="A43:C43"/>
    <mergeCell ref="E43:H43"/>
    <mergeCell ref="J43:L43"/>
  </mergeCells>
  <pageMargins left="0.70866141732283472" right="0.70866141732283472" top="0.74803149606299213" bottom="0.74803149606299213" header="0.31496062992125984" footer="0.31496062992125984"/>
  <pageSetup paperSize="9" scale="70"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ayfa10"/>
  <dimension ref="A2:E56"/>
  <sheetViews>
    <sheetView workbookViewId="0">
      <selection sqref="A1:G1"/>
    </sheetView>
  </sheetViews>
  <sheetFormatPr defaultRowHeight="12.75"/>
  <cols>
    <col min="1" max="1" width="46.5703125" customWidth="1"/>
    <col min="2" max="2" width="13.140625" customWidth="1"/>
    <col min="3" max="3" width="24.5703125" customWidth="1"/>
    <col min="4" max="4" width="22.28515625" customWidth="1"/>
  </cols>
  <sheetData>
    <row r="2" spans="1:5" ht="18.75">
      <c r="A2" s="403" t="str">
        <f>Data!I5</f>
        <v>04/2078-25</v>
      </c>
      <c r="B2" s="402" t="s">
        <v>417</v>
      </c>
      <c r="C2" s="402"/>
      <c r="D2" s="402"/>
    </row>
    <row r="3" spans="1:5" ht="18.75">
      <c r="A3" s="141"/>
      <c r="B3" s="141"/>
      <c r="C3" s="141"/>
      <c r="D3" s="141"/>
    </row>
    <row r="4" spans="1:5">
      <c r="A4" s="143"/>
      <c r="B4" s="143"/>
      <c r="C4" s="143"/>
      <c r="D4" s="143"/>
    </row>
    <row r="5" spans="1:5" ht="15.75">
      <c r="A5" s="399"/>
      <c r="B5" s="143"/>
      <c r="C5" s="388" t="s">
        <v>0</v>
      </c>
      <c r="D5" s="400">
        <f>Data!E5</f>
        <v>45768</v>
      </c>
    </row>
    <row r="6" spans="1:5" ht="15">
      <c r="A6" s="328"/>
      <c r="B6" s="143"/>
      <c r="C6" s="143"/>
      <c r="D6" s="143"/>
    </row>
    <row r="7" spans="1:5" ht="15">
      <c r="A7" s="328"/>
      <c r="B7" s="143"/>
      <c r="C7" s="143"/>
      <c r="D7" s="143"/>
    </row>
    <row r="8" spans="1:5" ht="15">
      <c r="A8" s="328" t="s">
        <v>406</v>
      </c>
      <c r="B8" s="1150" t="str">
        <f>Data!C23</f>
        <v>Yunusov Vüqar Fikrət oğlu</v>
      </c>
      <c r="C8" s="1150"/>
      <c r="D8" s="1150"/>
    </row>
    <row r="9" spans="1:5" ht="17.25" customHeight="1">
      <c r="A9" s="328"/>
      <c r="B9" s="1148" t="s">
        <v>407</v>
      </c>
      <c r="C9" s="1148"/>
      <c r="D9" s="1148"/>
    </row>
    <row r="10" spans="1:5" ht="20.25" customHeight="1">
      <c r="A10" s="324" t="s">
        <v>408</v>
      </c>
      <c r="B10" s="478">
        <f>Data!C74</f>
        <v>1272</v>
      </c>
      <c r="C10" s="1149" t="e">
        <f>KR!#REF!</f>
        <v>#REF!</v>
      </c>
      <c r="D10" s="1149"/>
    </row>
    <row r="11" spans="1:5" ht="29.25" customHeight="1" thickBot="1">
      <c r="A11" s="389" t="s">
        <v>409</v>
      </c>
      <c r="B11" s="1151" t="str">
        <f>Data!C33</f>
        <v>0703732363 müştəri,</v>
      </c>
      <c r="C11" s="1152"/>
      <c r="D11" s="1152"/>
    </row>
    <row r="12" spans="1:5" ht="19.899999999999999" customHeight="1">
      <c r="A12" s="1161" t="s">
        <v>431</v>
      </c>
      <c r="B12" s="1155" t="s">
        <v>510</v>
      </c>
      <c r="C12" s="1156"/>
      <c r="D12" s="1157"/>
      <c r="E12" s="477"/>
    </row>
    <row r="13" spans="1:5" ht="19.899999999999999" customHeight="1" thickBot="1">
      <c r="A13" s="1161"/>
      <c r="B13" s="1158"/>
      <c r="C13" s="1159"/>
      <c r="D13" s="1160"/>
    </row>
    <row r="14" spans="1:5" ht="18" customHeight="1" thickBot="1">
      <c r="A14" s="324" t="s">
        <v>410</v>
      </c>
      <c r="B14" s="143"/>
      <c r="C14" s="143"/>
      <c r="D14" s="143"/>
    </row>
    <row r="15" spans="1:5" ht="15.75" thickBot="1">
      <c r="A15" s="390" t="s">
        <v>411</v>
      </c>
      <c r="B15" s="391" t="s">
        <v>412</v>
      </c>
      <c r="C15" s="391" t="s">
        <v>413</v>
      </c>
      <c r="D15" s="391" t="s">
        <v>414</v>
      </c>
    </row>
    <row r="16" spans="1:5" ht="20.100000000000001" customHeight="1">
      <c r="A16" s="392" t="s">
        <v>474</v>
      </c>
      <c r="B16" s="393">
        <v>1</v>
      </c>
      <c r="C16" s="393">
        <v>5329</v>
      </c>
      <c r="D16" s="393">
        <v>5329</v>
      </c>
    </row>
    <row r="17" spans="1:4" ht="20.100000000000001" customHeight="1">
      <c r="A17" s="392" t="s">
        <v>473</v>
      </c>
      <c r="B17" s="393">
        <v>1</v>
      </c>
      <c r="C17" s="393">
        <v>270</v>
      </c>
      <c r="D17" s="393">
        <v>270</v>
      </c>
    </row>
    <row r="18" spans="1:4" ht="20.100000000000001" customHeight="1">
      <c r="A18" s="392"/>
      <c r="B18" s="393"/>
      <c r="C18" s="393"/>
      <c r="D18" s="393"/>
    </row>
    <row r="19" spans="1:4" ht="20.100000000000001" customHeight="1">
      <c r="A19" s="392"/>
      <c r="B19" s="435"/>
      <c r="C19" s="393"/>
      <c r="D19" s="393"/>
    </row>
    <row r="20" spans="1:4" ht="20.100000000000001" customHeight="1">
      <c r="A20" s="392"/>
      <c r="B20" s="393"/>
      <c r="C20" s="393"/>
      <c r="D20" s="393"/>
    </row>
    <row r="21" spans="1:4" ht="20.100000000000001" customHeight="1">
      <c r="A21" s="392"/>
      <c r="B21" s="393"/>
      <c r="C21" s="393"/>
      <c r="D21" s="393"/>
    </row>
    <row r="22" spans="1:4" ht="20.100000000000001" customHeight="1">
      <c r="A22" s="392"/>
      <c r="B22" s="393"/>
      <c r="C22" s="393"/>
      <c r="D22" s="393"/>
    </row>
    <row r="23" spans="1:4" ht="20.100000000000001" customHeight="1">
      <c r="A23" s="392"/>
      <c r="B23" s="393"/>
      <c r="C23" s="393"/>
      <c r="D23" s="393"/>
    </row>
    <row r="24" spans="1:4" ht="20.100000000000001" customHeight="1">
      <c r="A24" s="392"/>
      <c r="B24" s="393"/>
      <c r="C24" s="393"/>
      <c r="D24" s="393"/>
    </row>
    <row r="25" spans="1:4" ht="20.100000000000001" customHeight="1">
      <c r="A25" s="392"/>
      <c r="B25" s="393"/>
      <c r="C25" s="393"/>
      <c r="D25" s="393"/>
    </row>
    <row r="26" spans="1:4" ht="20.100000000000001" customHeight="1">
      <c r="A26" s="392"/>
      <c r="B26" s="393"/>
      <c r="C26" s="393"/>
      <c r="D26" s="393"/>
    </row>
    <row r="27" spans="1:4" ht="20.100000000000001" customHeight="1">
      <c r="A27" s="392"/>
      <c r="B27" s="393"/>
      <c r="C27" s="393"/>
      <c r="D27" s="393"/>
    </row>
    <row r="28" spans="1:4" ht="20.100000000000001" customHeight="1">
      <c r="A28" s="392"/>
      <c r="B28" s="393"/>
      <c r="C28" s="393"/>
      <c r="D28" s="393"/>
    </row>
    <row r="29" spans="1:4" ht="20.100000000000001" customHeight="1">
      <c r="A29" s="392"/>
      <c r="B29" s="393"/>
      <c r="C29" s="393"/>
      <c r="D29" s="393"/>
    </row>
    <row r="30" spans="1:4" ht="20.100000000000001" customHeight="1">
      <c r="A30" s="392"/>
      <c r="B30" s="393"/>
      <c r="C30" s="393"/>
      <c r="D30" s="393"/>
    </row>
    <row r="31" spans="1:4" ht="20.100000000000001" customHeight="1" thickBot="1">
      <c r="A31" s="394"/>
      <c r="B31" s="395"/>
      <c r="C31" s="395"/>
      <c r="D31" s="395"/>
    </row>
    <row r="32" spans="1:4" ht="18.600000000000001" customHeight="1" thickBot="1">
      <c r="A32" s="396" t="s">
        <v>415</v>
      </c>
      <c r="B32" s="395"/>
      <c r="C32" s="395"/>
      <c r="D32" s="479">
        <f>SUM(D16:D31)</f>
        <v>5599</v>
      </c>
    </row>
    <row r="33" spans="1:4" ht="18.600000000000001" customHeight="1">
      <c r="A33" s="480"/>
      <c r="B33" s="481"/>
      <c r="C33" s="481"/>
      <c r="D33" s="480"/>
    </row>
    <row r="34" spans="1:4" ht="18.600000000000001" customHeight="1">
      <c r="A34" s="274" t="s">
        <v>511</v>
      </c>
      <c r="B34" s="482"/>
      <c r="C34" s="482"/>
      <c r="D34" s="482"/>
    </row>
    <row r="35" spans="1:4" ht="18" customHeight="1">
      <c r="A35" s="328" t="s">
        <v>418</v>
      </c>
      <c r="B35" s="143"/>
      <c r="C35" s="143"/>
      <c r="D35" s="143"/>
    </row>
    <row r="36" spans="1:4" ht="18" customHeight="1">
      <c r="A36" s="328" t="s">
        <v>517</v>
      </c>
      <c r="B36" s="143"/>
      <c r="C36" s="143"/>
      <c r="D36" s="143"/>
    </row>
    <row r="37" spans="1:4" ht="18" customHeight="1">
      <c r="A37" s="328" t="s">
        <v>419</v>
      </c>
      <c r="B37" s="143"/>
      <c r="C37" s="143"/>
      <c r="D37" s="143"/>
    </row>
    <row r="38" spans="1:4" ht="18" customHeight="1">
      <c r="A38" s="328" t="s">
        <v>420</v>
      </c>
      <c r="B38" s="143"/>
      <c r="C38" s="143"/>
      <c r="D38" s="143"/>
    </row>
    <row r="39" spans="1:4" ht="18" customHeight="1">
      <c r="A39" s="328"/>
      <c r="B39" s="143"/>
      <c r="C39" s="143"/>
      <c r="D39" s="143"/>
    </row>
    <row r="40" spans="1:4" ht="18" customHeight="1">
      <c r="A40" s="483" t="s">
        <v>512</v>
      </c>
      <c r="B40" s="328"/>
      <c r="C40" s="328"/>
      <c r="D40" s="328"/>
    </row>
    <row r="41" spans="1:4" ht="18" customHeight="1">
      <c r="A41" s="328" t="s">
        <v>513</v>
      </c>
      <c r="B41" s="328"/>
      <c r="C41" s="328"/>
      <c r="D41" s="328"/>
    </row>
    <row r="42" spans="1:4" ht="18" customHeight="1">
      <c r="A42" s="328" t="s">
        <v>514</v>
      </c>
      <c r="B42" s="328"/>
      <c r="C42" s="328"/>
      <c r="D42" s="328"/>
    </row>
    <row r="43" spans="1:4" ht="18" customHeight="1">
      <c r="A43" s="328" t="s">
        <v>515</v>
      </c>
      <c r="B43" s="328"/>
      <c r="C43" s="328"/>
      <c r="D43" s="328"/>
    </row>
    <row r="44" spans="1:4" ht="18" customHeight="1">
      <c r="A44" s="328" t="s">
        <v>516</v>
      </c>
      <c r="B44" s="328"/>
      <c r="C44" s="328"/>
      <c r="D44" s="328"/>
    </row>
    <row r="45" spans="1:4" ht="15">
      <c r="A45" s="328"/>
      <c r="B45" s="143"/>
      <c r="C45" s="143"/>
      <c r="D45" s="143"/>
    </row>
    <row r="46" spans="1:4" ht="15">
      <c r="A46" s="328"/>
      <c r="B46" s="143"/>
      <c r="C46" s="143"/>
      <c r="D46" s="143"/>
    </row>
    <row r="47" spans="1:4" ht="15">
      <c r="A47" s="328"/>
      <c r="B47" s="143"/>
      <c r="C47" s="143"/>
      <c r="D47" s="143"/>
    </row>
    <row r="48" spans="1:4">
      <c r="A48" s="143"/>
      <c r="B48" s="143"/>
      <c r="C48" s="143"/>
      <c r="D48" s="143"/>
    </row>
    <row r="49" spans="1:4" ht="14.25">
      <c r="A49" s="1153"/>
      <c r="B49" s="1153"/>
      <c r="C49" s="1153"/>
      <c r="D49" s="1153"/>
    </row>
    <row r="50" spans="1:4">
      <c r="A50" s="143"/>
      <c r="B50" s="143"/>
      <c r="C50" s="143"/>
      <c r="D50" s="143"/>
    </row>
    <row r="51" spans="1:4" ht="15">
      <c r="A51" s="401" t="s">
        <v>129</v>
      </c>
      <c r="B51" s="398"/>
      <c r="C51" s="398"/>
      <c r="D51" s="316"/>
    </row>
    <row r="52" spans="1:4">
      <c r="A52" s="143"/>
      <c r="B52" s="1154" t="s">
        <v>407</v>
      </c>
      <c r="C52" s="1154"/>
      <c r="D52" s="311" t="s">
        <v>416</v>
      </c>
    </row>
    <row r="53" spans="1:4">
      <c r="A53" s="143"/>
      <c r="B53" s="143"/>
      <c r="C53" s="143"/>
      <c r="D53" s="143"/>
    </row>
    <row r="54" spans="1:4">
      <c r="A54" s="143"/>
      <c r="B54" s="143"/>
      <c r="C54" s="143"/>
      <c r="D54" s="143"/>
    </row>
    <row r="55" spans="1:4" ht="15">
      <c r="A55" s="397"/>
      <c r="B55" s="1146"/>
      <c r="C55" s="1146"/>
      <c r="D55" s="143"/>
    </row>
    <row r="56" spans="1:4">
      <c r="A56" s="143"/>
      <c r="B56" s="1147"/>
      <c r="C56" s="1147"/>
      <c r="D56" s="311"/>
    </row>
  </sheetData>
  <mergeCells count="10">
    <mergeCell ref="B55:C55"/>
    <mergeCell ref="B56:C56"/>
    <mergeCell ref="B9:D9"/>
    <mergeCell ref="C10:D10"/>
    <mergeCell ref="B8:D8"/>
    <mergeCell ref="B11:D11"/>
    <mergeCell ref="A49:D49"/>
    <mergeCell ref="B52:C52"/>
    <mergeCell ref="B12:D13"/>
    <mergeCell ref="A12:A13"/>
  </mergeCells>
  <pageMargins left="0.31496062992125984" right="0.11811023622047245" top="0.15748031496062992" bottom="0.15748031496062992" header="0.31496062992125984" footer="0.31496062992125984"/>
  <pageSetup paperSize="9" scale="80" orientation="portrait" verticalDpi="20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Worksheet____9">
    <tabColor indexed="13"/>
  </sheetPr>
  <dimension ref="A1:B35"/>
  <sheetViews>
    <sheetView zoomScaleNormal="100" workbookViewId="0">
      <selection sqref="A1:G1"/>
    </sheetView>
  </sheetViews>
  <sheetFormatPr defaultRowHeight="15"/>
  <cols>
    <col min="1" max="1" width="35.85546875" style="233" customWidth="1"/>
    <col min="2" max="2" width="51.28515625" style="233" customWidth="1"/>
    <col min="3" max="16384" width="9.140625" style="233"/>
  </cols>
  <sheetData>
    <row r="1" spans="1:2" ht="24.95" customHeight="1" thickBot="1">
      <c r="A1" s="1162" t="s">
        <v>307</v>
      </c>
      <c r="B1" s="1163"/>
    </row>
    <row r="2" spans="1:2" ht="21" customHeight="1">
      <c r="A2" s="234" t="s">
        <v>308</v>
      </c>
      <c r="B2" s="240" t="str">
        <f>Data!C68</f>
        <v>İstehlak mal(lar)ının alınması üçün</v>
      </c>
    </row>
    <row r="3" spans="1:2" ht="21" customHeight="1">
      <c r="A3" s="234" t="s">
        <v>97</v>
      </c>
      <c r="B3" s="235">
        <f>Data!E5</f>
        <v>45768</v>
      </c>
    </row>
    <row r="4" spans="1:2" ht="21" customHeight="1">
      <c r="A4" s="236" t="s">
        <v>309</v>
      </c>
      <c r="B4" s="237" t="str">
        <f>Data!C23</f>
        <v>Yunusov Vüqar Fikrət oğlu</v>
      </c>
    </row>
    <row r="5" spans="1:2" ht="21" customHeight="1">
      <c r="A5" s="236" t="s">
        <v>310</v>
      </c>
      <c r="B5" s="241" t="str">
        <f>Data!C43</f>
        <v>Fərdi gəlirlər</v>
      </c>
    </row>
    <row r="6" spans="1:2" ht="21" customHeight="1">
      <c r="A6" s="236" t="s">
        <v>218</v>
      </c>
      <c r="B6" s="242">
        <f>Data!C49</f>
        <v>1500</v>
      </c>
    </row>
    <row r="7" spans="1:2" ht="19.5" customHeight="1">
      <c r="A7" s="236" t="s">
        <v>311</v>
      </c>
      <c r="B7" s="243">
        <f>Data!C51-(B6)</f>
        <v>-1500</v>
      </c>
    </row>
    <row r="8" spans="1:2" ht="21" customHeight="1">
      <c r="A8" s="236" t="s">
        <v>312</v>
      </c>
      <c r="B8" s="243">
        <f>B6+B7</f>
        <v>0</v>
      </c>
    </row>
    <row r="9" spans="1:2" ht="21" customHeight="1">
      <c r="A9" s="236" t="s">
        <v>313</v>
      </c>
      <c r="B9" s="242">
        <v>1500</v>
      </c>
    </row>
    <row r="10" spans="1:2" ht="21" customHeight="1">
      <c r="A10" s="236" t="s">
        <v>314</v>
      </c>
      <c r="B10" s="242">
        <v>2110</v>
      </c>
    </row>
    <row r="11" spans="1:2" ht="21" customHeight="1">
      <c r="A11" s="236" t="s">
        <v>315</v>
      </c>
      <c r="B11" s="237" t="s">
        <v>316</v>
      </c>
    </row>
    <row r="12" spans="1:2" ht="21" customHeight="1">
      <c r="A12" s="236" t="s">
        <v>317</v>
      </c>
      <c r="B12" s="242">
        <v>216</v>
      </c>
    </row>
    <row r="13" spans="1:2" ht="21" customHeight="1">
      <c r="A13" s="236" t="s">
        <v>318</v>
      </c>
      <c r="B13" s="237">
        <v>0</v>
      </c>
    </row>
    <row r="14" spans="1:2" ht="21" customHeight="1">
      <c r="A14" s="236" t="s">
        <v>319</v>
      </c>
      <c r="B14" s="242">
        <v>4000</v>
      </c>
    </row>
    <row r="15" spans="1:2" ht="21" hidden="1" customHeight="1">
      <c r="A15" s="236" t="s">
        <v>320</v>
      </c>
      <c r="B15" s="237" t="s">
        <v>321</v>
      </c>
    </row>
    <row r="16" spans="1:2" ht="21" hidden="1" customHeight="1">
      <c r="A16" s="236" t="s">
        <v>322</v>
      </c>
      <c r="B16" s="237" t="s">
        <v>323</v>
      </c>
    </row>
    <row r="17" spans="1:2" ht="21" customHeight="1">
      <c r="A17" s="236" t="s">
        <v>288</v>
      </c>
      <c r="B17" s="242">
        <f>Data!C74</f>
        <v>1272</v>
      </c>
    </row>
    <row r="18" spans="1:2" ht="21" customHeight="1">
      <c r="A18" s="236" t="s">
        <v>329</v>
      </c>
      <c r="B18" s="244">
        <f>Data!C78</f>
        <v>12</v>
      </c>
    </row>
    <row r="19" spans="1:2" ht="21" customHeight="1">
      <c r="A19" s="236" t="s">
        <v>324</v>
      </c>
      <c r="B19" s="237" t="e">
        <f>Data!#REF!</f>
        <v>#REF!</v>
      </c>
    </row>
    <row r="20" spans="1:2" ht="0.75" customHeight="1" thickBot="1">
      <c r="A20" s="236" t="s">
        <v>325</v>
      </c>
      <c r="B20" s="237" t="s">
        <v>326</v>
      </c>
    </row>
    <row r="21" spans="1:2" ht="24.95" customHeight="1" thickBot="1">
      <c r="A21" s="1164" t="s">
        <v>327</v>
      </c>
      <c r="B21" s="1165"/>
    </row>
    <row r="22" spans="1:2" ht="23.1" customHeight="1">
      <c r="A22" s="1166" t="s">
        <v>328</v>
      </c>
      <c r="B22" s="1167"/>
    </row>
    <row r="23" spans="1:2" ht="23.1" customHeight="1">
      <c r="A23" s="1168"/>
      <c r="B23" s="1169"/>
    </row>
    <row r="24" spans="1:2" ht="23.1" customHeight="1">
      <c r="A24" s="1168"/>
      <c r="B24" s="1169"/>
    </row>
    <row r="25" spans="1:2" ht="23.1" customHeight="1">
      <c r="A25" s="1168"/>
      <c r="B25" s="1169"/>
    </row>
    <row r="26" spans="1:2" ht="23.1" customHeight="1">
      <c r="A26" s="1168"/>
      <c r="B26" s="1169"/>
    </row>
    <row r="27" spans="1:2" ht="23.1" customHeight="1">
      <c r="A27" s="1168"/>
      <c r="B27" s="1169"/>
    </row>
    <row r="28" spans="1:2" ht="23.1" customHeight="1">
      <c r="A28" s="1168"/>
      <c r="B28" s="1169"/>
    </row>
    <row r="29" spans="1:2" ht="23.1" customHeight="1">
      <c r="A29" s="1168"/>
      <c r="B29" s="1169"/>
    </row>
    <row r="30" spans="1:2" ht="23.1" customHeight="1">
      <c r="A30" s="1168"/>
      <c r="B30" s="1169"/>
    </row>
    <row r="31" spans="1:2" ht="23.1" customHeight="1">
      <c r="A31" s="1168"/>
      <c r="B31" s="1169"/>
    </row>
    <row r="32" spans="1:2" ht="23.1" customHeight="1" thickBot="1">
      <c r="A32" s="1170"/>
      <c r="B32" s="1171"/>
    </row>
    <row r="33" spans="1:2">
      <c r="A33" s="238"/>
    </row>
    <row r="35" spans="1:2" ht="15.75">
      <c r="A35" s="239" t="s">
        <v>330</v>
      </c>
      <c r="B35" s="245" t="s">
        <v>366</v>
      </c>
    </row>
  </sheetData>
  <mergeCells count="3">
    <mergeCell ref="A1:B1"/>
    <mergeCell ref="A21:B21"/>
    <mergeCell ref="A22:B32"/>
  </mergeCells>
  <phoneticPr fontId="3" type="noConversion"/>
  <pageMargins left="0.74803149606299213" right="0.74803149606299213" top="0.98425196850393704" bottom="0.98425196850393704" header="0.51181102362204722" footer="0.51181102362204722"/>
  <pageSetup paperSize="9" orientation="portrait" verticalDpi="0" r:id="rId1"/>
  <headerFooter alignWithMargins="0"/>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ayfa13">
    <tabColor indexed="10"/>
  </sheetPr>
  <dimension ref="A1:M53"/>
  <sheetViews>
    <sheetView topLeftCell="A97" zoomScaleNormal="100" workbookViewId="0">
      <selection sqref="A1:G1"/>
    </sheetView>
  </sheetViews>
  <sheetFormatPr defaultRowHeight="12.75"/>
  <sheetData>
    <row r="1" spans="1:12" ht="13.5" thickBot="1"/>
    <row r="2" spans="1:12">
      <c r="B2" s="125"/>
      <c r="C2" s="126"/>
      <c r="D2" s="126"/>
      <c r="E2" s="126"/>
      <c r="F2" s="126"/>
      <c r="G2" s="126"/>
      <c r="H2" s="126"/>
      <c r="I2" s="127"/>
    </row>
    <row r="3" spans="1:12">
      <c r="B3" s="128"/>
      <c r="I3" s="129"/>
    </row>
    <row r="4" spans="1:12">
      <c r="B4" s="128"/>
      <c r="I4" s="129"/>
    </row>
    <row r="5" spans="1:12">
      <c r="B5" s="128"/>
      <c r="I5" s="129"/>
    </row>
    <row r="6" spans="1:12">
      <c r="B6" s="128"/>
      <c r="I6" s="129"/>
    </row>
    <row r="7" spans="1:12">
      <c r="B7" s="128"/>
      <c r="I7" s="129"/>
    </row>
    <row r="8" spans="1:12">
      <c r="B8" s="128"/>
      <c r="I8" s="129"/>
    </row>
    <row r="9" spans="1:12">
      <c r="B9" s="128"/>
      <c r="I9" s="129"/>
      <c r="J9" s="128"/>
    </row>
    <row r="10" spans="1:12" ht="12.75" customHeight="1">
      <c r="A10" s="129"/>
      <c r="I10" s="129"/>
      <c r="J10" s="128"/>
    </row>
    <row r="11" spans="1:12" ht="17.25" customHeight="1">
      <c r="A11" s="129"/>
      <c r="G11" s="1177">
        <f>Data!E5</f>
        <v>45768</v>
      </c>
      <c r="H11" s="1177"/>
      <c r="I11" s="1178"/>
      <c r="J11" s="128"/>
      <c r="L11" t="s">
        <v>159</v>
      </c>
    </row>
    <row r="12" spans="1:12">
      <c r="A12" s="129"/>
      <c r="I12" s="129"/>
      <c r="J12" s="128"/>
    </row>
    <row r="13" spans="1:12">
      <c r="A13" s="129"/>
      <c r="I13" s="129"/>
      <c r="J13" s="128"/>
    </row>
    <row r="14" spans="1:12" ht="18">
      <c r="A14" s="129"/>
      <c r="B14" s="1172" t="s">
        <v>213</v>
      </c>
      <c r="C14" s="1173"/>
      <c r="D14" s="1173"/>
      <c r="E14" s="1173"/>
      <c r="F14" s="1173"/>
      <c r="G14" s="1173"/>
      <c r="H14" s="1173"/>
      <c r="I14" s="1174"/>
      <c r="J14" s="128"/>
    </row>
    <row r="15" spans="1:12" ht="18">
      <c r="A15" s="129"/>
      <c r="B15" s="1172" t="s">
        <v>289</v>
      </c>
      <c r="C15" s="1173"/>
      <c r="D15" s="1173"/>
      <c r="E15" s="1173"/>
      <c r="F15" s="1173"/>
      <c r="G15" s="1173"/>
      <c r="H15" s="1173"/>
      <c r="I15" s="1174"/>
      <c r="J15" s="128"/>
    </row>
    <row r="16" spans="1:12" ht="18">
      <c r="A16" s="129"/>
      <c r="B16" s="1172" t="s">
        <v>305</v>
      </c>
      <c r="C16" s="1173"/>
      <c r="D16" s="1173"/>
      <c r="E16" s="1173"/>
      <c r="F16" s="1173"/>
      <c r="G16" s="1173"/>
      <c r="H16" s="1173"/>
      <c r="I16" s="1174"/>
      <c r="J16" s="128"/>
    </row>
    <row r="17" spans="1:13">
      <c r="A17" s="129"/>
      <c r="I17" s="129"/>
      <c r="J17" s="128"/>
    </row>
    <row r="18" spans="1:13">
      <c r="A18" s="129"/>
      <c r="I18" s="129"/>
      <c r="J18" s="128"/>
      <c r="M18" t="s">
        <v>159</v>
      </c>
    </row>
    <row r="19" spans="1:13">
      <c r="A19" s="129"/>
      <c r="I19" s="129"/>
      <c r="J19" s="128"/>
    </row>
    <row r="20" spans="1:13">
      <c r="A20" s="129"/>
      <c r="I20" s="129"/>
      <c r="J20" s="128"/>
    </row>
    <row r="21" spans="1:13" ht="18">
      <c r="B21" s="1172" t="str">
        <f>Data!C23</f>
        <v>Yunusov Vüqar Fikrət oğlu</v>
      </c>
      <c r="C21" s="1175"/>
      <c r="D21" s="1175"/>
      <c r="E21" s="1175"/>
      <c r="F21" s="1175"/>
      <c r="G21" s="1175"/>
      <c r="H21" s="1175"/>
      <c r="I21" s="1176"/>
      <c r="J21" s="128"/>
    </row>
    <row r="22" spans="1:13" ht="18">
      <c r="B22" s="130"/>
      <c r="C22" s="131"/>
      <c r="D22" s="131"/>
      <c r="E22" s="131"/>
      <c r="F22" s="131"/>
      <c r="G22" s="131"/>
      <c r="H22" s="131"/>
      <c r="I22" s="132"/>
    </row>
    <row r="23" spans="1:13" ht="18">
      <c r="B23" s="130"/>
      <c r="C23" s="131"/>
      <c r="D23" s="131"/>
      <c r="E23" s="1173" t="s">
        <v>214</v>
      </c>
      <c r="F23" s="1173"/>
      <c r="G23" s="131"/>
      <c r="H23" s="131"/>
      <c r="I23" s="132"/>
    </row>
    <row r="24" spans="1:13">
      <c r="B24" s="128"/>
      <c r="I24" s="129"/>
    </row>
    <row r="25" spans="1:13" ht="18">
      <c r="B25" s="128"/>
      <c r="E25" s="137" t="str">
        <f>Data!I5</f>
        <v>04/2078-25</v>
      </c>
      <c r="F25" s="136" t="s">
        <v>215</v>
      </c>
      <c r="I25" s="129"/>
    </row>
    <row r="26" spans="1:13">
      <c r="B26" s="128"/>
      <c r="E26" s="85"/>
      <c r="I26" s="129"/>
    </row>
    <row r="27" spans="1:13">
      <c r="A27" s="129"/>
      <c r="I27" s="129"/>
      <c r="J27" s="128"/>
    </row>
    <row r="28" spans="1:13">
      <c r="B28" s="128"/>
      <c r="I28" s="129"/>
    </row>
    <row r="29" spans="1:13" ht="18">
      <c r="B29" s="1172" t="s">
        <v>159</v>
      </c>
      <c r="C29" s="1173"/>
      <c r="D29" s="1173"/>
      <c r="E29" s="1173"/>
      <c r="F29" s="1173"/>
      <c r="G29" s="1173"/>
      <c r="H29" s="1173"/>
      <c r="I29" s="1174"/>
    </row>
    <row r="30" spans="1:13">
      <c r="B30" s="128"/>
      <c r="I30" s="129"/>
    </row>
    <row r="31" spans="1:13" ht="18">
      <c r="B31" s="1172" t="s">
        <v>151</v>
      </c>
      <c r="C31" s="1173"/>
      <c r="D31" s="1173"/>
      <c r="E31" s="1173"/>
      <c r="F31" s="1173"/>
      <c r="G31" s="1173"/>
      <c r="H31" s="1173"/>
      <c r="I31" s="1174"/>
    </row>
    <row r="32" spans="1:13">
      <c r="B32" s="128"/>
      <c r="I32" s="129"/>
    </row>
    <row r="33" spans="1:9" ht="18">
      <c r="B33" s="1172" t="s">
        <v>216</v>
      </c>
      <c r="C33" s="1173"/>
      <c r="D33" s="1173"/>
      <c r="E33" s="1173"/>
      <c r="F33" s="1173"/>
      <c r="G33" s="1173"/>
      <c r="H33" s="1173"/>
      <c r="I33" s="1174"/>
    </row>
    <row r="34" spans="1:9">
      <c r="B34" s="128"/>
      <c r="I34" s="129"/>
    </row>
    <row r="35" spans="1:9">
      <c r="B35" s="128"/>
      <c r="I35" s="129"/>
    </row>
    <row r="36" spans="1:9">
      <c r="A36" s="129"/>
      <c r="I36" s="129"/>
    </row>
    <row r="37" spans="1:9" ht="18">
      <c r="A37" s="129"/>
      <c r="B37" s="131"/>
      <c r="C37" s="131"/>
      <c r="D37" s="131"/>
      <c r="E37" s="131"/>
      <c r="F37" s="131"/>
      <c r="G37" s="131"/>
      <c r="H37" s="131"/>
      <c r="I37" s="132"/>
    </row>
    <row r="38" spans="1:9">
      <c r="A38" s="129"/>
      <c r="I38" s="129"/>
    </row>
    <row r="39" spans="1:9" ht="18">
      <c r="A39" s="129"/>
      <c r="B39" s="131"/>
      <c r="C39" s="131"/>
      <c r="D39" s="131"/>
      <c r="E39" s="131"/>
      <c r="F39" s="131"/>
      <c r="G39" s="131"/>
      <c r="H39" s="131"/>
      <c r="I39" s="132"/>
    </row>
    <row r="40" spans="1:9">
      <c r="A40" s="129"/>
      <c r="I40" s="129"/>
    </row>
    <row r="41" spans="1:9">
      <c r="B41" s="128"/>
      <c r="I41" s="129"/>
    </row>
    <row r="42" spans="1:9">
      <c r="B42" s="128"/>
      <c r="I42" s="129"/>
    </row>
    <row r="43" spans="1:9">
      <c r="B43" s="128"/>
      <c r="I43" s="129"/>
    </row>
    <row r="44" spans="1:9">
      <c r="B44" s="128"/>
      <c r="I44" s="129"/>
    </row>
    <row r="45" spans="1:9">
      <c r="B45" s="128"/>
      <c r="I45" s="129"/>
    </row>
    <row r="46" spans="1:9">
      <c r="B46" s="128"/>
      <c r="I46" s="129"/>
    </row>
    <row r="47" spans="1:9">
      <c r="B47" s="128"/>
      <c r="I47" s="129"/>
    </row>
    <row r="48" spans="1:9">
      <c r="B48" s="128"/>
      <c r="I48" s="129"/>
    </row>
    <row r="49" spans="2:9">
      <c r="B49" s="128"/>
      <c r="I49" s="129"/>
    </row>
    <row r="50" spans="2:9" ht="13.5" thickBot="1">
      <c r="B50" s="133" t="s">
        <v>217</v>
      </c>
      <c r="C50" s="134"/>
      <c r="D50" s="134"/>
      <c r="E50" s="134"/>
      <c r="F50" s="134"/>
      <c r="G50" s="134"/>
      <c r="H50" s="134"/>
      <c r="I50" s="135"/>
    </row>
    <row r="53" spans="2:9">
      <c r="B53" s="138"/>
    </row>
  </sheetData>
  <mergeCells count="9">
    <mergeCell ref="B33:I33"/>
    <mergeCell ref="B21:I21"/>
    <mergeCell ref="E23:F23"/>
    <mergeCell ref="B29:I29"/>
    <mergeCell ref="G11:I11"/>
    <mergeCell ref="B14:I14"/>
    <mergeCell ref="B15:I15"/>
    <mergeCell ref="B16:I16"/>
    <mergeCell ref="B31:I31"/>
  </mergeCells>
  <phoneticPr fontId="3" type="noConversion"/>
  <pageMargins left="0.75" right="0.75" top="1" bottom="1" header="0.5" footer="0.5"/>
  <pageSetup paperSize="9" scale="95" orientation="portrait" verticalDpi="0" r:id="rId1"/>
  <headerFooter alignWithMargins="0"/>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ayfa14"/>
  <dimension ref="A1:AC36"/>
  <sheetViews>
    <sheetView workbookViewId="0">
      <selection sqref="A1:G1"/>
    </sheetView>
  </sheetViews>
  <sheetFormatPr defaultRowHeight="12.75"/>
  <cols>
    <col min="1" max="1" width="15.85546875" style="143" customWidth="1"/>
    <col min="2" max="2" width="14.85546875" style="143" customWidth="1"/>
    <col min="3" max="3" width="19" style="143" customWidth="1"/>
    <col min="4" max="4" width="1.7109375" style="143" customWidth="1"/>
    <col min="5" max="5" width="13.7109375" style="143" customWidth="1"/>
    <col min="6" max="6" width="19" style="143" customWidth="1"/>
    <col min="7" max="7" width="14.42578125" style="143" customWidth="1"/>
    <col min="8" max="8" width="11.140625" style="318" hidden="1" customWidth="1"/>
    <col min="9" max="9" width="10.28515625" style="319" hidden="1" customWidth="1"/>
    <col min="10" max="10" width="13.85546875" style="319" hidden="1" customWidth="1"/>
    <col min="11" max="11" width="12.5703125" style="319" hidden="1" customWidth="1"/>
    <col min="12" max="12" width="9.85546875" style="319" hidden="1" customWidth="1"/>
    <col min="13" max="13" width="11" style="319" hidden="1" customWidth="1"/>
    <col min="14" max="14" width="2.140625" style="319" hidden="1" customWidth="1"/>
    <col min="15" max="15" width="10.85546875" style="319" hidden="1" customWidth="1"/>
    <col min="16" max="16" width="14.85546875" style="319" hidden="1" customWidth="1"/>
    <col min="17" max="17" width="10" style="319" hidden="1" customWidth="1"/>
    <col min="18" max="18" width="17.85546875" style="319" hidden="1" customWidth="1"/>
    <col min="19" max="19" width="10.42578125" style="319" hidden="1" customWidth="1"/>
    <col min="20" max="20" width="8.28515625" style="319" hidden="1" customWidth="1"/>
    <col min="21" max="21" width="12.28515625" style="319" hidden="1" customWidth="1"/>
    <col min="22" max="22" width="10.140625" style="319" hidden="1" customWidth="1"/>
    <col min="23" max="23" width="11.85546875" style="319" hidden="1" customWidth="1"/>
    <col min="24" max="24" width="7.42578125" style="319" hidden="1" customWidth="1"/>
    <col min="25" max="25" width="8.28515625" style="319" hidden="1" customWidth="1"/>
    <col min="26" max="26" width="9.7109375" style="319" hidden="1" customWidth="1"/>
    <col min="27" max="27" width="8.140625" style="319" hidden="1" customWidth="1"/>
    <col min="28" max="28" width="10" style="319" hidden="1" customWidth="1"/>
    <col min="29" max="29" width="18.85546875" style="319" hidden="1" customWidth="1"/>
    <col min="30" max="16384" width="9.140625" style="143"/>
  </cols>
  <sheetData>
    <row r="1" spans="1:29" ht="22.5" customHeight="1">
      <c r="A1" s="1186" t="s">
        <v>334</v>
      </c>
      <c r="B1" s="1187"/>
      <c r="C1" s="1187"/>
      <c r="D1" s="1187"/>
      <c r="E1" s="1187"/>
      <c r="F1" s="1187"/>
      <c r="G1" s="1188"/>
      <c r="AC1" s="318"/>
    </row>
    <row r="2" spans="1:29" ht="22.5" customHeight="1">
      <c r="A2" s="265"/>
      <c r="B2" s="266"/>
      <c r="C2" s="1189">
        <f>Data!E5</f>
        <v>45768</v>
      </c>
      <c r="D2" s="1189"/>
      <c r="E2" s="1189"/>
      <c r="F2" s="266"/>
      <c r="G2" s="267"/>
      <c r="P2" s="320">
        <f ca="1">TODAY()</f>
        <v>45786</v>
      </c>
      <c r="AC2" s="318"/>
    </row>
    <row r="3" spans="1:29" ht="23.25" customHeight="1">
      <c r="A3" s="268"/>
      <c r="B3" s="269"/>
      <c r="C3" s="269"/>
      <c r="D3" s="269"/>
      <c r="E3" s="269"/>
      <c r="F3" s="269"/>
      <c r="G3" s="270"/>
      <c r="P3" s="321" t="str">
        <f ca="1">IF(DAY(P2)&gt;9,DAY(P2),TEXT(,0&amp;DAY(P2)))</f>
        <v>09</v>
      </c>
    </row>
    <row r="4" spans="1:29" s="274" customFormat="1" ht="30" customHeight="1">
      <c r="A4" s="271" t="s">
        <v>335</v>
      </c>
      <c r="B4" s="272"/>
      <c r="C4" s="273"/>
      <c r="D4" s="271"/>
      <c r="E4" s="271" t="s">
        <v>336</v>
      </c>
      <c r="F4" s="272"/>
      <c r="G4" s="273"/>
      <c r="H4" s="318"/>
      <c r="I4" s="319"/>
      <c r="J4" s="319"/>
      <c r="K4" s="319"/>
      <c r="L4" s="319"/>
      <c r="M4" s="319"/>
      <c r="N4" s="319"/>
      <c r="O4" s="319"/>
      <c r="P4" s="321" t="str">
        <f ca="1">IF(MONTH(P2)=1,"йанвар",(IF(MONTH(P2)=2,"феврал",(IF(MONTH(P2)=3,"март",(IF(MONTH(P2)=4,"апрел",(IF(MONTH(P2)=5,"май",(IF(MONTH(P2)=6,"ийун",(IF(MONTH(P2)=7,"ийул","")))))))))))))</f>
        <v>май</v>
      </c>
      <c r="Q4" s="319"/>
      <c r="R4" s="319"/>
      <c r="S4" s="319"/>
      <c r="T4" s="319"/>
      <c r="U4" s="319"/>
      <c r="V4" s="319"/>
      <c r="W4" s="319"/>
      <c r="X4" s="319"/>
      <c r="Y4" s="319"/>
      <c r="Z4" s="319"/>
      <c r="AA4" s="319"/>
      <c r="AB4" s="319"/>
      <c r="AC4" s="319"/>
    </row>
    <row r="5" spans="1:29" s="252" customFormat="1" ht="18" customHeight="1">
      <c r="A5" s="275" t="s">
        <v>337</v>
      </c>
      <c r="B5" s="276" t="s">
        <v>338</v>
      </c>
      <c r="C5" s="277"/>
      <c r="D5" s="275"/>
      <c r="E5" s="275" t="s">
        <v>337</v>
      </c>
      <c r="F5" s="276" t="s">
        <v>338</v>
      </c>
      <c r="G5" s="277"/>
      <c r="H5" s="318"/>
      <c r="I5" s="319"/>
      <c r="J5" s="319" t="s">
        <v>358</v>
      </c>
      <c r="K5" s="319"/>
      <c r="L5" s="319"/>
      <c r="M5" s="319"/>
      <c r="N5" s="319"/>
      <c r="O5" s="319"/>
      <c r="P5" s="321" t="str">
        <f ca="1">IF(P4="",(IF(MONTH(P2)=8,"август",(IF(MONTH(P2)=9,"сентйабр",(IF(MONTH(P2)=10,"октйабр",(IF(MONTH(P2)=11,"нойабр",(IF(MONTH(P2)=12,"декабр","")))))))))),"")</f>
        <v/>
      </c>
      <c r="Q5" s="319"/>
      <c r="R5" s="319"/>
      <c r="S5" s="319"/>
      <c r="T5" s="319"/>
      <c r="U5" s="319"/>
      <c r="V5" s="319"/>
      <c r="W5" s="319"/>
      <c r="X5" s="319"/>
      <c r="Y5" s="319"/>
      <c r="Z5" s="319"/>
      <c r="AA5" s="319"/>
      <c r="AB5" s="319"/>
      <c r="AC5" s="319"/>
    </row>
    <row r="6" spans="1:29" s="252" customFormat="1" ht="18" customHeight="1">
      <c r="A6" s="275" t="s">
        <v>339</v>
      </c>
      <c r="B6" s="276">
        <v>691011</v>
      </c>
      <c r="C6" s="277"/>
      <c r="D6" s="275"/>
      <c r="E6" s="275" t="s">
        <v>339</v>
      </c>
      <c r="F6" s="276">
        <v>691011</v>
      </c>
      <c r="G6" s="277"/>
      <c r="H6" s="318"/>
      <c r="I6" s="319"/>
      <c r="J6" s="319" t="s">
        <v>359</v>
      </c>
      <c r="K6" s="319"/>
      <c r="L6" s="319"/>
      <c r="M6" s="319"/>
      <c r="N6" s="319"/>
      <c r="O6" s="319"/>
      <c r="P6" s="321">
        <f ca="1">YEAR(P2)</f>
        <v>2025</v>
      </c>
      <c r="Q6" s="319"/>
      <c r="R6" s="319"/>
      <c r="S6" s="319"/>
      <c r="T6" s="319"/>
      <c r="U6" s="319"/>
      <c r="V6" s="319"/>
      <c r="W6" s="319"/>
      <c r="X6" s="319"/>
      <c r="Y6" s="319"/>
      <c r="Z6" s="319"/>
      <c r="AA6" s="319"/>
      <c r="AB6" s="319"/>
      <c r="AC6" s="319"/>
    </row>
    <row r="7" spans="1:29" s="252" customFormat="1" ht="18" customHeight="1">
      <c r="A7" s="275" t="s">
        <v>340</v>
      </c>
      <c r="B7" s="276">
        <v>9900037711</v>
      </c>
      <c r="C7" s="277"/>
      <c r="D7" s="275"/>
      <c r="E7" s="275" t="s">
        <v>340</v>
      </c>
      <c r="F7" s="276">
        <v>9900037711</v>
      </c>
      <c r="G7" s="277"/>
      <c r="H7" s="318"/>
      <c r="I7" s="319"/>
      <c r="J7" s="319" t="s">
        <v>360</v>
      </c>
      <c r="K7" s="319"/>
      <c r="L7" s="319"/>
      <c r="M7" s="319"/>
      <c r="N7" s="319"/>
      <c r="O7" s="319"/>
      <c r="P7" s="1182" t="str">
        <f ca="1">CONCATENATE(P3," ",P4," ",P5," ",P6,"-ъи ил")</f>
        <v>09 май  2025-ъи ил</v>
      </c>
      <c r="Q7" s="1182"/>
      <c r="R7" s="1182"/>
      <c r="S7" s="1182"/>
      <c r="T7" s="319"/>
      <c r="U7" s="319"/>
      <c r="V7" s="319"/>
      <c r="W7" s="319"/>
      <c r="X7" s="319"/>
      <c r="Y7" s="319"/>
      <c r="Z7" s="319"/>
      <c r="AA7" s="319"/>
      <c r="AB7" s="319"/>
      <c r="AC7" s="319"/>
    </row>
    <row r="8" spans="1:29" s="252" customFormat="1" ht="18" customHeight="1">
      <c r="A8" s="275" t="s">
        <v>341</v>
      </c>
      <c r="B8" s="278" t="s">
        <v>342</v>
      </c>
      <c r="C8" s="279"/>
      <c r="D8" s="280"/>
      <c r="E8" s="275" t="s">
        <v>341</v>
      </c>
      <c r="F8" s="278" t="s">
        <v>342</v>
      </c>
      <c r="G8" s="279"/>
      <c r="H8" s="318"/>
      <c r="I8" s="319"/>
      <c r="J8" s="319" t="s">
        <v>361</v>
      </c>
      <c r="K8" s="319"/>
      <c r="L8" s="319"/>
      <c r="M8" s="319"/>
      <c r="N8" s="319"/>
      <c r="O8" s="319"/>
      <c r="P8" s="319"/>
      <c r="Q8" s="319"/>
      <c r="R8" s="319"/>
      <c r="S8" s="319"/>
      <c r="T8" s="319"/>
      <c r="U8" s="319"/>
      <c r="V8" s="319"/>
      <c r="W8" s="319"/>
      <c r="X8" s="319"/>
      <c r="Y8" s="319"/>
      <c r="Z8" s="319"/>
      <c r="AA8" s="319"/>
      <c r="AB8" s="319"/>
      <c r="AC8" s="319"/>
    </row>
    <row r="9" spans="1:29" s="252" customFormat="1" ht="18" customHeight="1">
      <c r="A9" s="275" t="s">
        <v>343</v>
      </c>
      <c r="B9" s="252" t="s">
        <v>344</v>
      </c>
      <c r="C9" s="277"/>
      <c r="D9" s="275"/>
      <c r="E9" s="281" t="s">
        <v>343</v>
      </c>
      <c r="F9" s="282" t="s">
        <v>344</v>
      </c>
      <c r="G9" s="283"/>
      <c r="H9" s="318"/>
      <c r="I9" s="319"/>
      <c r="J9" s="319"/>
      <c r="K9" s="319"/>
      <c r="L9" s="319"/>
      <c r="M9" s="319"/>
      <c r="N9" s="319"/>
      <c r="O9" s="319"/>
      <c r="P9" s="319"/>
      <c r="Q9" s="319"/>
      <c r="R9" s="319"/>
      <c r="S9" s="319"/>
      <c r="T9" s="319"/>
      <c r="U9" s="319"/>
      <c r="V9" s="319"/>
      <c r="W9" s="319"/>
      <c r="X9" s="319"/>
      <c r="Y9" s="319"/>
      <c r="Z9" s="319"/>
      <c r="AA9" s="319"/>
      <c r="AB9" s="319"/>
      <c r="AC9" s="319"/>
    </row>
    <row r="10" spans="1:29" s="274" customFormat="1" ht="30" customHeight="1">
      <c r="A10" s="271" t="s">
        <v>345</v>
      </c>
      <c r="B10" s="272"/>
      <c r="C10" s="273"/>
      <c r="D10" s="271"/>
      <c r="E10" s="272" t="s">
        <v>346</v>
      </c>
      <c r="F10" s="284"/>
      <c r="G10" s="285"/>
      <c r="H10" s="318"/>
      <c r="I10" s="1183">
        <f>B16</f>
        <v>1272</v>
      </c>
      <c r="J10" s="1183"/>
      <c r="K10" s="1183"/>
      <c r="L10" s="1183"/>
      <c r="M10" s="1183"/>
      <c r="N10" s="1183"/>
      <c r="O10" s="1183"/>
      <c r="P10" s="1183"/>
      <c r="Q10" s="1183"/>
      <c r="R10" s="1183"/>
      <c r="S10" s="1183"/>
      <c r="T10" s="1183"/>
      <c r="U10" s="1183"/>
      <c r="V10" s="1183"/>
      <c r="W10" s="1183"/>
      <c r="X10" s="1183"/>
      <c r="Y10" s="1183"/>
      <c r="Z10" s="1183"/>
      <c r="AA10" s="1183"/>
      <c r="AB10" s="319"/>
      <c r="AC10" s="319"/>
    </row>
    <row r="11" spans="1:29" s="252" customFormat="1" ht="18" customHeight="1">
      <c r="A11" s="275" t="s">
        <v>337</v>
      </c>
      <c r="B11" s="252" t="s">
        <v>347</v>
      </c>
      <c r="C11" s="277"/>
      <c r="D11" s="275"/>
      <c r="E11" s="252" t="s">
        <v>337</v>
      </c>
      <c r="F11" s="1190" t="str">
        <f>Data!C23</f>
        <v>Yunusov Vüqar Fikrət oğlu</v>
      </c>
      <c r="G11" s="1191"/>
      <c r="H11" s="318"/>
      <c r="I11" s="322">
        <f>INT(I10/10000000000)</f>
        <v>0</v>
      </c>
      <c r="J11" s="322">
        <f>INT(I10/1000000000)-I11*10</f>
        <v>0</v>
      </c>
      <c r="K11" s="322"/>
      <c r="L11" s="322">
        <f>INT(I10/100000000)-(J11*10+I11*100)</f>
        <v>0</v>
      </c>
      <c r="M11" s="322"/>
      <c r="N11" s="322">
        <f>INT(I10/10000000)-(L11*10+J11*100+I11*1000)</f>
        <v>0</v>
      </c>
      <c r="O11" s="322">
        <f>INT(I10/1000000)-(I11*10000+J11*1000+L11*100+N11*10)</f>
        <v>0</v>
      </c>
      <c r="P11" s="322"/>
      <c r="Q11" s="322">
        <f>INT(I10/100000)-(I11*100000+J11*10000+L11*1000+N11*100+O11*10)</f>
        <v>0</v>
      </c>
      <c r="R11" s="322"/>
      <c r="S11" s="322">
        <f>INT(I10/10000)-(I11*1000000+J11*100000+L11*10000+N11*1000+O11*100+Q11*10)</f>
        <v>0</v>
      </c>
      <c r="T11" s="322">
        <f>INT(I10/1000)-(I11*10000000+J11*1000000+L11*100000+N11*10000+O11*1000+Q11*100+S11*10)</f>
        <v>1</v>
      </c>
      <c r="U11" s="322"/>
      <c r="V11" s="322">
        <f>INT(I10/100)-(I11*100000000+J11*10000000+L11*1000000+N11*100000+O11*10000+Q11*1000+S11*100+T11*10)</f>
        <v>2</v>
      </c>
      <c r="W11" s="322"/>
      <c r="X11" s="322">
        <f>INT(I10/10)-(I11*1000000000+J11*100000000+L11*10000000+N11*1000000+O11*100000+Q11*10000+S11*1000+T11*100+V11*10)</f>
        <v>7</v>
      </c>
      <c r="Y11" s="322">
        <f>INT(I10)-(I11*10000000000+J11*1000000000+L11*100000000+N11*10000000+O11*1000000+Q11*100000+S11*10000+T11*1000+V11*100+X11*10)</f>
        <v>2</v>
      </c>
      <c r="Z11" s="323">
        <f>INT(I10*10)-(I11*100000000000+J11*10000000000+L11*1000000000+N11*100000000+O11*10000000+Q11*1000000+S11*100000+T11*10000+V11*1000+X11*100+Y11*10)</f>
        <v>0</v>
      </c>
      <c r="AA11" s="323">
        <f>INT(I10*100)-(I11*1000000000000+J11*100000000000+L11*10000000000+N11*1000000000+O11*100000000+Q11*10000000+S11*1000000+T11*100000+V11*10000+X11*1000+Y11*100+Z11*10)</f>
        <v>0</v>
      </c>
      <c r="AB11" s="319"/>
      <c r="AC11" s="319"/>
    </row>
    <row r="12" spans="1:29" s="252" customFormat="1" ht="18" customHeight="1">
      <c r="A12" s="275" t="s">
        <v>348</v>
      </c>
      <c r="B12" s="1192" t="s">
        <v>333</v>
      </c>
      <c r="C12" s="1193"/>
      <c r="D12" s="275"/>
      <c r="E12" s="252" t="s">
        <v>348</v>
      </c>
      <c r="F12" s="1192">
        <f>Data!F63</f>
        <v>0</v>
      </c>
      <c r="G12" s="1193"/>
      <c r="H12" s="318"/>
      <c r="I12" s="322" t="str">
        <f>IF(I11=0," ",IF(I11=1," On ",IF(I11=2," İyirmi",IF(I11=3," Otuz",IF(I11=4," Qırx"," ")))))&amp;IF(I11=5," Əlli",IF(I11=6," Altmış",IF(I11=7," Yetmiş",IF(I11=8," Səksən",IF(I11=9," Doxsan"," ")))))</f>
        <v xml:space="preserve">  </v>
      </c>
      <c r="J12" s="322" t="str">
        <f>IF(J11=0," ",IF(J11=1," bir",IF(J11=2," iki",IF(J11=3," üç",IF(J11=4," dörd"," ")))))&amp;IF(J11=5," beş",IF(J11=6," altı",IF(J11=7," yeddi",IF(J11=8," səkkiz",IF(J11=9," doqquz"," ")))))</f>
        <v xml:space="preserve">  </v>
      </c>
      <c r="K12" s="322" t="str">
        <f>IF(AND(J11=0,I11=0)," "," milyard ")</f>
        <v xml:space="preserve"> </v>
      </c>
      <c r="L12" s="322" t="str">
        <f>IF(L11=0," ",IF(L11=1,"bir ",IF(L11=2,"iki ",IF(L11=3,"üç ",IF(L11=4,"dörd "," ")))))&amp;IF(L11=5,"beş ",IF(L11=6,"altı ",IF(L11=7,"yeddi ",IF(L11=8,"səkkiz ",IF(L11=9,"doqquz "," ")))))</f>
        <v xml:space="preserve">  </v>
      </c>
      <c r="M12" s="322" t="str">
        <f>IF(L12="  "," "," yüz ")</f>
        <v xml:space="preserve"> </v>
      </c>
      <c r="N12" s="322" t="str">
        <f>IF(N11=0," ",IF(N11=1,"on ",IF(N11=2,"iyirmi ",IF(N11=3,"otuz ",IF(N11=4,"qırx "," ")))))&amp;IF(N11=5,"əlli ",IF(N11=6,"altmış ",IF(N11=7,"yetmiş ",IF(N11=8,"səksən ",IF(N11=9,"doxsan "," ")))))</f>
        <v xml:space="preserve">  </v>
      </c>
      <c r="O12" s="322" t="str">
        <f>IF(O11=0," ",IF(O11=1,"bir",IF(O11=2,"iki",IF(O11=3,"üç",IF(O11=4,"dörd"," ")))))&amp;IF(O11=5,"beş",IF(O11=6,"altı",IF(O11=7,"yeddi",IF(O11=8,"səkkiz",IF(O11=9,"doqquz"," ")))))</f>
        <v xml:space="preserve">  </v>
      </c>
      <c r="P12" s="322" t="str">
        <f>IF(AND(N11=0,L11=0,O11=0)," "," milyon ")</f>
        <v xml:space="preserve"> </v>
      </c>
      <c r="Q12" s="322" t="str">
        <f>IF(Q11=0," ",IF(Q11=1,"bir  ",IF(Q11=2,"iki  ",IF(Q11=3,"üç  ",IF(Q11=4,"dörd  "," ")))))&amp;IF(Q11=5,"beş  ",IF(Q11=6,"altı  ",IF(Q11=7,"yeddi  ",IF(Q11=8,"səkkiz  ",IF(Q11=9,"doqquz  "," ")))))</f>
        <v xml:space="preserve">  </v>
      </c>
      <c r="R12" s="322" t="str">
        <f>IF(Q12="  "," "," yüz ")</f>
        <v xml:space="preserve"> </v>
      </c>
      <c r="S12" s="322" t="str">
        <f>IF(S11=0," ",IF(S11=1,"on ",IF(S11=2,"iyirmi ",IF(S11=3,"otuz ",IF(S11=4,"qırx "," ")))))&amp;IF(S11=5,"əlli ",IF(S11=6,"altmış ",IF(S11=7,"yetmiş ",IF(S11=8,"səksən ",IF(S11=9,"doxsan "," ")))))</f>
        <v xml:space="preserve">  </v>
      </c>
      <c r="T12" s="322" t="str">
        <f>IF(T11=0," ",IF(T11=1,"bir",IF(T11=2,"iki",IF(T11=3,"üç",IF(T11=4,"dörd"," ")))))&amp;IF(T11=5,"beş",IF(T11=6,"altı",IF(T11=7,"yeddi",IF(T11=8,"səkkiz",IF(T11=9,"doqquz"," ")))))</f>
        <v xml:space="preserve">bir </v>
      </c>
      <c r="U12" s="322" t="str">
        <f>IF(AND(S11=0,Q11=0,T11=0)," "," min ")</f>
        <v xml:space="preserve"> min </v>
      </c>
      <c r="V12" s="322" t="str">
        <f>IF(V11=0," ",IF(V11=1,"bir  ",IF(V11=2,"iki  ",IF(V11=3,"üç  ",IF(V11=4,"dörd  "," ")))))&amp;IF(V11=5,"beş  ",IF(V11=6,"altı  ",IF(V11=7,"yeddi  ",IF(V11=8,"səkkiz  ",IF(V11=9,"doqquz  "," ")))))</f>
        <v xml:space="preserve">iki   </v>
      </c>
      <c r="W12" s="322" t="str">
        <f>IF(V12="  "," "," yüz ")</f>
        <v xml:space="preserve"> yüz </v>
      </c>
      <c r="X12" s="322" t="str">
        <f>IF(X11=0," ",IF(X11=1," on",IF(X11=2," iyirmi",IF(X11=3," otuz",IF(X11=4," qırx"," ")))))&amp;IF(X11=5," əlli",IF(X11=6," altmış",IF(X11=7," yetmiş",IF(X11=8," səksən",IF(X11=9," doxsan"," ")))))</f>
        <v xml:space="preserve">  yetmiş</v>
      </c>
      <c r="Y12" s="322" t="str">
        <f>IF(Y11=0," ",IF(Y11=1," bir",IF(Y11=2," iki",IF(Y11=3," üç",IF(Y11=4," dörd"," ")))))&amp;IF(Y11=5," beş",IF(Y11=6," altı",IF(Y11=7," yeddi",IF(Y11=8," səkkiz",IF(Y11=9," doqquz"," ")))))</f>
        <v xml:space="preserve"> iki </v>
      </c>
      <c r="Z12" s="322" t="str">
        <f>IF(Z11=0," ",IF(Z11=1," он",IF(Z11=2," ийирми",IF(Z11=3," отуз",IF(Z11=4," гырх"," ")))))&amp;IF(Z11=5," ялли",IF(Z11=6," алтмыш",IF(Z11=7," йетмиш",IF(Z11=8," сяксян",IF(Z11=9," дохсан"," ")))))</f>
        <v xml:space="preserve">  </v>
      </c>
      <c r="AA12" s="322" t="str">
        <f>IF(AA11=0," ",IF(AA11=1," bir",IF(AA11=2," iki",IF(AA11=3," üç",IF(AA11=4," dörd"," ")))))&amp;IF(AA11=5," beş",IF(AA11=6," altı",IF(AA11=7," yeddi",IF(AA11=8," səkkiz",IF(AA11=9," doqquz"," ")))))</f>
        <v xml:space="preserve">  </v>
      </c>
      <c r="AB12" s="319"/>
      <c r="AC12" s="319"/>
    </row>
    <row r="13" spans="1:29" s="252" customFormat="1" ht="18" customHeight="1">
      <c r="A13" s="281" t="s">
        <v>6</v>
      </c>
      <c r="B13" s="286">
        <v>1300480591</v>
      </c>
      <c r="C13" s="283"/>
      <c r="D13" s="275"/>
      <c r="E13" s="252" t="s">
        <v>6</v>
      </c>
      <c r="F13" s="276"/>
      <c r="G13" s="287"/>
      <c r="H13" s="318"/>
      <c r="I13" s="319" t="str">
        <f>PROPER(I12)</f>
        <v xml:space="preserve">  </v>
      </c>
      <c r="J13" s="319" t="str">
        <f>IF(I12="  ",PROPER(J12),J12)</f>
        <v xml:space="preserve">  </v>
      </c>
      <c r="K13" s="319" t="str">
        <f>K12</f>
        <v xml:space="preserve"> </v>
      </c>
      <c r="L13" s="319" t="str">
        <f>IF(AND(I12="  ",J12="  ",K12=" "),PROPER(L12),L12)</f>
        <v xml:space="preserve">  </v>
      </c>
      <c r="M13" s="319" t="str">
        <f>M12</f>
        <v xml:space="preserve"> </v>
      </c>
      <c r="N13" s="319" t="str">
        <f>IF(AND(I12="  ",J12="  ",K12=" ",L12="  ",M12=" "),PROPER(N12),N12)</f>
        <v xml:space="preserve">  </v>
      </c>
      <c r="O13" s="319" t="str">
        <f>IF(AND(I12="  ",J12="  ",K12=" ",L12="  ",M12=" ",N12="  "),PROPER(O12),O12)</f>
        <v xml:space="preserve">  </v>
      </c>
      <c r="P13" s="319" t="str">
        <f>P12</f>
        <v xml:space="preserve"> </v>
      </c>
      <c r="Q13" s="319" t="str">
        <f>IF(AND(I12="  ",J12="  ",K12=" ",L12="  ",M12=" ",N12="  ",O12="  ",P12=" "),PROPER(Q12),Q12)</f>
        <v xml:space="preserve">  </v>
      </c>
      <c r="R13" s="319" t="str">
        <f>R12</f>
        <v xml:space="preserve"> </v>
      </c>
      <c r="S13" s="319" t="str">
        <f>IF(AND(I12="  ",J12="  ",K12=" ",L12="  ",M12=" ",N12="  ",O12="  ",P12=" ",Q12="  ",R12=" "),PROPER(S12),S12)</f>
        <v xml:space="preserve">  </v>
      </c>
      <c r="T13" s="319" t="str">
        <f>IF(AND(I12="  ",J12="  ",K12=" ",L12="  ",M12=" ",N12="  ",O12="  ",P12=" ",Q12="  ",R12=" ",S12="  "),PROPER(T12),T12)</f>
        <v xml:space="preserve">Bir </v>
      </c>
      <c r="U13" s="319" t="str">
        <f>U12</f>
        <v xml:space="preserve"> min </v>
      </c>
      <c r="V13" s="319" t="str">
        <f>IF(AND(I12="  ",J12="  ",K12=" ",L12="  ",M12=" ",N12="  ",O12="  ",P12=" ",Q12="  ",R12=" ",S12="  ",T12="  ",U12=" "),PROPER(V12),V12)</f>
        <v xml:space="preserve">iki   </v>
      </c>
      <c r="W13" s="319" t="str">
        <f>W12</f>
        <v xml:space="preserve"> yüz </v>
      </c>
      <c r="X13" s="319" t="str">
        <f>IF(AND(I12="  ",J12="  ",K12=" ",L12="  ",M12=" ",N12="  ",O12="  ",P12=" ",Q12="  ",R12=" ",S12="  ",T12="  ",U12=" ",V12="  ",W12=" "),PROPER(X12),X12)</f>
        <v xml:space="preserve">  yetmiş</v>
      </c>
      <c r="Y13" s="319" t="str">
        <f>IF(AND(I12="  ",J12="  ",K12=" ",L12="  ",M12=" ",N12="  ",O12="  ",P12=" ",Q12="  ",R12=" ",S12="  ",T12="  ",U12=" ",V12="  ",W12=" ",X12="  "),PROPER(Y12),Y12)</f>
        <v xml:space="preserve"> iki </v>
      </c>
      <c r="Z13" s="319" t="str">
        <f>IF(AND(J12="  ",K12="  ",L12=" ",M12="  ",N12=" ",O12="  ",P12="  ",Q12=" ",R12="  ",S12=" ",T12="  ",U12="  ",V12=" ",W12="  ",X12=" ",Y12="  "),PROPER(Z12),Z12)</f>
        <v xml:space="preserve">  </v>
      </c>
      <c r="AA13" s="319" t="str">
        <f>IF(AND(K12="  ",L12="  ",M12=" ",N12="  ",O12=" ",P12="  ",Q12="  ",R12=" ",S12="  ",T12=" ",U12="  ",V12="  ",W12=" ",X12="  ",Y12=" ",Z12="  "),PROPER(AA12),AA12)</f>
        <v xml:space="preserve">  </v>
      </c>
      <c r="AB13" s="319"/>
      <c r="AC13" s="319"/>
    </row>
    <row r="14" spans="1:29" s="274" customFormat="1" ht="30" customHeight="1">
      <c r="A14" s="288" t="s">
        <v>349</v>
      </c>
      <c r="B14" s="289"/>
      <c r="C14" s="289"/>
      <c r="D14" s="289"/>
      <c r="E14" s="289"/>
      <c r="F14" s="289"/>
      <c r="G14" s="290" t="s">
        <v>159</v>
      </c>
      <c r="H14" s="318"/>
      <c r="I14" s="1184" t="str">
        <f>TRIM(I13&amp;J13&amp;K13&amp;L13&amp;M13&amp;N13&amp;O13&amp;P13&amp;Q13&amp;R13&amp;S13&amp;T13&amp;U13&amp;V13&amp;W13&amp;X13&amp;Y13&amp; " manat" )</f>
        <v>Bir min iki yüz yetmiş iki manat</v>
      </c>
      <c r="J14" s="1184"/>
      <c r="K14" s="1184"/>
      <c r="L14" s="1184"/>
      <c r="M14" s="1184"/>
      <c r="N14" s="1184"/>
      <c r="O14" s="1184"/>
      <c r="P14" s="1184"/>
      <c r="Q14" s="1184"/>
      <c r="R14" s="1184"/>
      <c r="S14" s="1184"/>
      <c r="T14" s="1184"/>
      <c r="U14" s="1184"/>
      <c r="V14" s="1184"/>
      <c r="W14" s="1184"/>
      <c r="X14" s="1184"/>
      <c r="Y14" s="1184"/>
      <c r="Z14" s="1184"/>
      <c r="AA14" s="1184"/>
      <c r="AB14" s="319"/>
      <c r="AC14" s="319"/>
    </row>
    <row r="15" spans="1:29" s="274" customFormat="1" ht="16.5" customHeight="1">
      <c r="A15" s="291" t="s">
        <v>350</v>
      </c>
      <c r="B15" s="292"/>
      <c r="C15" s="292"/>
      <c r="D15" s="292"/>
      <c r="E15" s="292"/>
      <c r="F15" s="292"/>
      <c r="G15" s="293"/>
      <c r="H15" s="318"/>
      <c r="I15" s="1185" t="str">
        <f>TRIM(Z11&amp;AA11&amp; " qəpik" )</f>
        <v>00 qəpik</v>
      </c>
      <c r="J15" s="1185"/>
      <c r="K15" s="1185"/>
      <c r="L15" s="1185"/>
      <c r="M15" s="1185"/>
      <c r="N15" s="1185"/>
      <c r="O15" s="1185"/>
      <c r="P15" s="1185"/>
      <c r="Q15" s="1185"/>
      <c r="R15" s="1185"/>
      <c r="S15" s="1185"/>
      <c r="T15" s="1185"/>
      <c r="U15" s="1185"/>
      <c r="V15" s="1185"/>
      <c r="W15" s="1185"/>
      <c r="X15" s="1185"/>
      <c r="Y15" s="1185"/>
      <c r="Z15" s="1185"/>
      <c r="AA15" s="1185"/>
      <c r="AB15" s="319"/>
      <c r="AC15" s="319"/>
    </row>
    <row r="16" spans="1:29" s="252" customFormat="1" ht="20.25" customHeight="1">
      <c r="A16" s="275" t="s">
        <v>290</v>
      </c>
      <c r="B16" s="294">
        <f>Data!C74</f>
        <v>1272</v>
      </c>
      <c r="C16" s="295"/>
      <c r="D16" s="295"/>
      <c r="E16" s="296"/>
      <c r="F16" s="297"/>
      <c r="G16" s="298"/>
      <c r="H16" s="318"/>
      <c r="I16" s="1185" t="str">
        <f>CONCATENATE(I14," ",I15)</f>
        <v>Bir min iki yüz yetmiş iki manat 00 qəpik</v>
      </c>
      <c r="J16" s="1185"/>
      <c r="K16" s="1185"/>
      <c r="L16" s="1185"/>
      <c r="M16" s="1185"/>
      <c r="N16" s="1185"/>
      <c r="O16" s="1185"/>
      <c r="P16" s="1185"/>
      <c r="Q16" s="1185"/>
      <c r="R16" s="1185"/>
      <c r="S16" s="1185"/>
      <c r="T16" s="1185"/>
      <c r="U16" s="1185"/>
      <c r="V16" s="1185"/>
      <c r="W16" s="1185"/>
      <c r="X16" s="1185"/>
      <c r="Y16" s="1185"/>
      <c r="Z16" s="1185"/>
      <c r="AA16" s="1185"/>
      <c r="AB16" s="319"/>
      <c r="AC16" s="319"/>
    </row>
    <row r="17" spans="1:29" s="252" customFormat="1" ht="20.25" customHeight="1">
      <c r="A17" s="275" t="s">
        <v>291</v>
      </c>
      <c r="B17" s="1179" t="str">
        <f>I16</f>
        <v>Bir min iki yüz yetmiş iki manat 00 qəpik</v>
      </c>
      <c r="C17" s="1180"/>
      <c r="D17" s="1180"/>
      <c r="E17" s="1180"/>
      <c r="F17" s="296"/>
      <c r="G17" s="299"/>
      <c r="H17" s="318"/>
      <c r="I17" s="319"/>
      <c r="J17" s="319"/>
      <c r="K17" s="319"/>
      <c r="L17" s="319"/>
      <c r="M17" s="319"/>
      <c r="N17" s="319"/>
      <c r="O17" s="319"/>
      <c r="P17" s="319"/>
      <c r="Q17" s="319"/>
      <c r="R17" s="319"/>
      <c r="S17" s="319"/>
      <c r="T17" s="319"/>
      <c r="U17" s="319"/>
      <c r="V17" s="319"/>
      <c r="W17" s="319"/>
      <c r="X17" s="319"/>
      <c r="Y17" s="319"/>
      <c r="Z17" s="319"/>
      <c r="AA17" s="319"/>
      <c r="AB17" s="319"/>
      <c r="AC17" s="319"/>
    </row>
    <row r="18" spans="1:29" s="274" customFormat="1" ht="24" customHeight="1">
      <c r="A18" s="300" t="s">
        <v>351</v>
      </c>
      <c r="B18" s="301"/>
      <c r="C18" s="302">
        <f>KR!M5</f>
        <v>45768</v>
      </c>
      <c r="D18" s="1181" t="s">
        <v>7</v>
      </c>
      <c r="E18" s="1181"/>
      <c r="F18" s="303" t="s">
        <v>297</v>
      </c>
      <c r="G18" s="304" t="str">
        <f>Data!I5</f>
        <v>04/2078-25</v>
      </c>
      <c r="H18" s="318"/>
      <c r="I18" s="319"/>
      <c r="J18" s="319"/>
      <c r="K18" s="319"/>
      <c r="L18" s="319"/>
      <c r="M18" s="319"/>
      <c r="N18" s="319"/>
      <c r="O18" s="319"/>
      <c r="P18" s="319"/>
      <c r="Q18" s="319"/>
      <c r="R18" s="319"/>
      <c r="S18" s="319"/>
      <c r="T18" s="319"/>
      <c r="U18" s="319"/>
      <c r="V18" s="319"/>
      <c r="W18" s="319"/>
      <c r="X18" s="319"/>
      <c r="Y18" s="319"/>
      <c r="Z18" s="319"/>
      <c r="AA18" s="319"/>
      <c r="AB18" s="319"/>
      <c r="AC18" s="319"/>
    </row>
    <row r="19" spans="1:29" s="274" customFormat="1" ht="30" customHeight="1">
      <c r="A19" s="271" t="s">
        <v>352</v>
      </c>
      <c r="B19" s="272"/>
      <c r="C19" s="292"/>
      <c r="D19" s="292"/>
      <c r="E19" s="292"/>
      <c r="F19" s="292"/>
      <c r="G19" s="293"/>
      <c r="H19" s="318"/>
      <c r="I19" s="319"/>
      <c r="J19" s="319"/>
      <c r="K19" s="319"/>
      <c r="L19" s="319"/>
      <c r="M19" s="319"/>
      <c r="N19" s="319"/>
      <c r="O19" s="319"/>
      <c r="P19" s="319"/>
      <c r="Q19" s="319"/>
      <c r="R19" s="319"/>
      <c r="S19" s="319"/>
      <c r="T19" s="319"/>
      <c r="U19" s="319"/>
      <c r="V19" s="319"/>
      <c r="W19" s="319"/>
      <c r="X19" s="319"/>
      <c r="Y19" s="319"/>
      <c r="Z19" s="319"/>
      <c r="AA19" s="319"/>
      <c r="AB19" s="319"/>
      <c r="AC19" s="319"/>
    </row>
    <row r="20" spans="1:29" s="252" customFormat="1" ht="22.5" customHeight="1">
      <c r="A20" s="305" t="s">
        <v>292</v>
      </c>
      <c r="B20" s="306"/>
      <c r="C20" s="307">
        <f>C18</f>
        <v>45768</v>
      </c>
      <c r="D20" s="1181" t="s">
        <v>7</v>
      </c>
      <c r="E20" s="1181"/>
      <c r="F20" s="303" t="s">
        <v>297</v>
      </c>
      <c r="G20" s="308" t="str">
        <f>G18</f>
        <v>04/2078-25</v>
      </c>
      <c r="H20" s="318"/>
      <c r="I20" s="319"/>
      <c r="J20" s="319"/>
      <c r="K20" s="319"/>
      <c r="L20" s="319"/>
      <c r="M20" s="319"/>
      <c r="N20" s="319"/>
      <c r="O20" s="319"/>
      <c r="P20" s="319"/>
      <c r="Q20" s="319"/>
      <c r="R20" s="319"/>
      <c r="S20" s="319"/>
      <c r="T20" s="319"/>
      <c r="U20" s="319"/>
      <c r="V20" s="319"/>
      <c r="W20" s="319"/>
      <c r="X20" s="319"/>
      <c r="Y20" s="319"/>
      <c r="Z20" s="319"/>
      <c r="AA20" s="319"/>
      <c r="AB20" s="319"/>
      <c r="AC20" s="319"/>
    </row>
    <row r="21" spans="1:29" ht="30.75" customHeight="1">
      <c r="A21" s="309" t="s">
        <v>353</v>
      </c>
      <c r="B21" s="310"/>
      <c r="C21" s="311" t="s">
        <v>152</v>
      </c>
      <c r="D21" s="311"/>
      <c r="G21" s="312"/>
      <c r="Q21" s="319" t="s">
        <v>362</v>
      </c>
    </row>
    <row r="22" spans="1:29" ht="69" customHeight="1">
      <c r="A22" s="313"/>
      <c r="C22" s="311" t="s">
        <v>153</v>
      </c>
      <c r="D22" s="311"/>
      <c r="G22" s="312"/>
    </row>
    <row r="23" spans="1:29" ht="33.75" customHeight="1">
      <c r="A23" s="275" t="s">
        <v>354</v>
      </c>
      <c r="B23" s="252"/>
      <c r="C23" s="252"/>
      <c r="D23" s="252"/>
      <c r="E23" s="252"/>
      <c r="F23" s="252"/>
      <c r="G23" s="277"/>
    </row>
    <row r="24" spans="1:29" ht="22.5" customHeight="1">
      <c r="A24" s="313" t="s">
        <v>355</v>
      </c>
      <c r="C24" s="311" t="s">
        <v>152</v>
      </c>
      <c r="D24" s="311"/>
      <c r="G24" s="312"/>
    </row>
    <row r="25" spans="1:29" ht="55.5" customHeight="1">
      <c r="A25" s="313"/>
      <c r="C25" s="311" t="s">
        <v>153</v>
      </c>
      <c r="D25" s="311"/>
      <c r="G25" s="312"/>
    </row>
    <row r="26" spans="1:29" ht="19.5" customHeight="1">
      <c r="A26" s="313" t="s">
        <v>354</v>
      </c>
      <c r="G26" s="312"/>
    </row>
    <row r="27" spans="1:29" ht="18" customHeight="1">
      <c r="A27" s="313"/>
      <c r="G27" s="312"/>
    </row>
    <row r="28" spans="1:29">
      <c r="A28" s="313"/>
      <c r="E28" s="314" t="s">
        <v>356</v>
      </c>
      <c r="G28" s="312"/>
    </row>
    <row r="29" spans="1:29">
      <c r="A29" s="313"/>
      <c r="G29" s="312"/>
    </row>
    <row r="30" spans="1:29">
      <c r="A30" s="315" t="s">
        <v>357</v>
      </c>
      <c r="B30" s="316"/>
      <c r="C30" s="316"/>
      <c r="D30" s="316"/>
      <c r="E30" s="316"/>
      <c r="F30" s="316"/>
      <c r="G30" s="317"/>
    </row>
    <row r="31" spans="1:29">
      <c r="A31" s="269"/>
      <c r="B31" s="269"/>
      <c r="C31" s="269"/>
      <c r="D31" s="269"/>
      <c r="E31" s="269"/>
      <c r="F31" s="269"/>
      <c r="G31" s="269"/>
    </row>
    <row r="32" spans="1:29">
      <c r="A32" s="269"/>
      <c r="B32" s="269"/>
      <c r="C32" s="269"/>
      <c r="D32" s="269"/>
      <c r="E32" s="269"/>
      <c r="F32" s="269"/>
      <c r="G32" s="269"/>
    </row>
    <row r="33" spans="1:7">
      <c r="A33" s="269"/>
      <c r="B33" s="269"/>
      <c r="C33" s="269"/>
      <c r="D33" s="269"/>
      <c r="E33" s="269"/>
      <c r="F33" s="269"/>
      <c r="G33" s="269"/>
    </row>
    <row r="34" spans="1:7">
      <c r="A34" s="269"/>
      <c r="B34" s="269"/>
      <c r="C34" s="269"/>
      <c r="D34" s="269"/>
      <c r="E34" s="269"/>
      <c r="F34" s="269"/>
      <c r="G34" s="269"/>
    </row>
    <row r="35" spans="1:7">
      <c r="A35" s="269"/>
      <c r="B35" s="269"/>
      <c r="C35" s="269"/>
      <c r="D35" s="269"/>
      <c r="E35" s="269"/>
      <c r="F35" s="269"/>
      <c r="G35" s="269"/>
    </row>
    <row r="36" spans="1:7">
      <c r="A36" s="269"/>
      <c r="B36" s="269"/>
      <c r="C36" s="269"/>
      <c r="D36" s="269"/>
      <c r="E36" s="269"/>
      <c r="F36" s="269"/>
      <c r="G36" s="269"/>
    </row>
  </sheetData>
  <mergeCells count="13">
    <mergeCell ref="A1:G1"/>
    <mergeCell ref="C2:E2"/>
    <mergeCell ref="F11:G11"/>
    <mergeCell ref="B12:C12"/>
    <mergeCell ref="F12:G12"/>
    <mergeCell ref="B17:E17"/>
    <mergeCell ref="D18:E18"/>
    <mergeCell ref="D20:E20"/>
    <mergeCell ref="P7:S7"/>
    <mergeCell ref="I10:AA10"/>
    <mergeCell ref="I14:AA14"/>
    <mergeCell ref="I15:AA15"/>
    <mergeCell ref="I16:AA16"/>
  </mergeCells>
  <pageMargins left="0.31" right="0.3" top="0.75" bottom="0.75" header="0.3" footer="0.3"/>
  <pageSetup paperSize="9" orientation="portrait" verticalDpi="0"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ayfa15">
    <tabColor indexed="57"/>
  </sheetPr>
  <dimension ref="B1:P62"/>
  <sheetViews>
    <sheetView workbookViewId="0">
      <selection sqref="A1:G1"/>
    </sheetView>
  </sheetViews>
  <sheetFormatPr defaultRowHeight="12.75"/>
  <cols>
    <col min="1" max="1" width="2.140625" customWidth="1"/>
    <col min="3" max="3" width="6.85546875" customWidth="1"/>
    <col min="4" max="4" width="7.7109375" customWidth="1"/>
    <col min="5" max="5" width="23.85546875" customWidth="1"/>
    <col min="6" max="6" width="6.5703125" customWidth="1"/>
    <col min="7" max="7" width="8.28515625" customWidth="1"/>
    <col min="8" max="8" width="8" customWidth="1"/>
    <col min="9" max="9" width="8.5703125" customWidth="1"/>
    <col min="11" max="11" width="4.85546875" customWidth="1"/>
  </cols>
  <sheetData>
    <row r="1" spans="2:16" ht="15" customHeight="1">
      <c r="B1" s="226" t="s">
        <v>286</v>
      </c>
    </row>
    <row r="2" spans="2:16" ht="15.75">
      <c r="B2" s="226" t="s">
        <v>287</v>
      </c>
      <c r="J2" t="s">
        <v>231</v>
      </c>
    </row>
    <row r="3" spans="2:16" ht="3" customHeight="1">
      <c r="B3" s="141"/>
      <c r="E3" s="142"/>
      <c r="F3" s="142"/>
      <c r="G3" s="142"/>
      <c r="H3" s="142"/>
    </row>
    <row r="4" spans="2:16" ht="15.75" customHeight="1">
      <c r="B4" s="143" t="s">
        <v>232</v>
      </c>
      <c r="D4" s="144"/>
      <c r="E4" s="145" t="s">
        <v>233</v>
      </c>
      <c r="F4" s="145"/>
      <c r="G4" s="145"/>
      <c r="H4" s="142"/>
      <c r="I4" s="146" t="s">
        <v>234</v>
      </c>
    </row>
    <row r="5" spans="2:16" ht="0.75" customHeight="1">
      <c r="P5" s="147"/>
    </row>
    <row r="6" spans="2:16" ht="9" customHeight="1">
      <c r="F6" s="148" t="s">
        <v>235</v>
      </c>
      <c r="G6" s="149" t="s">
        <v>236</v>
      </c>
      <c r="H6" s="222" t="s">
        <v>226</v>
      </c>
    </row>
    <row r="7" spans="2:16" ht="13.5" customHeight="1">
      <c r="F7" s="1194" t="s">
        <v>283</v>
      </c>
      <c r="G7" s="1195"/>
      <c r="H7" s="1196"/>
    </row>
    <row r="8" spans="2:16" ht="9.75" customHeight="1"/>
    <row r="9" spans="2:16" ht="12.75" hidden="1" customHeight="1"/>
    <row r="10" spans="2:16" ht="14.25" customHeight="1">
      <c r="D10" s="151"/>
      <c r="E10" s="152" t="s">
        <v>237</v>
      </c>
      <c r="F10" s="153"/>
      <c r="G10" s="152" t="s">
        <v>238</v>
      </c>
      <c r="H10" s="153"/>
      <c r="I10" s="154" t="s">
        <v>239</v>
      </c>
      <c r="J10" s="155" t="s">
        <v>240</v>
      </c>
    </row>
    <row r="11" spans="2:16">
      <c r="D11" s="156"/>
      <c r="E11" s="157" t="s">
        <v>241</v>
      </c>
      <c r="F11" s="150"/>
      <c r="G11" s="158"/>
      <c r="H11" s="150"/>
      <c r="I11" s="156"/>
      <c r="J11" s="159" t="s">
        <v>242</v>
      </c>
    </row>
    <row r="12" spans="2:16">
      <c r="D12" s="160"/>
      <c r="E12" s="161" t="e">
        <f>#REF!</f>
        <v>#REF!</v>
      </c>
      <c r="F12" s="162"/>
      <c r="H12" s="162"/>
      <c r="I12" s="170">
        <f>Data!C74</f>
        <v>1272</v>
      </c>
      <c r="J12" s="162"/>
    </row>
    <row r="13" spans="2:16" ht="18" customHeight="1">
      <c r="D13" s="1199">
        <f>Data!F65</f>
        <v>0</v>
      </c>
      <c r="E13" s="1200"/>
      <c r="F13" s="1201"/>
      <c r="G13" s="158"/>
      <c r="H13" s="150"/>
      <c r="I13" s="156"/>
      <c r="J13" s="150"/>
    </row>
    <row r="14" spans="2:16" ht="9" customHeight="1"/>
    <row r="15" spans="2:16" ht="15" customHeight="1">
      <c r="B15" t="s">
        <v>243</v>
      </c>
      <c r="C15" s="1203" t="str">
        <f>Data!C23</f>
        <v>Yunusov Vüqar Fikrət oğlu</v>
      </c>
      <c r="D15" s="1203"/>
      <c r="E15" s="1203"/>
      <c r="F15" s="158"/>
      <c r="G15" s="158"/>
      <c r="H15" s="158"/>
      <c r="I15" s="158"/>
      <c r="J15" s="158"/>
      <c r="K15" s="158"/>
    </row>
    <row r="16" spans="2:16" ht="11.25" customHeight="1">
      <c r="E16" s="164" t="s">
        <v>244</v>
      </c>
    </row>
    <row r="17" spans="2:11" ht="13.5" customHeight="1">
      <c r="B17" t="s">
        <v>245</v>
      </c>
      <c r="C17" s="163" t="s">
        <v>246</v>
      </c>
      <c r="D17" s="158"/>
      <c r="E17" s="158"/>
      <c r="F17" s="158"/>
      <c r="G17" s="158"/>
      <c r="H17" s="158"/>
      <c r="I17" s="158"/>
      <c r="J17" s="158"/>
      <c r="K17" s="158"/>
    </row>
    <row r="18" spans="2:11" ht="24.75" customHeight="1">
      <c r="C18" s="1197" t="str">
        <f>Лист1!B3</f>
        <v xml:space="preserve"> (bir min  iki yüz yetmiş (Iki ) Manat</v>
      </c>
      <c r="D18" s="1197"/>
      <c r="E18" s="1197"/>
      <c r="F18" s="1197"/>
      <c r="G18" s="1197"/>
      <c r="H18" s="165"/>
      <c r="I18" s="165"/>
      <c r="J18" s="165"/>
      <c r="K18" s="158"/>
    </row>
    <row r="19" spans="2:11" ht="9" customHeight="1">
      <c r="C19" s="166"/>
      <c r="D19" s="166"/>
      <c r="E19" s="166"/>
      <c r="F19" s="166"/>
      <c r="G19" s="152" t="s">
        <v>247</v>
      </c>
      <c r="H19" s="166"/>
      <c r="I19" s="166"/>
      <c r="J19" s="166"/>
      <c r="K19" s="166"/>
    </row>
    <row r="20" spans="2:11" ht="3.75" hidden="1" customHeight="1"/>
    <row r="21" spans="2:11" ht="11.25" customHeight="1">
      <c r="C21" s="158"/>
      <c r="D21" s="158"/>
      <c r="E21" s="158"/>
      <c r="F21" s="1202">
        <f>I12</f>
        <v>1272</v>
      </c>
      <c r="G21" s="1202"/>
      <c r="H21" t="s">
        <v>224</v>
      </c>
      <c r="I21" s="158"/>
      <c r="J21" s="158"/>
      <c r="K21" s="158"/>
    </row>
    <row r="22" spans="2:11" ht="5.25" customHeight="1">
      <c r="C22" s="166"/>
      <c r="D22" s="166"/>
      <c r="E22" s="166"/>
      <c r="F22" s="166"/>
      <c r="G22" s="166"/>
      <c r="I22" s="166"/>
      <c r="J22" s="166"/>
    </row>
    <row r="23" spans="2:11" ht="16.5" hidden="1" customHeight="1"/>
    <row r="24" spans="2:11" ht="13.5" customHeight="1">
      <c r="B24" t="s">
        <v>248</v>
      </c>
      <c r="C24" s="158"/>
      <c r="D24" s="158"/>
      <c r="E24" s="158"/>
      <c r="F24" s="158"/>
      <c r="G24" s="158"/>
      <c r="H24" s="164" t="s">
        <v>230</v>
      </c>
      <c r="I24" s="158"/>
      <c r="J24" s="158"/>
      <c r="K24" s="158"/>
    </row>
    <row r="25" spans="2:11" ht="17.25" customHeight="1">
      <c r="B25" t="s">
        <v>249</v>
      </c>
      <c r="C25" s="158" t="str">
        <f>C18</f>
        <v xml:space="preserve"> (bir min  iki yüz yetmiş (Iki ) Manat</v>
      </c>
      <c r="D25" s="158"/>
      <c r="E25" s="158"/>
      <c r="F25" s="158"/>
      <c r="G25" s="158"/>
      <c r="H25" s="158"/>
      <c r="I25" s="166" t="s">
        <v>224</v>
      </c>
      <c r="J25" s="165"/>
      <c r="K25" s="165"/>
    </row>
    <row r="26" spans="2:11" ht="9.75" customHeight="1">
      <c r="E26" s="152" t="s">
        <v>247</v>
      </c>
      <c r="F26" s="166"/>
    </row>
    <row r="27" spans="2:11">
      <c r="C27" s="1205" t="str">
        <f>F7</f>
        <v>20 avqust 2014-cü il</v>
      </c>
      <c r="D27" s="1205"/>
      <c r="E27" s="1205"/>
      <c r="I27" t="s">
        <v>250</v>
      </c>
    </row>
    <row r="28" spans="2:11" ht="18.75" customHeight="1">
      <c r="C28" s="158" t="s">
        <v>251</v>
      </c>
      <c r="D28" s="158" t="s">
        <v>254</v>
      </c>
      <c r="E28" s="171">
        <f>Data!D21</f>
        <v>0</v>
      </c>
      <c r="F28" s="1204" t="str">
        <f>Data!C27</f>
        <v>Asan4</v>
      </c>
      <c r="G28" s="1204"/>
      <c r="H28" s="1198" t="str">
        <f>Data!E21</f>
        <v>29.10.2023</v>
      </c>
      <c r="I28" s="1198"/>
      <c r="J28" s="158"/>
      <c r="K28" s="158"/>
    </row>
    <row r="29" spans="2:11">
      <c r="D29">
        <v>0</v>
      </c>
    </row>
    <row r="30" spans="2:11" ht="18.75" customHeight="1">
      <c r="B30" t="s">
        <v>252</v>
      </c>
    </row>
    <row r="32" spans="2:11" ht="6.75" customHeight="1"/>
    <row r="33" spans="2:10" ht="13.5" customHeight="1">
      <c r="B33" s="167"/>
    </row>
    <row r="34" spans="2:10" ht="13.5" customHeight="1">
      <c r="B34" s="167"/>
    </row>
    <row r="35" spans="2:10" ht="0.75" customHeight="1">
      <c r="B35" s="141"/>
    </row>
    <row r="36" spans="2:10" ht="17.25" customHeight="1">
      <c r="B36" s="143"/>
      <c r="D36" s="145"/>
      <c r="E36" s="145"/>
      <c r="F36" s="145"/>
      <c r="G36" s="145"/>
      <c r="H36" s="142"/>
    </row>
    <row r="37" spans="2:10" ht="3.75" customHeight="1"/>
    <row r="38" spans="2:10">
      <c r="F38" s="147"/>
      <c r="G38" s="147"/>
    </row>
    <row r="39" spans="2:10">
      <c r="F39" s="82"/>
    </row>
    <row r="40" spans="2:10" ht="9.75" customHeight="1"/>
    <row r="41" spans="2:10" ht="0.75" customHeight="1"/>
    <row r="42" spans="2:10">
      <c r="D42" s="164"/>
      <c r="E42" s="164"/>
      <c r="G42" s="164"/>
      <c r="J42" s="164"/>
    </row>
    <row r="43" spans="2:10">
      <c r="E43" s="164"/>
      <c r="J43" s="164"/>
    </row>
    <row r="44" spans="2:10">
      <c r="E44" s="168"/>
    </row>
    <row r="45" spans="2:10" ht="3" customHeight="1"/>
    <row r="46" spans="2:10" ht="7.5" customHeight="1"/>
    <row r="47" spans="2:10" ht="12.75" customHeight="1">
      <c r="D47" s="169"/>
    </row>
    <row r="48" spans="2:10" ht="10.5" customHeight="1"/>
    <row r="49" spans="7:12" ht="15" customHeight="1"/>
    <row r="50" spans="7:12" ht="21.75" customHeight="1"/>
    <row r="51" spans="7:12" ht="9" customHeight="1">
      <c r="G51" s="164"/>
    </row>
    <row r="52" spans="7:12" ht="13.5" customHeight="1"/>
    <row r="53" spans="7:12" ht="12.75" hidden="1" customHeight="1"/>
    <row r="54" spans="7:12" ht="1.5" hidden="1" customHeight="1"/>
    <row r="55" spans="7:12" ht="6.75" hidden="1" customHeight="1">
      <c r="L55" t="s">
        <v>253</v>
      </c>
    </row>
    <row r="56" spans="7:12" ht="18" customHeight="1"/>
    <row r="57" spans="7:12" ht="17.25" customHeight="1"/>
    <row r="58" spans="7:12" ht="15" customHeight="1"/>
    <row r="59" spans="7:12" ht="11.25" customHeight="1"/>
    <row r="60" spans="7:12" ht="6" customHeight="1"/>
    <row r="61" spans="7:12" ht="12.75" customHeight="1"/>
    <row r="62" spans="7:12" ht="18.75" customHeight="1"/>
  </sheetData>
  <mergeCells count="8">
    <mergeCell ref="F7:H7"/>
    <mergeCell ref="C18:G18"/>
    <mergeCell ref="H28:I28"/>
    <mergeCell ref="D13:F13"/>
    <mergeCell ref="F21:G21"/>
    <mergeCell ref="C15:E15"/>
    <mergeCell ref="F28:G28"/>
    <mergeCell ref="C27:E27"/>
  </mergeCells>
  <phoneticPr fontId="3" type="noConversion"/>
  <pageMargins left="0.25" right="0.22" top="1" bottom="1" header="0.5" footer="0.5"/>
  <pageSetup paperSize="9" orientation="portrait" verticalDpi="0" r:id="rId1"/>
  <headerFooter alignWithMargin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ayfa16">
    <tabColor indexed="57"/>
  </sheetPr>
  <dimension ref="A1:EA57"/>
  <sheetViews>
    <sheetView topLeftCell="A2" workbookViewId="0">
      <selection sqref="A1:G1"/>
    </sheetView>
  </sheetViews>
  <sheetFormatPr defaultRowHeight="11.25"/>
  <cols>
    <col min="1" max="1" width="12.5703125" style="164" customWidth="1"/>
    <col min="2" max="2" width="11.140625" style="164" customWidth="1"/>
    <col min="3" max="3" width="15.5703125" style="164" customWidth="1"/>
    <col min="4" max="4" width="11.7109375" style="164" customWidth="1"/>
    <col min="5" max="5" width="11.85546875" style="164" customWidth="1"/>
    <col min="6" max="6" width="17.7109375" style="164" customWidth="1"/>
    <col min="7" max="7" width="16.140625" style="164" customWidth="1"/>
    <col min="8" max="16384" width="9.140625" style="164"/>
  </cols>
  <sheetData>
    <row r="1" spans="1:7" ht="12" hidden="1" thickBot="1"/>
    <row r="2" spans="1:7">
      <c r="A2" s="172"/>
      <c r="B2" s="172"/>
      <c r="C2" s="173" t="s">
        <v>255</v>
      </c>
      <c r="D2" s="1206"/>
      <c r="E2" s="172"/>
      <c r="F2" s="1208"/>
      <c r="G2" s="1209"/>
    </row>
    <row r="3" spans="1:7" ht="12" thickBot="1">
      <c r="A3" s="172"/>
      <c r="B3" s="172"/>
      <c r="C3" s="173" t="s">
        <v>256</v>
      </c>
      <c r="D3" s="1207"/>
      <c r="E3" s="172"/>
      <c r="F3" s="1210">
        <v>1300480591</v>
      </c>
      <c r="G3" s="1211"/>
    </row>
    <row r="4" spans="1:7">
      <c r="A4" s="172"/>
      <c r="B4" s="172"/>
      <c r="C4" s="223">
        <f>Data!E5</f>
        <v>45768</v>
      </c>
      <c r="D4" s="172"/>
      <c r="E4" s="172"/>
      <c r="F4" s="172"/>
      <c r="G4" s="172"/>
    </row>
    <row r="5" spans="1:7">
      <c r="A5" s="172"/>
      <c r="B5" s="172"/>
      <c r="C5" s="172"/>
      <c r="D5" s="172"/>
      <c r="E5" s="172"/>
      <c r="F5" s="172"/>
      <c r="G5" s="172"/>
    </row>
    <row r="6" spans="1:7">
      <c r="E6" s="173" t="s">
        <v>257</v>
      </c>
      <c r="F6" s="1212" t="e">
        <f>KR!#REF!</f>
        <v>#REF!</v>
      </c>
      <c r="G6" s="1213"/>
    </row>
    <row r="7" spans="1:7" ht="12" customHeight="1">
      <c r="A7" s="172" t="s">
        <v>279</v>
      </c>
      <c r="B7" s="1221" t="str">
        <f>Data!C23</f>
        <v>Yunusov Vüqar Fikrət oğlu</v>
      </c>
      <c r="C7" s="1221"/>
      <c r="D7" s="172"/>
      <c r="E7" s="177" t="s">
        <v>258</v>
      </c>
      <c r="F7" s="1214"/>
      <c r="G7" s="1215"/>
    </row>
    <row r="8" spans="1:7" ht="12" customHeight="1">
      <c r="A8" s="176"/>
      <c r="B8" s="176"/>
      <c r="C8" s="176"/>
      <c r="D8" s="176"/>
      <c r="E8" s="177"/>
      <c r="F8" s="1217" t="s">
        <v>224</v>
      </c>
      <c r="G8" s="1218"/>
    </row>
    <row r="9" spans="1:7">
      <c r="A9" s="178"/>
      <c r="B9" s="178"/>
      <c r="C9" s="178"/>
      <c r="D9" s="178"/>
      <c r="E9" s="179"/>
      <c r="F9" s="1219" t="e">
        <f>KR!#REF!</f>
        <v>#REF!</v>
      </c>
      <c r="G9" s="1220"/>
    </row>
    <row r="10" spans="1:7">
      <c r="A10" s="1221" t="s">
        <v>294</v>
      </c>
      <c r="B10" s="1221"/>
      <c r="C10" s="1221"/>
      <c r="D10" s="1221"/>
      <c r="E10" s="172"/>
      <c r="F10" s="1222" t="s">
        <v>259</v>
      </c>
      <c r="G10" s="1223"/>
    </row>
    <row r="11" spans="1:7">
      <c r="A11" s="172" t="s">
        <v>278</v>
      </c>
      <c r="B11" s="1221" t="s">
        <v>306</v>
      </c>
      <c r="C11" s="1221"/>
      <c r="D11" s="1221"/>
      <c r="E11" s="180"/>
      <c r="F11" s="180"/>
      <c r="G11" s="180"/>
    </row>
    <row r="12" spans="1:7">
      <c r="A12" s="181"/>
      <c r="B12" s="181"/>
      <c r="C12" s="172"/>
      <c r="D12" s="181"/>
      <c r="E12" s="181"/>
      <c r="F12" s="181"/>
      <c r="G12" s="181"/>
    </row>
    <row r="13" spans="1:7">
      <c r="A13" s="182" t="s">
        <v>142</v>
      </c>
      <c r="B13" s="1216" t="s">
        <v>331</v>
      </c>
      <c r="C13" s="1216"/>
      <c r="D13" s="1216"/>
      <c r="E13" s="177"/>
      <c r="F13" s="172"/>
      <c r="G13" s="177"/>
    </row>
    <row r="14" spans="1:7">
      <c r="A14" s="1224" t="s">
        <v>296</v>
      </c>
      <c r="B14" s="1224"/>
      <c r="C14" s="1224"/>
      <c r="D14" s="1224"/>
      <c r="E14" s="1224"/>
      <c r="F14" s="1224"/>
      <c r="G14" s="1224"/>
    </row>
    <row r="15" spans="1:7">
      <c r="A15" s="172" t="s">
        <v>260</v>
      </c>
      <c r="B15" s="172"/>
      <c r="C15" s="172"/>
      <c r="D15" s="172"/>
      <c r="E15" s="172"/>
      <c r="F15" s="172"/>
      <c r="G15" s="172"/>
    </row>
    <row r="16" spans="1:7">
      <c r="A16" s="172"/>
      <c r="B16" s="172"/>
      <c r="C16" s="172" t="s">
        <v>159</v>
      </c>
      <c r="D16" s="172"/>
      <c r="E16" s="172"/>
      <c r="F16" s="172"/>
      <c r="G16" s="172"/>
    </row>
    <row r="17" spans="1:131">
      <c r="A17" s="172" t="s">
        <v>261</v>
      </c>
      <c r="B17" s="172"/>
      <c r="C17" s="172"/>
      <c r="D17" s="172"/>
      <c r="E17" s="172" t="s">
        <v>262</v>
      </c>
      <c r="F17" s="172"/>
      <c r="G17" s="172"/>
    </row>
    <row r="18" spans="1:131">
      <c r="A18" s="182"/>
      <c r="B18" s="182"/>
      <c r="C18" s="182"/>
      <c r="D18" s="182"/>
      <c r="E18" s="182" t="s">
        <v>263</v>
      </c>
      <c r="F18" s="182"/>
      <c r="G18" s="182"/>
    </row>
    <row r="19" spans="1:131" ht="22.5" customHeight="1">
      <c r="A19" s="172"/>
      <c r="B19" s="172"/>
      <c r="C19" s="172" t="s">
        <v>159</v>
      </c>
      <c r="D19" s="172"/>
      <c r="E19" s="172"/>
      <c r="F19" s="172"/>
      <c r="G19" s="172"/>
    </row>
    <row r="20" spans="1:131" ht="23.25" customHeight="1" thickBot="1">
      <c r="A20" s="183"/>
      <c r="B20" s="183" t="s">
        <v>264</v>
      </c>
      <c r="C20" s="183"/>
      <c r="D20" s="183"/>
      <c r="E20" s="183"/>
      <c r="F20" s="183"/>
      <c r="G20" s="183"/>
    </row>
    <row r="21" spans="1:131">
      <c r="A21" s="172"/>
      <c r="B21" s="172"/>
      <c r="C21" s="1225" t="s">
        <v>265</v>
      </c>
      <c r="D21" s="1206"/>
      <c r="E21" s="172"/>
      <c r="F21" s="1208"/>
      <c r="G21" s="1209"/>
    </row>
    <row r="22" spans="1:131" ht="12" thickBot="1">
      <c r="A22" s="172"/>
      <c r="B22" s="172"/>
      <c r="C22" s="1225"/>
      <c r="D22" s="1207"/>
      <c r="E22" s="172"/>
      <c r="F22" s="1210">
        <v>1300480591</v>
      </c>
      <c r="G22" s="1211"/>
    </row>
    <row r="23" spans="1:131">
      <c r="A23" s="172"/>
      <c r="B23" s="172"/>
      <c r="C23" s="223">
        <f>C4</f>
        <v>45768</v>
      </c>
      <c r="D23" s="172"/>
      <c r="E23" s="172"/>
      <c r="F23" s="172"/>
      <c r="G23" s="172"/>
    </row>
    <row r="24" spans="1:131">
      <c r="A24" s="172"/>
      <c r="B24" s="172"/>
      <c r="C24" s="175"/>
      <c r="D24" s="172"/>
      <c r="E24" s="172"/>
      <c r="F24" s="172"/>
      <c r="G24" s="172"/>
    </row>
    <row r="25" spans="1:131">
      <c r="A25" s="172" t="str">
        <f>A7</f>
        <v>Kimdən:                     Fərzəlizadə Fuad Teymur oğlu</v>
      </c>
      <c r="B25" s="1221" t="str">
        <f>B7</f>
        <v>Yunusov Vüqar Fikrət oğlu</v>
      </c>
      <c r="C25" s="1221"/>
      <c r="D25" s="1221"/>
      <c r="E25" s="173" t="s">
        <v>257</v>
      </c>
      <c r="F25" s="1226" t="e">
        <f>F6</f>
        <v>#REF!</v>
      </c>
      <c r="G25" s="1213"/>
    </row>
    <row r="26" spans="1:131">
      <c r="A26" s="182"/>
      <c r="B26" s="157"/>
      <c r="C26" s="182"/>
      <c r="D26" s="182"/>
      <c r="E26" s="177" t="s">
        <v>258</v>
      </c>
      <c r="F26" s="1214"/>
      <c r="G26" s="1215"/>
    </row>
    <row r="27" spans="1:131">
      <c r="A27" s="172"/>
      <c r="C27" s="172"/>
      <c r="D27" s="172"/>
      <c r="E27" s="177"/>
      <c r="F27" s="1217" t="str">
        <f>F8</f>
        <v>AZN</v>
      </c>
      <c r="G27" s="1218"/>
    </row>
    <row r="28" spans="1:131">
      <c r="A28" s="1221" t="str">
        <f>A10</f>
        <v>Alanın bankı:  "Zaminbank" ASC-nin 6 saylı şöbəsi</v>
      </c>
      <c r="B28" s="1221"/>
      <c r="C28" s="1221"/>
      <c r="D28" s="1221"/>
      <c r="E28" s="178"/>
      <c r="F28" s="1227" t="e">
        <f>F9</f>
        <v>#REF!</v>
      </c>
      <c r="G28" s="1228"/>
    </row>
    <row r="29" spans="1:131">
      <c r="A29" s="172" t="str">
        <f>A11</f>
        <v>Кimə:                     Süleymanova Aysel Namiq qızı</v>
      </c>
      <c r="B29" s="1221" t="str">
        <f>B11</f>
        <v>İDEAL KREDİT BOKT</v>
      </c>
      <c r="C29" s="1221"/>
      <c r="D29" s="1221"/>
      <c r="E29" s="172"/>
      <c r="F29" s="1238" t="str">
        <f>F10</f>
        <v>rəqəmlə məbləğ</v>
      </c>
      <c r="G29" s="1223"/>
    </row>
    <row r="30" spans="1:131">
      <c r="A30" s="180"/>
      <c r="B30" s="182"/>
      <c r="C30" s="180"/>
      <c r="D30" s="180"/>
      <c r="E30" s="180"/>
      <c r="F30" s="180"/>
      <c r="G30" s="180"/>
    </row>
    <row r="31" spans="1:131">
      <c r="A31" s="181"/>
      <c r="B31" s="181"/>
      <c r="C31" s="172"/>
      <c r="D31" s="181"/>
      <c r="E31" s="181"/>
      <c r="F31" s="181"/>
      <c r="G31" s="181"/>
    </row>
    <row r="32" spans="1:131" s="182" customFormat="1">
      <c r="A32" s="172" t="str">
        <f>A13</f>
        <v xml:space="preserve">Məbləğ yazı ilə:  </v>
      </c>
      <c r="B32" s="172" t="str">
        <f>B13</f>
        <v>altı yüz on manat</v>
      </c>
      <c r="C32" s="172"/>
      <c r="D32" s="172"/>
      <c r="E32" s="172"/>
      <c r="F32" s="172"/>
      <c r="G32" s="172"/>
      <c r="H32" s="172"/>
      <c r="I32" s="172"/>
      <c r="J32" s="172"/>
      <c r="K32" s="172"/>
      <c r="L32" s="172"/>
      <c r="M32" s="172"/>
      <c r="N32" s="172"/>
      <c r="O32" s="172"/>
      <c r="P32" s="172"/>
      <c r="Q32" s="172"/>
      <c r="R32" s="172"/>
      <c r="S32" s="172"/>
      <c r="T32" s="172"/>
      <c r="U32" s="172"/>
      <c r="V32" s="172"/>
      <c r="W32" s="172"/>
      <c r="X32" s="172"/>
      <c r="Y32" s="172"/>
      <c r="Z32" s="172"/>
      <c r="AA32" s="172"/>
      <c r="AB32" s="172"/>
      <c r="AC32" s="172"/>
      <c r="AD32" s="172"/>
      <c r="AE32" s="172"/>
      <c r="AF32" s="172"/>
      <c r="AG32" s="172"/>
      <c r="AH32" s="172"/>
      <c r="AI32" s="172"/>
      <c r="AJ32" s="172"/>
      <c r="AK32" s="172"/>
      <c r="AL32" s="172"/>
      <c r="AM32" s="172"/>
      <c r="AN32" s="172"/>
      <c r="AO32" s="172"/>
      <c r="AP32" s="172"/>
      <c r="AQ32" s="172"/>
      <c r="AR32" s="172"/>
      <c r="AS32" s="172"/>
      <c r="AT32" s="172"/>
      <c r="AU32" s="172"/>
      <c r="AV32" s="172"/>
      <c r="AW32" s="172"/>
      <c r="AX32" s="172"/>
      <c r="AY32" s="172"/>
      <c r="AZ32" s="172"/>
      <c r="BA32" s="172"/>
      <c r="BB32" s="172"/>
      <c r="BC32" s="172"/>
      <c r="BD32" s="172"/>
      <c r="BE32" s="172"/>
      <c r="BF32" s="172"/>
      <c r="BG32" s="172"/>
      <c r="BH32" s="172"/>
      <c r="BI32" s="172"/>
      <c r="BJ32" s="172"/>
      <c r="BK32" s="172"/>
      <c r="BL32" s="172"/>
      <c r="BM32" s="172"/>
      <c r="BN32" s="172"/>
      <c r="BO32" s="172"/>
      <c r="BP32" s="172"/>
      <c r="BQ32" s="172"/>
      <c r="BR32" s="172"/>
      <c r="BS32" s="172"/>
      <c r="BT32" s="172"/>
      <c r="BU32" s="172"/>
      <c r="BV32" s="172"/>
      <c r="BW32" s="172"/>
      <c r="BX32" s="172"/>
      <c r="BY32" s="172"/>
      <c r="BZ32" s="172"/>
      <c r="CA32" s="172"/>
      <c r="CB32" s="172"/>
      <c r="CC32" s="172"/>
      <c r="CD32" s="172"/>
      <c r="CE32" s="172"/>
      <c r="CF32" s="172"/>
      <c r="CG32" s="172"/>
      <c r="CH32" s="172"/>
      <c r="CI32" s="172"/>
      <c r="CJ32" s="172"/>
      <c r="CK32" s="172"/>
      <c r="CL32" s="172"/>
      <c r="CM32" s="172"/>
      <c r="CN32" s="172"/>
      <c r="CO32" s="172"/>
      <c r="CP32" s="172"/>
      <c r="CQ32" s="172"/>
      <c r="CR32" s="172"/>
      <c r="CS32" s="172"/>
      <c r="CT32" s="172"/>
      <c r="CU32" s="172"/>
      <c r="CV32" s="172"/>
      <c r="CW32" s="172"/>
      <c r="CX32" s="172"/>
      <c r="CY32" s="172"/>
      <c r="CZ32" s="172"/>
      <c r="DA32" s="172"/>
      <c r="DB32" s="172"/>
      <c r="DC32" s="172"/>
      <c r="DD32" s="172"/>
      <c r="DE32" s="172"/>
      <c r="DF32" s="172"/>
      <c r="DG32" s="172"/>
      <c r="DH32" s="172"/>
      <c r="DI32" s="172"/>
      <c r="DJ32" s="172"/>
      <c r="DK32" s="172"/>
      <c r="DL32" s="172"/>
      <c r="DM32" s="172"/>
      <c r="DN32" s="172"/>
      <c r="DO32" s="172"/>
      <c r="DP32" s="172"/>
      <c r="DQ32" s="172"/>
      <c r="DR32" s="172"/>
      <c r="DS32" s="172"/>
      <c r="DT32" s="172"/>
      <c r="DU32" s="172"/>
      <c r="DV32" s="172"/>
      <c r="DW32" s="172"/>
      <c r="DX32" s="172"/>
      <c r="DY32" s="172"/>
      <c r="DZ32" s="172"/>
      <c r="EA32" s="172"/>
    </row>
    <row r="33" spans="1:7">
      <c r="A33" s="1216" t="str">
        <f>A14</f>
        <v>Ödənişin təyinatı: Kreditin xidmət haqqısı</v>
      </c>
      <c r="B33" s="1216"/>
      <c r="C33" s="1216"/>
      <c r="D33" s="1216"/>
      <c r="E33" s="1216"/>
      <c r="F33" s="1216"/>
      <c r="G33" s="1216"/>
    </row>
    <row r="34" spans="1:7">
      <c r="A34" s="172"/>
      <c r="B34" s="172"/>
      <c r="C34" s="172"/>
      <c r="D34" s="172"/>
      <c r="E34" s="172"/>
      <c r="F34" s="172"/>
      <c r="G34" s="172"/>
    </row>
    <row r="35" spans="1:7">
      <c r="A35" s="172"/>
      <c r="B35" s="172"/>
      <c r="C35" s="172"/>
      <c r="D35" s="172"/>
      <c r="E35" s="172"/>
      <c r="F35" s="172"/>
      <c r="G35" s="172"/>
    </row>
    <row r="36" spans="1:7">
      <c r="A36" s="172" t="s">
        <v>261</v>
      </c>
      <c r="B36" s="172"/>
      <c r="C36" s="172"/>
      <c r="D36" s="172"/>
      <c r="E36" s="172" t="s">
        <v>262</v>
      </c>
      <c r="F36" s="172"/>
      <c r="G36" s="172"/>
    </row>
    <row r="37" spans="1:7">
      <c r="A37" s="182"/>
      <c r="B37" s="182"/>
      <c r="C37" s="182"/>
      <c r="D37" s="182"/>
      <c r="E37" s="182" t="s">
        <v>263</v>
      </c>
      <c r="F37" s="182"/>
      <c r="G37" s="182"/>
    </row>
    <row r="38" spans="1:7" ht="30" customHeight="1">
      <c r="A38" s="172"/>
      <c r="B38" s="172"/>
      <c r="C38" s="172"/>
      <c r="D38" s="172"/>
      <c r="E38" s="172"/>
      <c r="F38" s="172"/>
      <c r="G38" s="172"/>
    </row>
    <row r="39" spans="1:7" ht="27" customHeight="1" thickBot="1">
      <c r="A39" s="183"/>
      <c r="B39" s="183"/>
      <c r="C39" s="183"/>
      <c r="D39" s="183"/>
      <c r="E39" s="183"/>
      <c r="F39" s="183"/>
      <c r="G39" s="183"/>
    </row>
    <row r="40" spans="1:7">
      <c r="A40" s="172"/>
      <c r="B40" s="172"/>
      <c r="C40" s="1225" t="s">
        <v>266</v>
      </c>
      <c r="D40" s="1206"/>
      <c r="E40" s="172"/>
      <c r="F40" s="1208"/>
      <c r="G40" s="1209"/>
    </row>
    <row r="41" spans="1:7" ht="12" thickBot="1">
      <c r="A41" s="172"/>
      <c r="B41" s="172"/>
      <c r="C41" s="1225"/>
      <c r="D41" s="1207"/>
      <c r="E41" s="172"/>
      <c r="F41" s="1210">
        <v>1300480591</v>
      </c>
      <c r="G41" s="1211"/>
    </row>
    <row r="42" spans="1:7">
      <c r="A42" s="172"/>
      <c r="B42" s="172"/>
      <c r="C42" s="223">
        <f>C4</f>
        <v>45768</v>
      </c>
      <c r="D42" s="172"/>
      <c r="E42" s="172"/>
      <c r="F42" s="172"/>
      <c r="G42" s="172"/>
    </row>
    <row r="43" spans="1:7">
      <c r="A43" s="172"/>
      <c r="B43" s="172"/>
      <c r="C43" s="172"/>
      <c r="D43" s="172"/>
      <c r="E43" s="172"/>
      <c r="F43" s="172"/>
      <c r="G43" s="172"/>
    </row>
    <row r="44" spans="1:7" ht="12" thickBot="1">
      <c r="A44" s="172" t="str">
        <f>A7</f>
        <v>Kimdən:                     Fərzəlizadə Fuad Teymur oğlu</v>
      </c>
      <c r="B44" s="1233" t="str">
        <f>B25</f>
        <v>Yunusov Vüqar Fikrət oğlu</v>
      </c>
      <c r="C44" s="1233"/>
      <c r="D44" s="1233"/>
      <c r="E44" s="184" t="s">
        <v>267</v>
      </c>
      <c r="F44" s="174" t="s">
        <v>268</v>
      </c>
      <c r="G44" s="172"/>
    </row>
    <row r="45" spans="1:7" ht="12" thickBot="1">
      <c r="A45" s="185"/>
      <c r="B45" s="185"/>
      <c r="C45" s="185"/>
      <c r="D45" s="172"/>
      <c r="E45" s="186" t="s">
        <v>269</v>
      </c>
      <c r="F45" s="1219" t="e">
        <f>F9</f>
        <v>#REF!</v>
      </c>
      <c r="G45" s="1220"/>
    </row>
    <row r="46" spans="1:7" ht="12" thickBot="1">
      <c r="A46" s="172"/>
      <c r="B46" s="172"/>
      <c r="C46" s="172"/>
      <c r="D46" s="172"/>
      <c r="E46" s="172"/>
      <c r="F46" s="1217" t="str">
        <f>F8</f>
        <v>AZN</v>
      </c>
      <c r="G46" s="1218"/>
    </row>
    <row r="47" spans="1:7" ht="12" thickBot="1">
      <c r="A47" s="172"/>
      <c r="B47" s="187"/>
      <c r="C47" s="172"/>
      <c r="D47" s="172"/>
      <c r="E47" s="174" t="s">
        <v>270</v>
      </c>
      <c r="F47" s="188" t="s">
        <v>271</v>
      </c>
      <c r="G47" s="189"/>
    </row>
    <row r="48" spans="1:7">
      <c r="A48" s="1221" t="s">
        <v>295</v>
      </c>
      <c r="B48" s="1221"/>
      <c r="C48" s="1221"/>
      <c r="D48" s="1234"/>
      <c r="E48" s="190"/>
      <c r="F48" s="191" t="s">
        <v>272</v>
      </c>
      <c r="G48" s="192" t="s">
        <v>149</v>
      </c>
    </row>
    <row r="49" spans="1:7" ht="12" thickBot="1">
      <c r="A49" s="193"/>
      <c r="B49" s="182"/>
      <c r="C49" s="182"/>
      <c r="D49" s="178"/>
      <c r="E49" s="1235" t="e">
        <f>F6</f>
        <v>#REF!</v>
      </c>
      <c r="F49" s="1236"/>
      <c r="G49" s="1237"/>
    </row>
    <row r="50" spans="1:7">
      <c r="A50" s="200" t="str">
        <f>A11</f>
        <v>Кimə:                     Süleymanova Aysel Namiq qızı</v>
      </c>
      <c r="B50" s="1231" t="str">
        <f>B11</f>
        <v>İDEAL KREDİT BOKT</v>
      </c>
      <c r="C50" s="1231"/>
      <c r="D50" s="1232"/>
      <c r="E50" s="1229" t="s">
        <v>273</v>
      </c>
      <c r="F50" s="1230"/>
      <c r="G50" s="194"/>
    </row>
    <row r="51" spans="1:7" ht="12" thickBot="1">
      <c r="A51" s="172"/>
      <c r="B51" s="172"/>
      <c r="C51" s="172"/>
      <c r="D51" s="172"/>
      <c r="E51" s="195"/>
      <c r="F51" s="179"/>
      <c r="G51" s="196"/>
    </row>
    <row r="52" spans="1:7">
      <c r="A52" s="1231" t="str">
        <f>A14</f>
        <v>Ödənişin təyinatı: Kreditin xidmət haqqısı</v>
      </c>
      <c r="B52" s="1231"/>
      <c r="C52" s="1231"/>
      <c r="D52" s="1231"/>
      <c r="E52" s="1231"/>
      <c r="F52" s="1232"/>
      <c r="G52" s="197" t="s">
        <v>274</v>
      </c>
    </row>
    <row r="53" spans="1:7">
      <c r="A53" s="172"/>
      <c r="B53" s="172"/>
      <c r="C53" s="172"/>
      <c r="D53" s="172"/>
      <c r="E53" s="172"/>
      <c r="F53" s="198"/>
      <c r="G53" s="172" t="s">
        <v>275</v>
      </c>
    </row>
    <row r="54" spans="1:7">
      <c r="A54" s="172"/>
      <c r="B54" s="172"/>
      <c r="C54" s="172"/>
      <c r="D54" s="172"/>
      <c r="E54" s="172" t="s">
        <v>159</v>
      </c>
      <c r="F54" s="198"/>
      <c r="G54" s="172" t="s">
        <v>276</v>
      </c>
    </row>
    <row r="55" spans="1:7" ht="12" thickBot="1">
      <c r="A55" s="172" t="s">
        <v>262</v>
      </c>
      <c r="B55" s="172"/>
      <c r="C55" s="172" t="s">
        <v>277</v>
      </c>
      <c r="D55" s="172"/>
      <c r="E55" s="172"/>
      <c r="F55" s="198"/>
      <c r="G55" s="199"/>
    </row>
    <row r="56" spans="1:7">
      <c r="A56" s="164" t="s">
        <v>159</v>
      </c>
    </row>
    <row r="57" spans="1:7">
      <c r="E57" s="164" t="s">
        <v>159</v>
      </c>
    </row>
  </sheetData>
  <mergeCells count="36">
    <mergeCell ref="E50:F50"/>
    <mergeCell ref="A52:F52"/>
    <mergeCell ref="B11:D11"/>
    <mergeCell ref="B25:D25"/>
    <mergeCell ref="B29:D29"/>
    <mergeCell ref="B50:D50"/>
    <mergeCell ref="B44:D44"/>
    <mergeCell ref="F45:G45"/>
    <mergeCell ref="F46:G46"/>
    <mergeCell ref="A48:D48"/>
    <mergeCell ref="E49:G49"/>
    <mergeCell ref="F29:G29"/>
    <mergeCell ref="A33:G33"/>
    <mergeCell ref="C40:C41"/>
    <mergeCell ref="D40:D41"/>
    <mergeCell ref="F40:G40"/>
    <mergeCell ref="F41:G41"/>
    <mergeCell ref="F25:G26"/>
    <mergeCell ref="F27:G27"/>
    <mergeCell ref="A28:D28"/>
    <mergeCell ref="F28:G28"/>
    <mergeCell ref="A14:G14"/>
    <mergeCell ref="C21:C22"/>
    <mergeCell ref="D21:D22"/>
    <mergeCell ref="F21:G21"/>
    <mergeCell ref="F22:G22"/>
    <mergeCell ref="D2:D3"/>
    <mergeCell ref="F2:G2"/>
    <mergeCell ref="F3:G3"/>
    <mergeCell ref="F6:G7"/>
    <mergeCell ref="B13:D13"/>
    <mergeCell ref="F8:G8"/>
    <mergeCell ref="F9:G9"/>
    <mergeCell ref="A10:D10"/>
    <mergeCell ref="F10:G10"/>
    <mergeCell ref="B7:C7"/>
  </mergeCells>
  <phoneticPr fontId="3" type="noConversion"/>
  <pageMargins left="0.25" right="0.25" top="0.75" bottom="0.75" header="0.3" footer="0.3"/>
  <pageSetup paperSize="9" orientation="portrait" verticalDpi="0" r:id="rId1"/>
  <headerFooter alignWithMargin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ayfa17">
    <tabColor indexed="57"/>
  </sheetPr>
  <dimension ref="A1:ET57"/>
  <sheetViews>
    <sheetView topLeftCell="A2" workbookViewId="0">
      <selection sqref="A1:G1"/>
    </sheetView>
  </sheetViews>
  <sheetFormatPr defaultRowHeight="11.25"/>
  <cols>
    <col min="1" max="1" width="12.5703125" style="227" customWidth="1"/>
    <col min="2" max="2" width="11.140625" style="227" customWidth="1"/>
    <col min="3" max="3" width="15.5703125" style="227" customWidth="1"/>
    <col min="4" max="4" width="11.7109375" style="227" customWidth="1"/>
    <col min="5" max="5" width="11.85546875" style="227" customWidth="1"/>
    <col min="6" max="6" width="17.7109375" style="227" customWidth="1"/>
    <col min="7" max="7" width="16.140625" style="227" customWidth="1"/>
    <col min="8" max="16384" width="9.140625" style="227"/>
  </cols>
  <sheetData>
    <row r="1" spans="1:11" ht="12" hidden="1" thickBot="1"/>
    <row r="2" spans="1:11">
      <c r="A2" s="172"/>
      <c r="B2" s="172"/>
      <c r="C2" s="173" t="s">
        <v>255</v>
      </c>
      <c r="D2" s="1206"/>
      <c r="E2" s="172"/>
      <c r="F2" s="1208"/>
      <c r="G2" s="1209"/>
    </row>
    <row r="3" spans="1:11" ht="12" thickBot="1">
      <c r="A3" s="172"/>
      <c r="B3" s="172"/>
      <c r="C3" s="173" t="s">
        <v>256</v>
      </c>
      <c r="D3" s="1207"/>
      <c r="E3" s="172"/>
      <c r="F3" s="1210">
        <v>1300480591</v>
      </c>
      <c r="G3" s="1211"/>
    </row>
    <row r="4" spans="1:11">
      <c r="A4" s="172"/>
      <c r="B4" s="172"/>
      <c r="C4" s="223">
        <f>Data!E5</f>
        <v>45768</v>
      </c>
      <c r="D4" s="172"/>
      <c r="E4" s="172"/>
      <c r="F4" s="172"/>
      <c r="G4" s="172"/>
    </row>
    <row r="5" spans="1:11">
      <c r="A5" s="172"/>
      <c r="B5" s="172"/>
      <c r="C5" s="172"/>
      <c r="D5" s="172"/>
      <c r="E5" s="172"/>
      <c r="F5" s="172"/>
      <c r="G5" s="172"/>
    </row>
    <row r="6" spans="1:11">
      <c r="E6" s="173" t="s">
        <v>257</v>
      </c>
      <c r="F6" s="1212" t="s">
        <v>300</v>
      </c>
      <c r="G6" s="1213"/>
    </row>
    <row r="7" spans="1:11" ht="12" customHeight="1">
      <c r="A7" s="172" t="s">
        <v>279</v>
      </c>
      <c r="B7" s="1221" t="str">
        <f>Data!C23</f>
        <v>Yunusov Vüqar Fikrət oğlu</v>
      </c>
      <c r="C7" s="1221"/>
      <c r="D7" s="172"/>
      <c r="E7" s="177" t="s">
        <v>258</v>
      </c>
      <c r="F7" s="1214"/>
      <c r="G7" s="1215"/>
    </row>
    <row r="8" spans="1:11" ht="12" customHeight="1">
      <c r="A8" s="176"/>
      <c r="B8" s="176"/>
      <c r="C8" s="176"/>
      <c r="D8" s="176"/>
      <c r="E8" s="177"/>
      <c r="F8" s="1217" t="s">
        <v>224</v>
      </c>
      <c r="G8" s="1218"/>
    </row>
    <row r="9" spans="1:11">
      <c r="A9" s="178"/>
      <c r="B9" s="178"/>
      <c r="C9" s="178"/>
      <c r="D9" s="178"/>
      <c r="E9" s="179"/>
      <c r="F9" s="1219">
        <v>30</v>
      </c>
      <c r="G9" s="1220"/>
    </row>
    <row r="10" spans="1:11">
      <c r="A10" s="1221" t="s">
        <v>301</v>
      </c>
      <c r="B10" s="1221"/>
      <c r="C10" s="1221"/>
      <c r="D10" s="1221"/>
      <c r="E10" s="172"/>
      <c r="F10" s="1222" t="s">
        <v>259</v>
      </c>
      <c r="G10" s="1223"/>
    </row>
    <row r="11" spans="1:11">
      <c r="A11" s="172" t="s">
        <v>278</v>
      </c>
      <c r="B11" s="1221" t="s">
        <v>302</v>
      </c>
      <c r="C11" s="1221"/>
      <c r="D11" s="1221"/>
      <c r="E11" s="229"/>
      <c r="F11" s="229"/>
      <c r="G11" s="229"/>
    </row>
    <row r="12" spans="1:11">
      <c r="A12" s="230"/>
      <c r="B12" s="230"/>
      <c r="C12" s="172"/>
      <c r="D12" s="230"/>
      <c r="E12" s="230"/>
      <c r="F12" s="230"/>
      <c r="G12" s="230"/>
    </row>
    <row r="13" spans="1:11">
      <c r="A13" s="182" t="s">
        <v>142</v>
      </c>
      <c r="B13" s="1216" t="s">
        <v>303</v>
      </c>
      <c r="C13" s="1216"/>
      <c r="D13" s="1216"/>
      <c r="E13" s="177"/>
      <c r="F13" s="172"/>
      <c r="G13" s="177"/>
    </row>
    <row r="14" spans="1:11">
      <c r="A14" s="1224" t="s">
        <v>304</v>
      </c>
      <c r="B14" s="1224"/>
      <c r="C14" s="1224"/>
      <c r="D14" s="1224"/>
      <c r="E14" s="1224"/>
      <c r="F14" s="1224"/>
      <c r="G14" s="1224"/>
    </row>
    <row r="15" spans="1:11">
      <c r="A15" s="172" t="s">
        <v>260</v>
      </c>
      <c r="B15" s="172"/>
      <c r="C15" s="172"/>
      <c r="D15" s="172"/>
      <c r="E15" s="172"/>
      <c r="F15" s="172"/>
      <c r="G15" s="172"/>
    </row>
    <row r="16" spans="1:11">
      <c r="A16" s="172"/>
      <c r="B16" s="172"/>
      <c r="C16" s="172" t="s">
        <v>159</v>
      </c>
      <c r="D16" s="172"/>
      <c r="E16" s="172"/>
      <c r="F16" s="172"/>
      <c r="G16" s="172"/>
      <c r="K16" s="227" t="s">
        <v>159</v>
      </c>
    </row>
    <row r="17" spans="1:150">
      <c r="A17" s="172" t="s">
        <v>261</v>
      </c>
      <c r="B17" s="172"/>
      <c r="C17" s="172"/>
      <c r="D17" s="172"/>
      <c r="E17" s="172" t="s">
        <v>262</v>
      </c>
      <c r="F17" s="172"/>
      <c r="G17" s="172"/>
    </row>
    <row r="18" spans="1:150">
      <c r="A18" s="182"/>
      <c r="B18" s="182"/>
      <c r="C18" s="182"/>
      <c r="D18" s="182"/>
      <c r="E18" s="182" t="s">
        <v>263</v>
      </c>
      <c r="F18" s="182"/>
      <c r="G18" s="182"/>
    </row>
    <row r="19" spans="1:150" ht="22.5" customHeight="1">
      <c r="A19" s="172"/>
      <c r="B19" s="172"/>
      <c r="C19" s="172" t="s">
        <v>159</v>
      </c>
      <c r="D19" s="172"/>
      <c r="E19" s="172"/>
      <c r="F19" s="172"/>
      <c r="G19" s="172"/>
    </row>
    <row r="20" spans="1:150" ht="23.25" customHeight="1" thickBot="1">
      <c r="A20" s="183"/>
      <c r="B20" s="183" t="s">
        <v>264</v>
      </c>
      <c r="C20" s="183"/>
      <c r="D20" s="183"/>
      <c r="E20" s="183"/>
      <c r="F20" s="183"/>
      <c r="G20" s="183"/>
    </row>
    <row r="21" spans="1:150">
      <c r="A21" s="172"/>
      <c r="B21" s="172"/>
      <c r="C21" s="1225" t="s">
        <v>265</v>
      </c>
      <c r="D21" s="1206"/>
      <c r="E21" s="172"/>
      <c r="F21" s="1208"/>
      <c r="G21" s="1209"/>
    </row>
    <row r="22" spans="1:150" ht="12" thickBot="1">
      <c r="A22" s="172"/>
      <c r="B22" s="172"/>
      <c r="C22" s="1225"/>
      <c r="D22" s="1207"/>
      <c r="E22" s="172"/>
      <c r="F22" s="1210">
        <v>1300480591</v>
      </c>
      <c r="G22" s="1211"/>
    </row>
    <row r="23" spans="1:150">
      <c r="A23" s="172"/>
      <c r="B23" s="172"/>
      <c r="C23" s="223">
        <f>C4</f>
        <v>45768</v>
      </c>
      <c r="D23" s="172"/>
      <c r="E23" s="172"/>
      <c r="F23" s="172"/>
      <c r="G23" s="172"/>
    </row>
    <row r="24" spans="1:150">
      <c r="A24" s="172"/>
      <c r="B24" s="172"/>
      <c r="C24" s="175"/>
      <c r="D24" s="172"/>
      <c r="E24" s="172"/>
      <c r="F24" s="172"/>
      <c r="G24" s="172"/>
    </row>
    <row r="25" spans="1:150">
      <c r="A25" s="172" t="str">
        <f>A7</f>
        <v>Kimdən:                     Fərzəlizadə Fuad Teymur oğlu</v>
      </c>
      <c r="B25" s="1221" t="str">
        <f>B7</f>
        <v>Yunusov Vüqar Fikrət oğlu</v>
      </c>
      <c r="C25" s="1221"/>
      <c r="D25" s="1221"/>
      <c r="E25" s="173" t="s">
        <v>257</v>
      </c>
      <c r="F25" s="1226" t="str">
        <f>F6</f>
        <v>AZ36ZAMI00041537081AZMC00001</v>
      </c>
      <c r="G25" s="1213"/>
    </row>
    <row r="26" spans="1:150">
      <c r="A26" s="182"/>
      <c r="B26" s="231"/>
      <c r="C26" s="182"/>
      <c r="D26" s="182"/>
      <c r="E26" s="177" t="s">
        <v>258</v>
      </c>
      <c r="F26" s="1214"/>
      <c r="G26" s="1215"/>
    </row>
    <row r="27" spans="1:150">
      <c r="A27" s="172"/>
      <c r="C27" s="172"/>
      <c r="D27" s="172"/>
      <c r="E27" s="177"/>
      <c r="F27" s="1217" t="str">
        <f>F8</f>
        <v>AZN</v>
      </c>
      <c r="G27" s="1218"/>
    </row>
    <row r="28" spans="1:150">
      <c r="A28" s="1221" t="str">
        <f>A10</f>
        <v>Alanın bankı:  "Zaminbank" ASC-yə</v>
      </c>
      <c r="B28" s="1221"/>
      <c r="C28" s="1221"/>
      <c r="D28" s="1221"/>
      <c r="E28" s="178"/>
      <c r="F28" s="1227">
        <f>F9</f>
        <v>30</v>
      </c>
      <c r="G28" s="1228"/>
    </row>
    <row r="29" spans="1:150">
      <c r="A29" s="172" t="str">
        <f>A11</f>
        <v>Кimə:                     Süleymanova Aysel Namiq qızı</v>
      </c>
      <c r="B29" s="1221" t="str">
        <f>B11</f>
        <v>"Paşa-Həyat" sığortaya</v>
      </c>
      <c r="C29" s="1221"/>
      <c r="D29" s="1221"/>
      <c r="E29" s="172"/>
      <c r="F29" s="1238" t="str">
        <f>F10</f>
        <v>rəqəmlə məbləğ</v>
      </c>
      <c r="G29" s="1223"/>
    </row>
    <row r="30" spans="1:150">
      <c r="A30" s="229"/>
      <c r="B30" s="182"/>
      <c r="C30" s="229"/>
      <c r="D30" s="229"/>
      <c r="E30" s="229"/>
      <c r="F30" s="229"/>
      <c r="G30" s="229"/>
    </row>
    <row r="31" spans="1:150">
      <c r="A31" s="230"/>
      <c r="B31" s="230"/>
      <c r="C31" s="172"/>
      <c r="D31" s="230"/>
      <c r="E31" s="230"/>
      <c r="F31" s="230"/>
      <c r="G31" s="230"/>
    </row>
    <row r="32" spans="1:150" s="182" customFormat="1">
      <c r="A32" s="172" t="str">
        <f>A13</f>
        <v xml:space="preserve">Məbləğ yazı ilə:  </v>
      </c>
      <c r="B32" s="172" t="str">
        <f>B13</f>
        <v>Otuz manat</v>
      </c>
      <c r="C32" s="172"/>
      <c r="D32" s="172"/>
      <c r="E32" s="172"/>
      <c r="F32" s="172"/>
      <c r="G32" s="172"/>
      <c r="H32" s="172"/>
      <c r="I32" s="172"/>
      <c r="J32" s="172"/>
      <c r="K32" s="172"/>
      <c r="L32" s="172"/>
      <c r="M32" s="172"/>
      <c r="N32" s="172"/>
      <c r="O32" s="172"/>
      <c r="P32" s="172"/>
      <c r="Q32" s="172"/>
      <c r="R32" s="172"/>
      <c r="S32" s="172"/>
      <c r="T32" s="172"/>
      <c r="U32" s="172"/>
      <c r="V32" s="172"/>
      <c r="W32" s="172"/>
      <c r="X32" s="172"/>
      <c r="Y32" s="172"/>
      <c r="Z32" s="172"/>
      <c r="AA32" s="172"/>
      <c r="AB32" s="172"/>
      <c r="AC32" s="172"/>
      <c r="AD32" s="172"/>
      <c r="AE32" s="172"/>
      <c r="AF32" s="172"/>
      <c r="AG32" s="172"/>
      <c r="AH32" s="172"/>
      <c r="AI32" s="172"/>
      <c r="AJ32" s="172"/>
      <c r="AK32" s="172"/>
      <c r="AL32" s="172"/>
      <c r="AM32" s="172"/>
      <c r="AN32" s="172"/>
      <c r="AO32" s="172"/>
      <c r="AP32" s="172"/>
      <c r="AQ32" s="172"/>
      <c r="AR32" s="172"/>
      <c r="AS32" s="172"/>
      <c r="AT32" s="172"/>
      <c r="AU32" s="172"/>
      <c r="AV32" s="172"/>
      <c r="AW32" s="172"/>
      <c r="AX32" s="172"/>
      <c r="AY32" s="172"/>
      <c r="AZ32" s="172"/>
      <c r="BA32" s="172"/>
      <c r="BB32" s="172"/>
      <c r="BC32" s="172"/>
      <c r="BD32" s="172"/>
      <c r="BE32" s="172"/>
      <c r="BF32" s="172"/>
      <c r="BG32" s="172"/>
      <c r="BH32" s="172"/>
      <c r="BI32" s="172"/>
      <c r="BJ32" s="172"/>
      <c r="BK32" s="172"/>
      <c r="BL32" s="172"/>
      <c r="BM32" s="172"/>
      <c r="BN32" s="172"/>
      <c r="BO32" s="172"/>
      <c r="BP32" s="172"/>
      <c r="BQ32" s="172"/>
      <c r="BR32" s="172"/>
      <c r="BS32" s="172"/>
      <c r="BT32" s="172"/>
      <c r="BU32" s="172"/>
      <c r="BV32" s="172"/>
      <c r="BW32" s="172"/>
      <c r="BX32" s="172"/>
      <c r="BY32" s="172"/>
      <c r="BZ32" s="172"/>
      <c r="CA32" s="172"/>
      <c r="CB32" s="172"/>
      <c r="CC32" s="172"/>
      <c r="CD32" s="172"/>
      <c r="CE32" s="172"/>
      <c r="CF32" s="172"/>
      <c r="CG32" s="172"/>
      <c r="CH32" s="172"/>
      <c r="CI32" s="172"/>
      <c r="CJ32" s="172"/>
      <c r="CK32" s="172"/>
      <c r="CL32" s="172"/>
      <c r="CM32" s="172"/>
      <c r="CN32" s="172"/>
      <c r="CO32" s="172"/>
      <c r="CP32" s="172"/>
      <c r="CQ32" s="172"/>
      <c r="CR32" s="172"/>
      <c r="CS32" s="172"/>
      <c r="CT32" s="172"/>
      <c r="CU32" s="172"/>
      <c r="CV32" s="172"/>
      <c r="CW32" s="172"/>
      <c r="CX32" s="172"/>
      <c r="CY32" s="172"/>
      <c r="CZ32" s="172"/>
      <c r="DA32" s="172"/>
      <c r="DB32" s="172"/>
      <c r="DC32" s="172"/>
      <c r="DD32" s="172"/>
      <c r="DE32" s="172"/>
      <c r="DF32" s="172"/>
      <c r="DG32" s="172"/>
      <c r="DH32" s="172"/>
      <c r="DI32" s="172"/>
      <c r="DJ32" s="172"/>
      <c r="DK32" s="172"/>
      <c r="DL32" s="172"/>
      <c r="DM32" s="172"/>
      <c r="DN32" s="172"/>
      <c r="DO32" s="172"/>
      <c r="DP32" s="172"/>
      <c r="DQ32" s="172"/>
      <c r="DR32" s="172"/>
      <c r="DS32" s="172"/>
      <c r="DT32" s="172"/>
      <c r="DU32" s="172"/>
      <c r="DV32" s="172"/>
      <c r="DW32" s="172"/>
      <c r="DX32" s="172"/>
      <c r="DY32" s="172"/>
      <c r="DZ32" s="172"/>
      <c r="EA32" s="172"/>
      <c r="EB32" s="172"/>
      <c r="EC32" s="172"/>
      <c r="ED32" s="172"/>
      <c r="EE32" s="172"/>
      <c r="EF32" s="172"/>
      <c r="EG32" s="172"/>
      <c r="EH32" s="172"/>
      <c r="EI32" s="172"/>
      <c r="EJ32" s="172"/>
      <c r="EK32" s="172"/>
      <c r="EL32" s="172"/>
      <c r="EM32" s="172"/>
      <c r="EN32" s="172"/>
      <c r="EO32" s="172"/>
      <c r="EP32" s="172"/>
      <c r="EQ32" s="172"/>
      <c r="ER32" s="172"/>
      <c r="ES32" s="172"/>
      <c r="ET32" s="172"/>
    </row>
    <row r="33" spans="1:11">
      <c r="A33" s="1216" t="str">
        <f>A14</f>
        <v>Ödənişin təyinatı: Kreditin sığorta haqqısı</v>
      </c>
      <c r="B33" s="1216"/>
      <c r="C33" s="1216"/>
      <c r="D33" s="1216"/>
      <c r="E33" s="1216"/>
      <c r="F33" s="1216"/>
      <c r="G33" s="1216"/>
    </row>
    <row r="34" spans="1:11">
      <c r="A34" s="172"/>
      <c r="B34" s="172"/>
      <c r="C34" s="172"/>
      <c r="D34" s="172"/>
      <c r="E34" s="172"/>
      <c r="F34" s="172"/>
      <c r="G34" s="172"/>
    </row>
    <row r="35" spans="1:11">
      <c r="A35" s="172"/>
      <c r="B35" s="172"/>
      <c r="C35" s="172"/>
      <c r="D35" s="172"/>
      <c r="E35" s="172"/>
      <c r="F35" s="172"/>
      <c r="G35" s="172"/>
    </row>
    <row r="36" spans="1:11">
      <c r="A36" s="172" t="s">
        <v>261</v>
      </c>
      <c r="B36" s="172"/>
      <c r="C36" s="172"/>
      <c r="D36" s="172"/>
      <c r="E36" s="172" t="s">
        <v>262</v>
      </c>
      <c r="F36" s="172"/>
      <c r="G36" s="172"/>
      <c r="K36" s="227" t="s">
        <v>159</v>
      </c>
    </row>
    <row r="37" spans="1:11">
      <c r="A37" s="182"/>
      <c r="B37" s="182"/>
      <c r="C37" s="182"/>
      <c r="D37" s="182"/>
      <c r="E37" s="182" t="s">
        <v>263</v>
      </c>
      <c r="F37" s="182"/>
      <c r="G37" s="182"/>
    </row>
    <row r="38" spans="1:11" ht="30" customHeight="1">
      <c r="A38" s="172"/>
      <c r="B38" s="172"/>
      <c r="C38" s="172"/>
      <c r="D38" s="172"/>
      <c r="E38" s="172"/>
      <c r="F38" s="172"/>
      <c r="G38" s="172"/>
    </row>
    <row r="39" spans="1:11" ht="27" customHeight="1" thickBot="1">
      <c r="A39" s="183"/>
      <c r="B39" s="183"/>
      <c r="C39" s="183"/>
      <c r="D39" s="183"/>
      <c r="E39" s="183"/>
      <c r="F39" s="183"/>
      <c r="G39" s="183"/>
    </row>
    <row r="40" spans="1:11">
      <c r="A40" s="172"/>
      <c r="B40" s="172"/>
      <c r="C40" s="1225" t="s">
        <v>266</v>
      </c>
      <c r="D40" s="1206"/>
      <c r="E40" s="172"/>
      <c r="F40" s="1208"/>
      <c r="G40" s="1209"/>
    </row>
    <row r="41" spans="1:11" ht="12" thickBot="1">
      <c r="A41" s="172"/>
      <c r="B41" s="172"/>
      <c r="C41" s="1225"/>
      <c r="D41" s="1207"/>
      <c r="E41" s="172"/>
      <c r="F41" s="1210">
        <v>1300480591</v>
      </c>
      <c r="G41" s="1211"/>
    </row>
    <row r="42" spans="1:11">
      <c r="A42" s="172"/>
      <c r="B42" s="172"/>
      <c r="C42" s="223">
        <f>C4</f>
        <v>45768</v>
      </c>
      <c r="D42" s="172"/>
      <c r="E42" s="172"/>
      <c r="F42" s="172"/>
      <c r="G42" s="172"/>
    </row>
    <row r="43" spans="1:11">
      <c r="A43" s="172"/>
      <c r="B43" s="172"/>
      <c r="C43" s="172"/>
      <c r="D43" s="172"/>
      <c r="E43" s="172"/>
      <c r="F43" s="172"/>
      <c r="G43" s="172"/>
    </row>
    <row r="44" spans="1:11" ht="12" thickBot="1">
      <c r="A44" s="172" t="str">
        <f>A7</f>
        <v>Kimdən:                     Fərzəlizadə Fuad Teymur oğlu</v>
      </c>
      <c r="B44" s="1233" t="str">
        <f>B25</f>
        <v>Yunusov Vüqar Fikrət oğlu</v>
      </c>
      <c r="C44" s="1233"/>
      <c r="D44" s="1233"/>
      <c r="E44" s="184" t="s">
        <v>267</v>
      </c>
      <c r="F44" s="174" t="s">
        <v>268</v>
      </c>
      <c r="G44" s="172"/>
    </row>
    <row r="45" spans="1:11" ht="12" thickBot="1">
      <c r="A45" s="185"/>
      <c r="B45" s="185"/>
      <c r="C45" s="185"/>
      <c r="D45" s="172"/>
      <c r="E45" s="186" t="s">
        <v>269</v>
      </c>
      <c r="F45" s="1219">
        <f>F9</f>
        <v>30</v>
      </c>
      <c r="G45" s="1220"/>
    </row>
    <row r="46" spans="1:11" ht="12" thickBot="1">
      <c r="A46" s="172"/>
      <c r="B46" s="172"/>
      <c r="C46" s="172"/>
      <c r="D46" s="172"/>
      <c r="E46" s="172"/>
      <c r="F46" s="1217" t="str">
        <f>F8</f>
        <v>AZN</v>
      </c>
      <c r="G46" s="1218"/>
    </row>
    <row r="47" spans="1:11" ht="12" thickBot="1">
      <c r="A47" s="172"/>
      <c r="B47" s="187"/>
      <c r="C47" s="172"/>
      <c r="D47" s="172"/>
      <c r="E47" s="174" t="s">
        <v>270</v>
      </c>
      <c r="F47" s="188" t="s">
        <v>271</v>
      </c>
      <c r="G47" s="189"/>
    </row>
    <row r="48" spans="1:11">
      <c r="A48" s="1221" t="str">
        <f>A10</f>
        <v>Alanın bankı:  "Zaminbank" ASC-yə</v>
      </c>
      <c r="B48" s="1221"/>
      <c r="C48" s="1221"/>
      <c r="D48" s="1234"/>
      <c r="E48" s="190"/>
      <c r="F48" s="191" t="s">
        <v>272</v>
      </c>
      <c r="G48" s="192" t="s">
        <v>149</v>
      </c>
    </row>
    <row r="49" spans="1:7" ht="12" thickBot="1">
      <c r="A49" s="193"/>
      <c r="B49" s="182"/>
      <c r="C49" s="182"/>
      <c r="D49" s="178"/>
      <c r="E49" s="1235" t="str">
        <f>F6</f>
        <v>AZ36ZAMI00041537081AZMC00001</v>
      </c>
      <c r="F49" s="1236"/>
      <c r="G49" s="1237"/>
    </row>
    <row r="50" spans="1:7">
      <c r="A50" s="200" t="str">
        <f>A11</f>
        <v>Кimə:                     Süleymanova Aysel Namiq qızı</v>
      </c>
      <c r="B50" s="1231" t="str">
        <f>B11</f>
        <v>"Paşa-Həyat" sığortaya</v>
      </c>
      <c r="C50" s="1231"/>
      <c r="D50" s="1232"/>
      <c r="E50" s="1229" t="s">
        <v>273</v>
      </c>
      <c r="F50" s="1230"/>
      <c r="G50" s="194"/>
    </row>
    <row r="51" spans="1:7" ht="12" thickBot="1">
      <c r="A51" s="172"/>
      <c r="B51" s="172"/>
      <c r="C51" s="172"/>
      <c r="D51" s="172"/>
      <c r="E51" s="232"/>
      <c r="F51" s="179"/>
      <c r="G51" s="196"/>
    </row>
    <row r="52" spans="1:7">
      <c r="A52" s="1231" t="str">
        <f>A14</f>
        <v>Ödənişin təyinatı: Kreditin sığorta haqqısı</v>
      </c>
      <c r="B52" s="1231"/>
      <c r="C52" s="1231"/>
      <c r="D52" s="1231"/>
      <c r="E52" s="1231"/>
      <c r="F52" s="1232"/>
      <c r="G52" s="197" t="s">
        <v>274</v>
      </c>
    </row>
    <row r="53" spans="1:7">
      <c r="A53" s="172"/>
      <c r="B53" s="172"/>
      <c r="C53" s="172"/>
      <c r="D53" s="172"/>
      <c r="E53" s="172"/>
      <c r="F53" s="198"/>
      <c r="G53" s="172" t="s">
        <v>275</v>
      </c>
    </row>
    <row r="54" spans="1:7">
      <c r="A54" s="172"/>
      <c r="B54" s="172"/>
      <c r="C54" s="172"/>
      <c r="D54" s="172"/>
      <c r="E54" s="172" t="s">
        <v>159</v>
      </c>
      <c r="F54" s="198"/>
      <c r="G54" s="172" t="s">
        <v>276</v>
      </c>
    </row>
    <row r="55" spans="1:7" ht="12" thickBot="1">
      <c r="A55" s="172" t="s">
        <v>262</v>
      </c>
      <c r="B55" s="172"/>
      <c r="C55" s="172" t="s">
        <v>277</v>
      </c>
      <c r="D55" s="172"/>
      <c r="E55" s="172"/>
      <c r="F55" s="198"/>
      <c r="G55" s="199"/>
    </row>
    <row r="56" spans="1:7">
      <c r="A56" s="227" t="s">
        <v>159</v>
      </c>
    </row>
    <row r="57" spans="1:7">
      <c r="E57" s="227" t="s">
        <v>159</v>
      </c>
    </row>
  </sheetData>
  <mergeCells count="36">
    <mergeCell ref="B50:D50"/>
    <mergeCell ref="E50:F50"/>
    <mergeCell ref="A52:F52"/>
    <mergeCell ref="C40:C41"/>
    <mergeCell ref="D40:D41"/>
    <mergeCell ref="F40:G40"/>
    <mergeCell ref="F41:G41"/>
    <mergeCell ref="B44:D44"/>
    <mergeCell ref="F45:G45"/>
    <mergeCell ref="F46:G46"/>
    <mergeCell ref="E49:G49"/>
    <mergeCell ref="A48:D48"/>
    <mergeCell ref="F27:G27"/>
    <mergeCell ref="A33:G33"/>
    <mergeCell ref="F21:G21"/>
    <mergeCell ref="F8:G8"/>
    <mergeCell ref="F9:G9"/>
    <mergeCell ref="A10:D10"/>
    <mergeCell ref="F10:G10"/>
    <mergeCell ref="B11:D11"/>
    <mergeCell ref="B13:D13"/>
    <mergeCell ref="B25:D25"/>
    <mergeCell ref="F25:G26"/>
    <mergeCell ref="A28:D28"/>
    <mergeCell ref="F28:G28"/>
    <mergeCell ref="B29:D29"/>
    <mergeCell ref="F29:G29"/>
    <mergeCell ref="A14:G14"/>
    <mergeCell ref="C21:C22"/>
    <mergeCell ref="D21:D22"/>
    <mergeCell ref="F22:G22"/>
    <mergeCell ref="D2:D3"/>
    <mergeCell ref="F2:G2"/>
    <mergeCell ref="F3:G3"/>
    <mergeCell ref="F6:G7"/>
    <mergeCell ref="B7:C7"/>
  </mergeCells>
  <phoneticPr fontId="3" type="noConversion"/>
  <pageMargins left="0.25" right="0.2" top="0.28999999999999998" bottom="1" header="0.5" footer="0.5"/>
  <pageSetup paperSize="9" orientation="portrait" verticalDpi="0" r:id="rId1"/>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Worksheet____17">
    <tabColor indexed="30"/>
  </sheetPr>
  <dimension ref="B1:H29"/>
  <sheetViews>
    <sheetView zoomScaleNormal="100" workbookViewId="0"/>
  </sheetViews>
  <sheetFormatPr defaultRowHeight="12.75"/>
  <sheetData>
    <row r="1" spans="2:8" ht="14.25">
      <c r="G1" s="87"/>
    </row>
    <row r="2" spans="2:8">
      <c r="G2" s="85"/>
    </row>
    <row r="3" spans="2:8" ht="18">
      <c r="G3" s="139">
        <f>Data!F63</f>
        <v>0</v>
      </c>
      <c r="H3" s="139"/>
    </row>
    <row r="4" spans="2:8">
      <c r="H4" s="85"/>
    </row>
    <row r="7" spans="2:8" ht="14.25">
      <c r="B7" s="88" t="str">
        <f>Data!C23</f>
        <v>Yunusov Vüqar Fikrət oğlu</v>
      </c>
    </row>
    <row r="29" spans="4:4">
      <c r="D29" t="s">
        <v>229</v>
      </c>
    </row>
  </sheetData>
  <phoneticPr fontId="3" type="noConversion"/>
  <pageMargins left="0.75" right="0.75" top="0.33" bottom="1" header="0.25" footer="0.5"/>
  <pageSetup paperSize="9" orientation="portrait" verticalDpi="0" r:id="rId1"/>
  <headerFooter alignWithMargin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Worksheet____16">
    <tabColor indexed="47"/>
  </sheetPr>
  <dimension ref="B4:I26"/>
  <sheetViews>
    <sheetView zoomScaleNormal="100" workbookViewId="0"/>
  </sheetViews>
  <sheetFormatPr defaultRowHeight="12.75"/>
  <cols>
    <col min="2" max="2" width="10.140625" bestFit="1" customWidth="1"/>
    <col min="3" max="3" width="9.5703125" customWidth="1"/>
    <col min="6" max="6" width="15.5703125" customWidth="1"/>
  </cols>
  <sheetData>
    <row r="4" spans="2:9" ht="13.5" customHeight="1"/>
    <row r="5" spans="2:9">
      <c r="C5" t="str">
        <f>Data!C23</f>
        <v>Yunusov Vüqar Fikrət oğlu</v>
      </c>
    </row>
    <row r="7" spans="2:9" ht="15" customHeight="1">
      <c r="E7" s="85"/>
      <c r="H7" s="1240" t="s">
        <v>229</v>
      </c>
      <c r="I7" s="1239"/>
    </row>
    <row r="8" spans="2:9">
      <c r="D8" s="140" t="str">
        <f>Data!C21</f>
        <v>AA5512135</v>
      </c>
      <c r="E8" s="85">
        <f>Data!D21</f>
        <v>0</v>
      </c>
    </row>
    <row r="9" spans="2:9">
      <c r="B9" s="86"/>
    </row>
    <row r="10" spans="2:9">
      <c r="B10" s="86" t="str">
        <f>Data!E21</f>
        <v>29.10.2023</v>
      </c>
      <c r="D10" t="str">
        <f>Data!C27</f>
        <v>Asan4</v>
      </c>
    </row>
    <row r="13" spans="2:9">
      <c r="B13" t="str">
        <f>Data!C29</f>
        <v>NEFTÇALA RAYONU, XOL QARABUCAQ Ə/D, DÖRDLƏR KƏNDİ</v>
      </c>
    </row>
    <row r="14" spans="2:9">
      <c r="B14" s="1239"/>
      <c r="C14" s="1239"/>
      <c r="D14" s="1239"/>
      <c r="E14" s="1239"/>
    </row>
    <row r="15" spans="2:9">
      <c r="B15" s="1239"/>
      <c r="C15" s="1239"/>
      <c r="D15" s="1239"/>
      <c r="E15" s="1239"/>
    </row>
    <row r="16" spans="2:9">
      <c r="B16" s="1239"/>
      <c r="C16" s="1239"/>
      <c r="D16" s="1239"/>
      <c r="E16" s="1239"/>
      <c r="G16" s="1239"/>
      <c r="H16" s="1239"/>
      <c r="I16" s="1239"/>
    </row>
    <row r="18" spans="7:9">
      <c r="G18" s="1239"/>
      <c r="H18" s="1239"/>
      <c r="I18" s="1239"/>
    </row>
    <row r="20" spans="7:9">
      <c r="G20" s="1239"/>
      <c r="H20" s="1239"/>
      <c r="I20" s="1239"/>
    </row>
    <row r="22" spans="7:9">
      <c r="G22" s="1239"/>
      <c r="H22" s="1239"/>
      <c r="I22" s="1239"/>
    </row>
    <row r="24" spans="7:9">
      <c r="G24" s="1239"/>
      <c r="H24" s="1239"/>
      <c r="I24" s="1239"/>
    </row>
    <row r="26" spans="7:9">
      <c r="G26" s="1239"/>
      <c r="H26" s="1239"/>
      <c r="I26" s="1239"/>
    </row>
  </sheetData>
  <mergeCells count="13">
    <mergeCell ref="H7:I7"/>
    <mergeCell ref="B14:C14"/>
    <mergeCell ref="B16:C16"/>
    <mergeCell ref="D16:E16"/>
    <mergeCell ref="D14:E14"/>
    <mergeCell ref="G26:I26"/>
    <mergeCell ref="D15:E15"/>
    <mergeCell ref="B15:C15"/>
    <mergeCell ref="G20:I20"/>
    <mergeCell ref="G22:I22"/>
    <mergeCell ref="G24:I24"/>
    <mergeCell ref="G16:I16"/>
    <mergeCell ref="G18:I18"/>
  </mergeCells>
  <phoneticPr fontId="3" type="noConversion"/>
  <pageMargins left="0.75" right="0.75" top="1" bottom="1" header="0.5" footer="0.5"/>
  <pageSetup paperSize="9" scale="97" orientation="portrait" verticalDpi="0" r:id="rId1"/>
  <headerFooter alignWithMargin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Sayfa18"/>
  <dimension ref="A1:AB502"/>
  <sheetViews>
    <sheetView workbookViewId="0"/>
  </sheetViews>
  <sheetFormatPr defaultColWidth="8.85546875" defaultRowHeight="15.75"/>
  <cols>
    <col min="1" max="1" width="9.28515625" style="536" customWidth="1"/>
    <col min="2" max="2" width="34" style="563" customWidth="1"/>
    <col min="3" max="5" width="14.42578125" style="564" customWidth="1"/>
    <col min="6" max="6" width="17.7109375" style="565" customWidth="1"/>
    <col min="7" max="7" width="8.42578125" style="566" bestFit="1" customWidth="1"/>
    <col min="8" max="8" width="8.85546875" style="565" customWidth="1"/>
    <col min="9" max="9" width="9.28515625" style="565" customWidth="1"/>
    <col min="10" max="14" width="9.85546875" style="565" customWidth="1"/>
    <col min="15" max="15" width="7.85546875" style="565" customWidth="1"/>
    <col min="16" max="16" width="15.5703125" style="565" customWidth="1"/>
    <col min="17" max="20" width="15" style="565" customWidth="1"/>
    <col min="21" max="22" width="18.140625" style="565" customWidth="1"/>
    <col min="23" max="23" width="17.28515625" style="564" bestFit="1" customWidth="1"/>
    <col min="24" max="24" width="23.28515625" style="566" customWidth="1"/>
    <col min="25" max="25" width="2.85546875" style="536" customWidth="1"/>
    <col min="26" max="26" width="10.7109375" style="536" customWidth="1"/>
    <col min="27" max="27" width="10.28515625" style="536" bestFit="1" customWidth="1"/>
    <col min="28" max="16384" width="8.85546875" style="536"/>
  </cols>
  <sheetData>
    <row r="1" spans="1:28" ht="30" customHeight="1">
      <c r="A1" s="1241" t="s">
        <v>786</v>
      </c>
      <c r="B1" s="1242"/>
      <c r="C1" s="1242"/>
      <c r="D1" s="1242"/>
      <c r="E1" s="1242"/>
      <c r="F1" s="1242"/>
      <c r="G1" s="1242"/>
      <c r="H1" s="1242"/>
      <c r="I1" s="1242"/>
      <c r="J1" s="1242"/>
      <c r="K1" s="1242"/>
      <c r="L1" s="1242"/>
      <c r="M1" s="1242"/>
      <c r="N1" s="1242"/>
      <c r="O1" s="1242"/>
      <c r="P1" s="1242"/>
      <c r="Q1" s="1242"/>
      <c r="R1" s="1242"/>
      <c r="S1" s="1242"/>
      <c r="T1" s="1242"/>
      <c r="U1" s="1242"/>
      <c r="V1" s="1242"/>
      <c r="W1" s="1242"/>
      <c r="X1" s="1243"/>
      <c r="Z1" s="1244" t="s">
        <v>787</v>
      </c>
      <c r="AA1" s="1245"/>
      <c r="AB1" s="1245"/>
    </row>
    <row r="2" spans="1:28" ht="31.15" customHeight="1">
      <c r="A2" s="537" t="s">
        <v>788</v>
      </c>
      <c r="B2" s="537" t="s">
        <v>789</v>
      </c>
      <c r="C2" s="538" t="s">
        <v>97</v>
      </c>
      <c r="D2" s="539" t="s">
        <v>790</v>
      </c>
      <c r="E2" s="537" t="s">
        <v>288</v>
      </c>
      <c r="F2" s="540" t="s">
        <v>791</v>
      </c>
      <c r="G2" s="541" t="s">
        <v>792</v>
      </c>
      <c r="H2" s="537">
        <v>3</v>
      </c>
      <c r="I2" s="537">
        <v>6</v>
      </c>
      <c r="J2" s="537">
        <v>9</v>
      </c>
      <c r="K2" s="537">
        <v>12</v>
      </c>
      <c r="L2" s="537">
        <v>15</v>
      </c>
      <c r="M2" s="537">
        <v>18</v>
      </c>
      <c r="N2" s="537">
        <v>21</v>
      </c>
      <c r="O2" s="537">
        <v>24</v>
      </c>
      <c r="P2" s="537" t="s">
        <v>793</v>
      </c>
      <c r="Q2" s="537" t="s">
        <v>794</v>
      </c>
      <c r="R2" s="537" t="s">
        <v>785</v>
      </c>
      <c r="S2" s="540" t="s">
        <v>795</v>
      </c>
      <c r="T2" s="540"/>
      <c r="U2" s="540"/>
      <c r="V2" s="540" t="s">
        <v>796</v>
      </c>
      <c r="W2" s="538" t="s">
        <v>797</v>
      </c>
      <c r="X2" s="541" t="s">
        <v>526</v>
      </c>
      <c r="Z2" s="542" t="s">
        <v>792</v>
      </c>
      <c r="AA2" s="542" t="s">
        <v>579</v>
      </c>
      <c r="AB2" s="542" t="s">
        <v>798</v>
      </c>
    </row>
    <row r="3" spans="1:28" ht="16.899999999999999" customHeight="1">
      <c r="A3" s="615">
        <v>1</v>
      </c>
      <c r="B3" s="616"/>
      <c r="C3" s="617"/>
      <c r="D3" s="617" t="s">
        <v>799</v>
      </c>
      <c r="E3" s="618">
        <f>Data!C74</f>
        <v>1272</v>
      </c>
      <c r="F3" s="615">
        <f>E3-(E3*Z13)</f>
        <v>1272</v>
      </c>
      <c r="G3" s="619" t="s">
        <v>861</v>
      </c>
      <c r="H3" s="620">
        <f>IF(D3="Rəsmi gəlir",AA3,IF(D3="Qeyri rəsmi gəlir",AB3))</f>
        <v>7.0000000000000007E-2</v>
      </c>
      <c r="I3" s="620">
        <f>IF(D3="Rəsmi gəlir",AA4,IF(D3="Qeyri rəsmi gəlir",AB4))</f>
        <v>0.12</v>
      </c>
      <c r="J3" s="620">
        <f>IF(D3="Rəsmi gəlir",AA5,IF(D3="Qeyri rəsmi gəlir",AB5))</f>
        <v>0.16</v>
      </c>
      <c r="K3" s="620">
        <f>IF(D3="Rəsmi gəlir",AA6,IF(D3="Qeyri rəsmi gəlir",AB6))</f>
        <v>0.2</v>
      </c>
      <c r="L3" s="620">
        <f>IF(D3="Rəsmi gəlir",AA7,IF(D3="Qeyri rəsmi gəlir",AB7))</f>
        <v>0.23</v>
      </c>
      <c r="M3" s="620">
        <f>IF(D3="Rəsmi gəlir",AA8,IF(D3="Qeyri rəsmi gəlir",AB8))</f>
        <v>0.25600000000000001</v>
      </c>
      <c r="N3" s="620">
        <f>IF(D3="Rəsmi gəlir",AA9,IF(D3="Qeyri rəsmi gəlir",AB9))</f>
        <v>0.28550000000000003</v>
      </c>
      <c r="O3" s="620">
        <f>IF(D3="Rəsmi gəlir",AA10,IF(D3="Qeyri rəsmi gəlir",AB10))</f>
        <v>0</v>
      </c>
      <c r="P3" s="620">
        <f t="shared" ref="P3:P66" si="0">IF(G3="2",H3,IF(G3="3",H3,IF(G3="4",I3,IF(G3="5",I3,IF(G3="6",I3,IF(G3="7",J3,IF(G3="8",J3,IF(G3="9",J3,IF(G3="10",K3,IF(G3="11",K3,IF(G3="12",K3,IF(G3="13",L3,IF(G3="14",L3,IF(G3="15",L3,IF(G3="16",M3,IF(G3="17",M3,IF(G3="18",M3,IF(G3="19",N3,IF(G3="20",N3,IF(G3="21",N3,IF(G3="22",O3,IF(G3="23",O3,IF(G3="24",O3)))))))))))))))))))))))</f>
        <v>7.0000000000000007E-2</v>
      </c>
      <c r="Q3" s="621">
        <f t="shared" ref="Q3:Q66" si="1">F3*P3</f>
        <v>89.04</v>
      </c>
      <c r="R3" s="615">
        <f>IF(Q3&lt;=0,"-",IF(Q3&gt;0,5))</f>
        <v>5</v>
      </c>
      <c r="S3" s="622"/>
      <c r="T3" s="615">
        <f>U3*S3</f>
        <v>0</v>
      </c>
      <c r="U3" s="621">
        <f t="shared" ref="U3:U66" si="2">F3-(F3*P3)-R3</f>
        <v>1177.96</v>
      </c>
      <c r="V3" s="621">
        <f>U3-T3</f>
        <v>1177.96</v>
      </c>
      <c r="W3" s="617"/>
      <c r="X3" s="619"/>
      <c r="Z3" s="550" t="s">
        <v>800</v>
      </c>
      <c r="AA3" s="753">
        <f>Data!C140/100</f>
        <v>7.0000000000000007E-2</v>
      </c>
      <c r="AB3" s="551"/>
    </row>
    <row r="4" spans="1:28" ht="16.899999999999999" customHeight="1">
      <c r="A4" s="552">
        <v>2</v>
      </c>
      <c r="B4" s="553"/>
      <c r="C4" s="554"/>
      <c r="D4" s="544" t="s">
        <v>799</v>
      </c>
      <c r="E4" s="555"/>
      <c r="F4" s="545">
        <f>E4-(E4*Z13)</f>
        <v>0</v>
      </c>
      <c r="G4" s="546"/>
      <c r="H4" s="547">
        <f>IF(D4="Rəsmi gəlir",AA3,IF(D4="Qeyri rəsmi gəlir",AB3))</f>
        <v>7.0000000000000007E-2</v>
      </c>
      <c r="I4" s="547">
        <f>IF(D4="Rəsmi gəlir",AA4,IF(D4="Qeyri rəsmi gəlir",AB4))</f>
        <v>0.12</v>
      </c>
      <c r="J4" s="547">
        <f>IF(D4="Rəsmi gəlir",AA5,IF(D4="Qeyri rəsmi gəlir",AB5))</f>
        <v>0.16</v>
      </c>
      <c r="K4" s="547">
        <f>IF(D4="Rəsmi gəlir",AA6,IF(D4="Qeyri rəsmi gəlir",AB6))</f>
        <v>0.2</v>
      </c>
      <c r="L4" s="547">
        <f>IF(D4="Rəsmi gəlir",AA7,IF(D4="Qeyri rəsmi gəlir",AB7))</f>
        <v>0.23</v>
      </c>
      <c r="M4" s="547">
        <f>IF(D4="Rəsmi gəlir",AA8,IF(D4="Qeyri rəsmi gəlir",AB8))</f>
        <v>0.25600000000000001</v>
      </c>
      <c r="N4" s="547">
        <f>IF(D4="Rəsmi gəlir",AA9,IF(D4="Qeyri rəsmi gəlir",AB9))</f>
        <v>0.28550000000000003</v>
      </c>
      <c r="O4" s="547">
        <f>IF(D4="Rəsmi gəlir",AA10,IF(D4="Qeyri rəsmi gəlir",AB10))</f>
        <v>0</v>
      </c>
      <c r="P4" s="547" t="b">
        <f t="shared" si="0"/>
        <v>0</v>
      </c>
      <c r="Q4" s="548">
        <f t="shared" si="1"/>
        <v>0</v>
      </c>
      <c r="R4" s="543" t="str">
        <f t="shared" ref="R4:R67" si="3">IF(Q4&lt;=0,"-",IF(Q4&gt;0,9))</f>
        <v>-</v>
      </c>
      <c r="S4" s="549"/>
      <c r="T4" s="543" t="e">
        <f t="shared" ref="T4:T67" si="4">U4*S4</f>
        <v>#VALUE!</v>
      </c>
      <c r="U4" s="548" t="e">
        <f t="shared" si="2"/>
        <v>#VALUE!</v>
      </c>
      <c r="V4" s="548" t="e">
        <f t="shared" ref="V4:V67" si="5">U4-T4</f>
        <v>#VALUE!</v>
      </c>
      <c r="W4" s="544"/>
      <c r="X4" s="556"/>
      <c r="Z4" s="557" t="s">
        <v>801</v>
      </c>
      <c r="AA4" s="561">
        <f>Data!C142/100</f>
        <v>0.12</v>
      </c>
      <c r="AB4" s="558"/>
    </row>
    <row r="5" spans="1:28" ht="16.899999999999999" customHeight="1">
      <c r="A5" s="552">
        <v>3</v>
      </c>
      <c r="B5" s="553"/>
      <c r="C5" s="554"/>
      <c r="D5" s="544" t="s">
        <v>799</v>
      </c>
      <c r="E5" s="555"/>
      <c r="F5" s="545">
        <f>E5-(E5*Z13)</f>
        <v>0</v>
      </c>
      <c r="G5" s="546"/>
      <c r="H5" s="547">
        <f>IF(D5="Rəsmi gəlir",AA3,IF(D5="Qeyri rəsmi gəlir",AB3))</f>
        <v>7.0000000000000007E-2</v>
      </c>
      <c r="I5" s="547">
        <f>IF(D5="Rəsmi gəlir",AA4,IF(D5="Qeyri rəsmi gəlir",AB4))</f>
        <v>0.12</v>
      </c>
      <c r="J5" s="547">
        <f>IF(D5="Rəsmi gəlir",AA5,IF(D5="Qeyri rəsmi gəlir",AB5))</f>
        <v>0.16</v>
      </c>
      <c r="K5" s="547">
        <f>IF(D5="Rəsmi gəlir",AA6,IF(D5="Qeyri rəsmi gəlir",AB6))</f>
        <v>0.2</v>
      </c>
      <c r="L5" s="547">
        <f>IF(D5="Rəsmi gəlir",AA7,IF(D5="Qeyri rəsmi gəlir",AB7))</f>
        <v>0.23</v>
      </c>
      <c r="M5" s="547">
        <f>IF(D5="Rəsmi gəlir",AA8,IF(D5="Qeyri rəsmi gəlir",AB8))</f>
        <v>0.25600000000000001</v>
      </c>
      <c r="N5" s="547">
        <f>IF(D5="Rəsmi gəlir",AA9,IF(D5="Qeyri rəsmi gəlir",AB9))</f>
        <v>0.28550000000000003</v>
      </c>
      <c r="O5" s="547">
        <f>IF(D5="Rəsmi gəlir",AA10,IF(D5="Qeyri rəsmi gəlir",AB10))</f>
        <v>0</v>
      </c>
      <c r="P5" s="547" t="b">
        <f t="shared" si="0"/>
        <v>0</v>
      </c>
      <c r="Q5" s="548">
        <f t="shared" si="1"/>
        <v>0</v>
      </c>
      <c r="R5" s="543" t="str">
        <f t="shared" si="3"/>
        <v>-</v>
      </c>
      <c r="S5" s="549"/>
      <c r="T5" s="543" t="e">
        <f t="shared" si="4"/>
        <v>#VALUE!</v>
      </c>
      <c r="U5" s="548" t="e">
        <f t="shared" si="2"/>
        <v>#VALUE!</v>
      </c>
      <c r="V5" s="548" t="e">
        <f t="shared" si="5"/>
        <v>#VALUE!</v>
      </c>
      <c r="W5" s="544"/>
      <c r="X5" s="556"/>
      <c r="Z5" s="557" t="s">
        <v>802</v>
      </c>
      <c r="AA5" s="561">
        <f>Data!C144/100</f>
        <v>0.16</v>
      </c>
      <c r="AB5" s="558"/>
    </row>
    <row r="6" spans="1:28" ht="16.899999999999999" customHeight="1">
      <c r="A6" s="552">
        <v>4</v>
      </c>
      <c r="B6" s="559"/>
      <c r="C6" s="554"/>
      <c r="D6" s="544" t="s">
        <v>799</v>
      </c>
      <c r="E6" s="555"/>
      <c r="F6" s="545">
        <f>E6-(E6*Z13)</f>
        <v>0</v>
      </c>
      <c r="G6" s="546"/>
      <c r="H6" s="547">
        <f>IF(D6="Rəsmi gəlir",AA3,IF(D6="Qeyri rəsmi gəlir",AB3))</f>
        <v>7.0000000000000007E-2</v>
      </c>
      <c r="I6" s="547">
        <f>IF(D6="Rəsmi gəlir",AA4,IF(D6="Qeyri rəsmi gəlir",AB4))</f>
        <v>0.12</v>
      </c>
      <c r="J6" s="547">
        <f>IF(D6="Rəsmi gəlir",AA5,IF(D6="Qeyri rəsmi gəlir",AB5))</f>
        <v>0.16</v>
      </c>
      <c r="K6" s="547">
        <f>IF(D6="Rəsmi gəlir",AA6,IF(D6="Qeyri rəsmi gəlir",AB6))</f>
        <v>0.2</v>
      </c>
      <c r="L6" s="547">
        <f>IF(D6="Rəsmi gəlir",AA7,IF(D6="Qeyri rəsmi gəlir",AB7))</f>
        <v>0.23</v>
      </c>
      <c r="M6" s="547">
        <f>IF(D6="Rəsmi gəlir",AA8,IF(D6="Qeyri rəsmi gəlir",AB8))</f>
        <v>0.25600000000000001</v>
      </c>
      <c r="N6" s="547">
        <f>IF(D6="Rəsmi gəlir",AA9,IF(D6="Qeyri rəsmi gəlir",AB9))</f>
        <v>0.28550000000000003</v>
      </c>
      <c r="O6" s="547">
        <f>IF(D6="Rəsmi gəlir",AA10,IF(D6="Qeyri rəsmi gəlir",AB10))</f>
        <v>0</v>
      </c>
      <c r="P6" s="547" t="b">
        <f t="shared" si="0"/>
        <v>0</v>
      </c>
      <c r="Q6" s="548">
        <f t="shared" si="1"/>
        <v>0</v>
      </c>
      <c r="R6" s="543" t="str">
        <f t="shared" si="3"/>
        <v>-</v>
      </c>
      <c r="S6" s="549"/>
      <c r="T6" s="543" t="e">
        <f t="shared" si="4"/>
        <v>#VALUE!</v>
      </c>
      <c r="U6" s="548" t="e">
        <f t="shared" si="2"/>
        <v>#VALUE!</v>
      </c>
      <c r="V6" s="548" t="e">
        <f t="shared" si="5"/>
        <v>#VALUE!</v>
      </c>
      <c r="W6" s="544"/>
      <c r="X6" s="556"/>
      <c r="Z6" s="557" t="s">
        <v>803</v>
      </c>
      <c r="AA6" s="561">
        <f>Data!C146/100</f>
        <v>0.2</v>
      </c>
      <c r="AB6" s="558"/>
    </row>
    <row r="7" spans="1:28" ht="16.899999999999999" customHeight="1">
      <c r="A7" s="552">
        <v>5</v>
      </c>
      <c r="B7" s="560"/>
      <c r="C7" s="554"/>
      <c r="D7" s="544" t="s">
        <v>799</v>
      </c>
      <c r="E7" s="555"/>
      <c r="F7" s="545">
        <f>E7-(E7*Z13)</f>
        <v>0</v>
      </c>
      <c r="G7" s="546"/>
      <c r="H7" s="547">
        <f>IF(D7="Rəsmi gəlir",AA3,IF(D7="Qeyri rəsmi gəlir",AB3))</f>
        <v>7.0000000000000007E-2</v>
      </c>
      <c r="I7" s="547">
        <f>IF(D7="Rəsmi gəlir",AA4,IF(D7="Qeyri rəsmi gəlir",AB4))</f>
        <v>0.12</v>
      </c>
      <c r="J7" s="547">
        <f>IF(D7="Rəsmi gəlir",AA5,IF(D7="Qeyri rəsmi gəlir",AB5))</f>
        <v>0.16</v>
      </c>
      <c r="K7" s="547">
        <f>IF(D7="Rəsmi gəlir",AA6,IF(D7="Qeyri rəsmi gəlir",AB6))</f>
        <v>0.2</v>
      </c>
      <c r="L7" s="547">
        <f>IF(D7="Rəsmi gəlir",AA7,IF(D7="Qeyri rəsmi gəlir",AB7))</f>
        <v>0.23</v>
      </c>
      <c r="M7" s="547">
        <f>IF(D7="Rəsmi gəlir",AA8,IF(D7="Qeyri rəsmi gəlir",AB8))</f>
        <v>0.25600000000000001</v>
      </c>
      <c r="N7" s="547">
        <f>IF(D7="Rəsmi gəlir",AA9,IF(D7="Qeyri rəsmi gəlir",AB9))</f>
        <v>0.28550000000000003</v>
      </c>
      <c r="O7" s="547">
        <f>IF(D7="Rəsmi gəlir",AA10,IF(D7="Qeyri rəsmi gəlir",AB10))</f>
        <v>0</v>
      </c>
      <c r="P7" s="547" t="b">
        <f t="shared" si="0"/>
        <v>0</v>
      </c>
      <c r="Q7" s="548">
        <f t="shared" si="1"/>
        <v>0</v>
      </c>
      <c r="R7" s="543" t="str">
        <f t="shared" si="3"/>
        <v>-</v>
      </c>
      <c r="S7" s="549"/>
      <c r="T7" s="543" t="e">
        <f t="shared" si="4"/>
        <v>#VALUE!</v>
      </c>
      <c r="U7" s="548" t="e">
        <f t="shared" si="2"/>
        <v>#VALUE!</v>
      </c>
      <c r="V7" s="548" t="e">
        <f t="shared" si="5"/>
        <v>#VALUE!</v>
      </c>
      <c r="W7" s="544"/>
      <c r="X7" s="556"/>
      <c r="Z7" s="561" t="s">
        <v>804</v>
      </c>
      <c r="AA7" s="561">
        <f>Data!C148/100</f>
        <v>0.23</v>
      </c>
      <c r="AB7" s="558"/>
    </row>
    <row r="8" spans="1:28" ht="16.899999999999999" customHeight="1">
      <c r="A8" s="552">
        <v>6</v>
      </c>
      <c r="B8" s="560"/>
      <c r="C8" s="554"/>
      <c r="D8" s="544" t="s">
        <v>799</v>
      </c>
      <c r="E8" s="555"/>
      <c r="F8" s="545">
        <f>E8-(E8*Z13)</f>
        <v>0</v>
      </c>
      <c r="G8" s="546"/>
      <c r="H8" s="547">
        <f>IF(D8="Rəsmi gəlir",AA3,IF(D8="Qeyri rəsmi gəlir",AB3))</f>
        <v>7.0000000000000007E-2</v>
      </c>
      <c r="I8" s="547">
        <f>IF(D8="Rəsmi gəlir",AA4,IF(D8="Qeyri rəsmi gəlir",AB4))</f>
        <v>0.12</v>
      </c>
      <c r="J8" s="547">
        <f>IF(D8="Rəsmi gəlir",AA5,IF(D8="Qeyri rəsmi gəlir",AB5))</f>
        <v>0.16</v>
      </c>
      <c r="K8" s="547">
        <f>IF(D8="Rəsmi gəlir",AA6,IF(D8="Qeyri rəsmi gəlir",AB6))</f>
        <v>0.2</v>
      </c>
      <c r="L8" s="547">
        <f>IF(D8="Rəsmi gəlir",AA7,IF(D8="Qeyri rəsmi gəlir",AB7))</f>
        <v>0.23</v>
      </c>
      <c r="M8" s="547">
        <f>IF(D8="Rəsmi gəlir",AA8,IF(D8="Qeyri rəsmi gəlir",AB8))</f>
        <v>0.25600000000000001</v>
      </c>
      <c r="N8" s="547">
        <f>IF(D8="Rəsmi gəlir",AA9,IF(D8="Qeyri rəsmi gəlir",AB9))</f>
        <v>0.28550000000000003</v>
      </c>
      <c r="O8" s="547">
        <f>IF(D8="Rəsmi gəlir",AA10,IF(D8="Qeyri rəsmi gəlir",AB10))</f>
        <v>0</v>
      </c>
      <c r="P8" s="547" t="b">
        <f t="shared" si="0"/>
        <v>0</v>
      </c>
      <c r="Q8" s="548">
        <f t="shared" si="1"/>
        <v>0</v>
      </c>
      <c r="R8" s="543" t="str">
        <f t="shared" si="3"/>
        <v>-</v>
      </c>
      <c r="S8" s="549"/>
      <c r="T8" s="543" t="e">
        <f t="shared" si="4"/>
        <v>#VALUE!</v>
      </c>
      <c r="U8" s="548" t="e">
        <f t="shared" si="2"/>
        <v>#VALUE!</v>
      </c>
      <c r="V8" s="548" t="e">
        <f t="shared" si="5"/>
        <v>#VALUE!</v>
      </c>
      <c r="W8" s="544"/>
      <c r="X8" s="556"/>
      <c r="Z8" s="561" t="s">
        <v>805</v>
      </c>
      <c r="AA8" s="561">
        <f>Data!F140/100</f>
        <v>0.25600000000000001</v>
      </c>
      <c r="AB8" s="558"/>
    </row>
    <row r="9" spans="1:28" ht="16.899999999999999" customHeight="1">
      <c r="A9" s="552">
        <v>7</v>
      </c>
      <c r="B9" s="560" t="s">
        <v>806</v>
      </c>
      <c r="C9" s="554"/>
      <c r="D9" s="544" t="s">
        <v>799</v>
      </c>
      <c r="E9" s="555"/>
      <c r="F9" s="545">
        <f>E9-(E9*Z13)</f>
        <v>0</v>
      </c>
      <c r="G9" s="546"/>
      <c r="H9" s="547">
        <f>IF(D9="Rəsmi gəlir",AA3,IF(D9="Qeyri rəsmi gəlir",AB3))</f>
        <v>7.0000000000000007E-2</v>
      </c>
      <c r="I9" s="547">
        <f>IF(D9="Rəsmi gəlir",AA4,IF(D9="Qeyri rəsmi gəlir",AB4))</f>
        <v>0.12</v>
      </c>
      <c r="J9" s="547">
        <f>IF(D9="Rəsmi gəlir",AA5,IF(D9="Qeyri rəsmi gəlir",AB5))</f>
        <v>0.16</v>
      </c>
      <c r="K9" s="547">
        <f>IF(D9="Rəsmi gəlir",AA6,IF(D9="Qeyri rəsmi gəlir",AB6))</f>
        <v>0.2</v>
      </c>
      <c r="L9" s="547">
        <f>IF(D9="Rəsmi gəlir",AA7,IF(D9="Qeyri rəsmi gəlir",AB7))</f>
        <v>0.23</v>
      </c>
      <c r="M9" s="547">
        <f>IF(D9="Rəsmi gəlir",AA8,IF(D9="Qeyri rəsmi gəlir",AB8))</f>
        <v>0.25600000000000001</v>
      </c>
      <c r="N9" s="547">
        <f>IF(D9="Rəsmi gəlir",AA9,IF(D9="Qeyri rəsmi gəlir",AB9))</f>
        <v>0.28550000000000003</v>
      </c>
      <c r="O9" s="547">
        <f>IF(D9="Rəsmi gəlir",AA10,IF(D9="Qeyri rəsmi gəlir",AB10))</f>
        <v>0</v>
      </c>
      <c r="P9" s="547" t="b">
        <f t="shared" si="0"/>
        <v>0</v>
      </c>
      <c r="Q9" s="548">
        <f t="shared" si="1"/>
        <v>0</v>
      </c>
      <c r="R9" s="543" t="str">
        <f t="shared" si="3"/>
        <v>-</v>
      </c>
      <c r="S9" s="549"/>
      <c r="T9" s="543" t="e">
        <f t="shared" si="4"/>
        <v>#VALUE!</v>
      </c>
      <c r="U9" s="548" t="e">
        <f t="shared" si="2"/>
        <v>#VALUE!</v>
      </c>
      <c r="V9" s="548" t="e">
        <f t="shared" si="5"/>
        <v>#VALUE!</v>
      </c>
      <c r="W9" s="544"/>
      <c r="X9" s="556"/>
      <c r="Z9" s="561" t="s">
        <v>807</v>
      </c>
      <c r="AA9" s="561">
        <f>Data!F142/100</f>
        <v>0.28550000000000003</v>
      </c>
      <c r="AB9" s="558"/>
    </row>
    <row r="10" spans="1:28" ht="16.899999999999999" customHeight="1">
      <c r="A10" s="552">
        <v>8</v>
      </c>
      <c r="B10" s="560"/>
      <c r="C10" s="554"/>
      <c r="D10" s="544" t="s">
        <v>799</v>
      </c>
      <c r="E10" s="555"/>
      <c r="F10" s="545">
        <f>E10-(E10*Z13)</f>
        <v>0</v>
      </c>
      <c r="G10" s="546"/>
      <c r="H10" s="547">
        <f>IF(D10="Rəsmi gəlir",AA3,IF(D10="Qeyri rəsmi gəlir",AB3))</f>
        <v>7.0000000000000007E-2</v>
      </c>
      <c r="I10" s="547">
        <f>IF(D10="Rəsmi gəlir",AA4,IF(D10="Qeyri rəsmi gəlir",AB4))</f>
        <v>0.12</v>
      </c>
      <c r="J10" s="547">
        <f>IF(D10="Rəsmi gəlir",AA5,IF(D10="Qeyri rəsmi gəlir",AB5))</f>
        <v>0.16</v>
      </c>
      <c r="K10" s="547">
        <f>IF(D10="Rəsmi gəlir",AA6,IF(D10="Qeyri rəsmi gəlir",AB6))</f>
        <v>0.2</v>
      </c>
      <c r="L10" s="547">
        <f>IF(D10="Rəsmi gəlir",AA7,IF(D10="Qeyri rəsmi gəlir",AB7))</f>
        <v>0.23</v>
      </c>
      <c r="M10" s="547">
        <f>IF(D10="Rəsmi gəlir",AA8,IF(D10="Qeyri rəsmi gəlir",AB8))</f>
        <v>0.25600000000000001</v>
      </c>
      <c r="N10" s="547">
        <f>IF(D10="Rəsmi gəlir",AA9,IF(D10="Qeyri rəsmi gəlir",AB9))</f>
        <v>0.28550000000000003</v>
      </c>
      <c r="O10" s="547">
        <f>IF(D10="Rəsmi gəlir",AA10,IF(D10="Qeyri rəsmi gəlir",AB10))</f>
        <v>0</v>
      </c>
      <c r="P10" s="547" t="b">
        <f t="shared" si="0"/>
        <v>0</v>
      </c>
      <c r="Q10" s="548">
        <f t="shared" si="1"/>
        <v>0</v>
      </c>
      <c r="R10" s="543" t="str">
        <f t="shared" si="3"/>
        <v>-</v>
      </c>
      <c r="S10" s="549"/>
      <c r="T10" s="543" t="e">
        <f t="shared" si="4"/>
        <v>#VALUE!</v>
      </c>
      <c r="U10" s="548" t="e">
        <f t="shared" si="2"/>
        <v>#VALUE!</v>
      </c>
      <c r="V10" s="548" t="e">
        <f t="shared" si="5"/>
        <v>#VALUE!</v>
      </c>
      <c r="W10" s="544"/>
      <c r="X10" s="556"/>
      <c r="Z10" s="561" t="s">
        <v>809</v>
      </c>
      <c r="AA10" s="561">
        <f>Data!F144/100</f>
        <v>0</v>
      </c>
      <c r="AB10" s="558"/>
    </row>
    <row r="11" spans="1:28" ht="16.899999999999999" customHeight="1" thickBot="1">
      <c r="A11" s="552">
        <v>9</v>
      </c>
      <c r="B11" s="560"/>
      <c r="C11" s="554"/>
      <c r="D11" s="544" t="s">
        <v>799</v>
      </c>
      <c r="E11" s="555"/>
      <c r="F11" s="545">
        <f>E11-(E11*Z13)</f>
        <v>0</v>
      </c>
      <c r="G11" s="546"/>
      <c r="H11" s="547">
        <f>IF(D11="Rəsmi gəlir",AA3,IF(D11="Qeyri rəsmi gəlir",AB3))</f>
        <v>7.0000000000000007E-2</v>
      </c>
      <c r="I11" s="547">
        <f>IF(D11="Rəsmi gəlir",AA4,IF(D11="Qeyri rəsmi gəlir",AB4))</f>
        <v>0.12</v>
      </c>
      <c r="J11" s="547">
        <f>IF(D11="Rəsmi gəlir",AA5,IF(D11="Qeyri rəsmi gəlir",AB5))</f>
        <v>0.16</v>
      </c>
      <c r="K11" s="547">
        <f>IF(D11="Rəsmi gəlir",AA6,IF(D11="Qeyri rəsmi gəlir",AB6))</f>
        <v>0.2</v>
      </c>
      <c r="L11" s="547">
        <f>IF(D11="Rəsmi gəlir",AA7,IF(D11="Qeyri rəsmi gəlir",AB7))</f>
        <v>0.23</v>
      </c>
      <c r="M11" s="547">
        <f>IF(D11="Rəsmi gəlir",AA8,IF(D11="Qeyri rəsmi gəlir",AB8))</f>
        <v>0.25600000000000001</v>
      </c>
      <c r="N11" s="547">
        <f>IF(D11="Rəsmi gəlir",AA9,IF(D11="Qeyri rəsmi gəlir",AB9))</f>
        <v>0.28550000000000003</v>
      </c>
      <c r="O11" s="547">
        <f>IF(D11="Rəsmi gəlir",AA10,IF(D11="Qeyri rəsmi gəlir",AB10))</f>
        <v>0</v>
      </c>
      <c r="P11" s="547" t="b">
        <f t="shared" si="0"/>
        <v>0</v>
      </c>
      <c r="Q11" s="548">
        <f t="shared" si="1"/>
        <v>0</v>
      </c>
      <c r="R11" s="543" t="str">
        <f t="shared" si="3"/>
        <v>-</v>
      </c>
      <c r="S11" s="549"/>
      <c r="T11" s="543" t="e">
        <f t="shared" si="4"/>
        <v>#VALUE!</v>
      </c>
      <c r="U11" s="548" t="e">
        <f t="shared" si="2"/>
        <v>#VALUE!</v>
      </c>
      <c r="V11" s="548" t="e">
        <f t="shared" si="5"/>
        <v>#VALUE!</v>
      </c>
      <c r="W11" s="544"/>
      <c r="X11" s="556"/>
      <c r="Z11" s="562"/>
    </row>
    <row r="12" spans="1:28" ht="16.899999999999999" customHeight="1" thickBot="1">
      <c r="A12" s="552">
        <v>10</v>
      </c>
      <c r="B12" s="560"/>
      <c r="C12" s="554"/>
      <c r="D12" s="544" t="s">
        <v>799</v>
      </c>
      <c r="E12" s="545"/>
      <c r="F12" s="545">
        <f>E12-(E12*Z13)</f>
        <v>0</v>
      </c>
      <c r="G12" s="546"/>
      <c r="H12" s="547">
        <f>IF(D12="Rəsmi gəlir",AA3,IF(D12="Qeyri rəsmi gəlir",AB3))</f>
        <v>7.0000000000000007E-2</v>
      </c>
      <c r="I12" s="547">
        <f>IF(D12="Rəsmi gəlir",AA4,IF(D12="Qeyri rəsmi gəlir",AB4))</f>
        <v>0.12</v>
      </c>
      <c r="J12" s="547">
        <f>IF(D12="Rəsmi gəlir",AA5,IF(D12="Qeyri rəsmi gəlir",AB5))</f>
        <v>0.16</v>
      </c>
      <c r="K12" s="547">
        <f>IF(D12="Rəsmi gəlir",AA6,IF(D12="Qeyri rəsmi gəlir",AB6))</f>
        <v>0.2</v>
      </c>
      <c r="L12" s="547">
        <f>IF(D12="Rəsmi gəlir",AA7,IF(D12="Qeyri rəsmi gəlir",AB7))</f>
        <v>0.23</v>
      </c>
      <c r="M12" s="547">
        <f>IF(D12="Rəsmi gəlir",AA8,IF(D12="Qeyri rəsmi gəlir",AB8))</f>
        <v>0.25600000000000001</v>
      </c>
      <c r="N12" s="547">
        <f>IF(D12="Rəsmi gəlir",AA9,IF(D12="Qeyri rəsmi gəlir",AB9))</f>
        <v>0.28550000000000003</v>
      </c>
      <c r="O12" s="547">
        <f>IF(D12="Rəsmi gəlir",AA10,IF(D12="Qeyri rəsmi gəlir",AB10))</f>
        <v>0</v>
      </c>
      <c r="P12" s="547" t="b">
        <f t="shared" si="0"/>
        <v>0</v>
      </c>
      <c r="Q12" s="548">
        <f t="shared" si="1"/>
        <v>0</v>
      </c>
      <c r="R12" s="543" t="str">
        <f t="shared" si="3"/>
        <v>-</v>
      </c>
      <c r="S12" s="549"/>
      <c r="T12" s="543" t="e">
        <f t="shared" si="4"/>
        <v>#VALUE!</v>
      </c>
      <c r="U12" s="548" t="e">
        <f t="shared" si="2"/>
        <v>#VALUE!</v>
      </c>
      <c r="V12" s="548" t="e">
        <f t="shared" si="5"/>
        <v>#VALUE!</v>
      </c>
      <c r="W12" s="544"/>
      <c r="X12" s="556"/>
      <c r="Z12" s="1246" t="s">
        <v>808</v>
      </c>
      <c r="AA12" s="1247"/>
    </row>
    <row r="13" spans="1:28" ht="16.899999999999999" customHeight="1">
      <c r="A13" s="552">
        <v>11</v>
      </c>
      <c r="B13" s="560"/>
      <c r="C13" s="554"/>
      <c r="D13" s="544" t="s">
        <v>799</v>
      </c>
      <c r="E13" s="545"/>
      <c r="F13" s="545">
        <f>E13-(E13*Z13)</f>
        <v>0</v>
      </c>
      <c r="G13" s="546"/>
      <c r="H13" s="547">
        <f>IF(D13="Rəsmi gəlir",AA3,IF(D13="Qeyri rəsmi gəlir",AB3))</f>
        <v>7.0000000000000007E-2</v>
      </c>
      <c r="I13" s="547">
        <f>IF(D13="Rəsmi gəlir",AA4,IF(D13="Qeyri rəsmi gəlir",AB4))</f>
        <v>0.12</v>
      </c>
      <c r="J13" s="547">
        <f>IF(D13="Rəsmi gəlir",AA5,IF(D13="Qeyri rəsmi gəlir",AB5))</f>
        <v>0.16</v>
      </c>
      <c r="K13" s="547">
        <f>IF(D13="Rəsmi gəlir",AA6,IF(D13="Qeyri rəsmi gəlir",AB6))</f>
        <v>0.2</v>
      </c>
      <c r="L13" s="547">
        <f>IF(D13="Rəsmi gəlir",AA7,IF(D13="Qeyri rəsmi gəlir",AB7))</f>
        <v>0.23</v>
      </c>
      <c r="M13" s="547">
        <f>IF(D13="Rəsmi gəlir",AA8,IF(D13="Qeyri rəsmi gəlir",AB8))</f>
        <v>0.25600000000000001</v>
      </c>
      <c r="N13" s="547">
        <f>IF(D13="Rəsmi gəlir",AA9,IF(D13="Qeyri rəsmi gəlir",AB9))</f>
        <v>0.28550000000000003</v>
      </c>
      <c r="O13" s="547">
        <f>IF(D13="Rəsmi gəlir",AA10,IF(D13="Qeyri rəsmi gəlir",AB10))</f>
        <v>0</v>
      </c>
      <c r="P13" s="547" t="b">
        <f t="shared" si="0"/>
        <v>0</v>
      </c>
      <c r="Q13" s="548">
        <f t="shared" si="1"/>
        <v>0</v>
      </c>
      <c r="R13" s="543" t="str">
        <f t="shared" si="3"/>
        <v>-</v>
      </c>
      <c r="S13" s="549"/>
      <c r="T13" s="543" t="e">
        <f t="shared" si="4"/>
        <v>#VALUE!</v>
      </c>
      <c r="U13" s="548" t="e">
        <f t="shared" si="2"/>
        <v>#VALUE!</v>
      </c>
      <c r="V13" s="548" t="e">
        <f t="shared" si="5"/>
        <v>#VALUE!</v>
      </c>
      <c r="W13" s="544"/>
      <c r="X13" s="556"/>
      <c r="Z13" s="1248">
        <v>0</v>
      </c>
      <c r="AA13" s="1249"/>
    </row>
    <row r="14" spans="1:28" ht="16.899999999999999" customHeight="1">
      <c r="A14" s="552">
        <v>12</v>
      </c>
      <c r="B14" s="560"/>
      <c r="C14" s="554"/>
      <c r="D14" s="544" t="s">
        <v>799</v>
      </c>
      <c r="E14" s="545"/>
      <c r="F14" s="545">
        <f>E14-(E14*Z13)</f>
        <v>0</v>
      </c>
      <c r="G14" s="546"/>
      <c r="H14" s="547">
        <f>IF(D14="Rəsmi gəlir",AA3,IF(D14="Qeyri rəsmi gəlir",AB3))</f>
        <v>7.0000000000000007E-2</v>
      </c>
      <c r="I14" s="547">
        <f>IF(D14="Rəsmi gəlir",AA4,IF(D14="Qeyri rəsmi gəlir",AB4))</f>
        <v>0.12</v>
      </c>
      <c r="J14" s="547">
        <f>IF(D14="Rəsmi gəlir",AA5,IF(D14="Qeyri rəsmi gəlir",AB5))</f>
        <v>0.16</v>
      </c>
      <c r="K14" s="547">
        <f>IF(D14="Rəsmi gəlir",AA6,IF(D14="Qeyri rəsmi gəlir",AB6))</f>
        <v>0.2</v>
      </c>
      <c r="L14" s="547">
        <f>IF(D14="Rəsmi gəlir",AA7,IF(D14="Qeyri rəsmi gəlir",AB7))</f>
        <v>0.23</v>
      </c>
      <c r="M14" s="547">
        <f>IF(D14="Rəsmi gəlir",AA8,IF(D14="Qeyri rəsmi gəlir",AB8))</f>
        <v>0.25600000000000001</v>
      </c>
      <c r="N14" s="547">
        <f>IF(D14="Rəsmi gəlir",AA9,IF(D14="Qeyri rəsmi gəlir",AB9))</f>
        <v>0.28550000000000003</v>
      </c>
      <c r="O14" s="547">
        <f>IF(D14="Rəsmi gəlir",AA10,IF(D14="Qeyri rəsmi gəlir",AB10))</f>
        <v>0</v>
      </c>
      <c r="P14" s="547" t="b">
        <f t="shared" si="0"/>
        <v>0</v>
      </c>
      <c r="Q14" s="548">
        <f t="shared" si="1"/>
        <v>0</v>
      </c>
      <c r="R14" s="543" t="str">
        <f t="shared" si="3"/>
        <v>-</v>
      </c>
      <c r="S14" s="549"/>
      <c r="T14" s="543" t="e">
        <f t="shared" si="4"/>
        <v>#VALUE!</v>
      </c>
      <c r="U14" s="548" t="e">
        <f t="shared" si="2"/>
        <v>#VALUE!</v>
      </c>
      <c r="V14" s="548" t="e">
        <f t="shared" si="5"/>
        <v>#VALUE!</v>
      </c>
      <c r="W14" s="544"/>
      <c r="X14" s="556"/>
      <c r="Z14" s="562"/>
    </row>
    <row r="15" spans="1:28" ht="16.899999999999999" customHeight="1">
      <c r="A15" s="552">
        <v>13</v>
      </c>
      <c r="B15" s="560"/>
      <c r="C15" s="554"/>
      <c r="D15" s="544" t="s">
        <v>799</v>
      </c>
      <c r="E15" s="555"/>
      <c r="F15" s="545">
        <f>E15-(E15*Z13)</f>
        <v>0</v>
      </c>
      <c r="G15" s="546"/>
      <c r="H15" s="547">
        <f>IF(D15="Rəsmi gəlir",AA3,IF(D15="Qeyri rəsmi gəlir",AB3))</f>
        <v>7.0000000000000007E-2</v>
      </c>
      <c r="I15" s="547">
        <f>IF(D15="Rəsmi gəlir",AA4,IF(D15="Qeyri rəsmi gəlir",AB4))</f>
        <v>0.12</v>
      </c>
      <c r="J15" s="547">
        <f>IF(D15="Rəsmi gəlir",AA5,IF(D15="Qeyri rəsmi gəlir",AB5))</f>
        <v>0.16</v>
      </c>
      <c r="K15" s="547">
        <f>IF(D15="Rəsmi gəlir",AA6,IF(D15="Qeyri rəsmi gəlir",AB6))</f>
        <v>0.2</v>
      </c>
      <c r="L15" s="547">
        <f>IF(D15="Rəsmi gəlir",AA7,IF(D15="Qeyri rəsmi gəlir",AB7))</f>
        <v>0.23</v>
      </c>
      <c r="M15" s="547">
        <f>IF(D15="Rəsmi gəlir",AA8,IF(D15="Qeyri rəsmi gəlir",AB8))</f>
        <v>0.25600000000000001</v>
      </c>
      <c r="N15" s="547">
        <f>IF(D15="Rəsmi gəlir",AA9,IF(D15="Qeyri rəsmi gəlir",AB9))</f>
        <v>0.28550000000000003</v>
      </c>
      <c r="O15" s="547">
        <f>IF(D15="Rəsmi gəlir",AA10,IF(D15="Qeyri rəsmi gəlir",AB10))</f>
        <v>0</v>
      </c>
      <c r="P15" s="547" t="b">
        <f t="shared" si="0"/>
        <v>0</v>
      </c>
      <c r="Q15" s="548">
        <f t="shared" si="1"/>
        <v>0</v>
      </c>
      <c r="R15" s="543" t="str">
        <f t="shared" si="3"/>
        <v>-</v>
      </c>
      <c r="S15" s="549"/>
      <c r="T15" s="543" t="e">
        <f t="shared" si="4"/>
        <v>#VALUE!</v>
      </c>
      <c r="U15" s="548" t="e">
        <f t="shared" si="2"/>
        <v>#VALUE!</v>
      </c>
      <c r="V15" s="548" t="e">
        <f t="shared" si="5"/>
        <v>#VALUE!</v>
      </c>
      <c r="W15" s="544"/>
      <c r="X15" s="556"/>
      <c r="Z15" s="562"/>
    </row>
    <row r="16" spans="1:28" ht="16.899999999999999" customHeight="1">
      <c r="A16" s="552">
        <v>14</v>
      </c>
      <c r="B16" s="560"/>
      <c r="C16" s="554"/>
      <c r="D16" s="544" t="s">
        <v>799</v>
      </c>
      <c r="E16" s="555"/>
      <c r="F16" s="545">
        <f>E16-(E16*Z13)</f>
        <v>0</v>
      </c>
      <c r="G16" s="546"/>
      <c r="H16" s="547">
        <f>IF(D16="Rəsmi gəlir",AA3,IF(D16="Qeyri rəsmi gəlir",AB3))</f>
        <v>7.0000000000000007E-2</v>
      </c>
      <c r="I16" s="547">
        <f>IF(D16="Rəsmi gəlir",AA4,IF(D16="Qeyri rəsmi gəlir",AB4))</f>
        <v>0.12</v>
      </c>
      <c r="J16" s="547">
        <f>IF(D16="Rəsmi gəlir",AA5,IF(D16="Qeyri rəsmi gəlir",AB5))</f>
        <v>0.16</v>
      </c>
      <c r="K16" s="547">
        <f>IF(D16="Rəsmi gəlir",AA6,IF(D16="Qeyri rəsmi gəlir",AB6))</f>
        <v>0.2</v>
      </c>
      <c r="L16" s="547">
        <f>IF(D16="Rəsmi gəlir",AA7,IF(D16="Qeyri rəsmi gəlir",AB7))</f>
        <v>0.23</v>
      </c>
      <c r="M16" s="547">
        <f>IF(D16="Rəsmi gəlir",AA8,IF(D16="Qeyri rəsmi gəlir",AB8))</f>
        <v>0.25600000000000001</v>
      </c>
      <c r="N16" s="547">
        <f>IF(D16="Rəsmi gəlir",AA9,IF(D16="Qeyri rəsmi gəlir",AB9))</f>
        <v>0.28550000000000003</v>
      </c>
      <c r="O16" s="547">
        <f>IF(D16="Rəsmi gəlir",AA10,IF(D16="Qeyri rəsmi gəlir",AB10))</f>
        <v>0</v>
      </c>
      <c r="P16" s="547" t="b">
        <f t="shared" si="0"/>
        <v>0</v>
      </c>
      <c r="Q16" s="548">
        <f t="shared" si="1"/>
        <v>0</v>
      </c>
      <c r="R16" s="543" t="str">
        <f t="shared" si="3"/>
        <v>-</v>
      </c>
      <c r="S16" s="549"/>
      <c r="T16" s="543" t="e">
        <f t="shared" si="4"/>
        <v>#VALUE!</v>
      </c>
      <c r="U16" s="548" t="e">
        <f t="shared" si="2"/>
        <v>#VALUE!</v>
      </c>
      <c r="V16" s="548" t="e">
        <f t="shared" si="5"/>
        <v>#VALUE!</v>
      </c>
      <c r="W16" s="544"/>
      <c r="X16" s="556"/>
      <c r="Z16" s="562"/>
    </row>
    <row r="17" spans="1:26">
      <c r="A17" s="552">
        <v>15</v>
      </c>
      <c r="B17" s="560"/>
      <c r="C17" s="554"/>
      <c r="D17" s="544" t="s">
        <v>799</v>
      </c>
      <c r="E17" s="555"/>
      <c r="F17" s="545">
        <f>E17-(E17*Z13)</f>
        <v>0</v>
      </c>
      <c r="G17" s="546"/>
      <c r="H17" s="547">
        <f>IF(D17="Rəsmi gəlir",AA3,IF(D17="Qeyri rəsmi gəlir",AB3))</f>
        <v>7.0000000000000007E-2</v>
      </c>
      <c r="I17" s="547">
        <f>IF(D17="Rəsmi gəlir",AA4,IF(D17="Qeyri rəsmi gəlir",AB4))</f>
        <v>0.12</v>
      </c>
      <c r="J17" s="547">
        <f>IF(D17="Rəsmi gəlir",AA5,IF(D17="Qeyri rəsmi gəlir",AB5))</f>
        <v>0.16</v>
      </c>
      <c r="K17" s="547">
        <f>IF(D17="Rəsmi gəlir",AA6,IF(D17="Qeyri rəsmi gəlir",AB6))</f>
        <v>0.2</v>
      </c>
      <c r="L17" s="547">
        <f>IF(D17="Rəsmi gəlir",AA7,IF(D17="Qeyri rəsmi gəlir",AB7))</f>
        <v>0.23</v>
      </c>
      <c r="M17" s="547">
        <f>IF(D17="Rəsmi gəlir",AA8,IF(D17="Qeyri rəsmi gəlir",AB8))</f>
        <v>0.25600000000000001</v>
      </c>
      <c r="N17" s="547">
        <f>IF(D17="Rəsmi gəlir",AA9,IF(D17="Qeyri rəsmi gəlir",AB9))</f>
        <v>0.28550000000000003</v>
      </c>
      <c r="O17" s="547">
        <f>IF(D17="Rəsmi gəlir",AA10,IF(D17="Qeyri rəsmi gəlir",AB10))</f>
        <v>0</v>
      </c>
      <c r="P17" s="547" t="b">
        <f t="shared" si="0"/>
        <v>0</v>
      </c>
      <c r="Q17" s="548">
        <f t="shared" si="1"/>
        <v>0</v>
      </c>
      <c r="R17" s="543" t="str">
        <f t="shared" si="3"/>
        <v>-</v>
      </c>
      <c r="S17" s="549"/>
      <c r="T17" s="543" t="e">
        <f t="shared" si="4"/>
        <v>#VALUE!</v>
      </c>
      <c r="U17" s="548" t="e">
        <f t="shared" si="2"/>
        <v>#VALUE!</v>
      </c>
      <c r="V17" s="548" t="e">
        <f t="shared" si="5"/>
        <v>#VALUE!</v>
      </c>
      <c r="W17" s="544"/>
      <c r="X17" s="556"/>
      <c r="Z17" s="562"/>
    </row>
    <row r="18" spans="1:26">
      <c r="A18" s="552">
        <v>16</v>
      </c>
      <c r="B18" s="560"/>
      <c r="C18" s="554"/>
      <c r="D18" s="544" t="s">
        <v>799</v>
      </c>
      <c r="E18" s="555"/>
      <c r="F18" s="545">
        <f>E18-(E18*Z13)</f>
        <v>0</v>
      </c>
      <c r="G18" s="546"/>
      <c r="H18" s="547">
        <f>IF(D18="Rəsmi gəlir",AA3,IF(D18="Qeyri rəsmi gəlir",AB3))</f>
        <v>7.0000000000000007E-2</v>
      </c>
      <c r="I18" s="547">
        <f>IF(D18="Rəsmi gəlir",AA4,IF(D18="Qeyri rəsmi gəlir",AB4))</f>
        <v>0.12</v>
      </c>
      <c r="J18" s="547">
        <f>IF(D18="Rəsmi gəlir",AA5,IF(D18="Qeyri rəsmi gəlir",AB5))</f>
        <v>0.16</v>
      </c>
      <c r="K18" s="547">
        <f>IF(D18="Rəsmi gəlir",AA6,IF(D18="Qeyri rəsmi gəlir",AB6))</f>
        <v>0.2</v>
      </c>
      <c r="L18" s="547">
        <f>IF(D18="Rəsmi gəlir",AA7,IF(D18="Qeyri rəsmi gəlir",AB7))</f>
        <v>0.23</v>
      </c>
      <c r="M18" s="547">
        <f>IF(D18="Rəsmi gəlir",AA8,IF(D18="Qeyri rəsmi gəlir",AB8))</f>
        <v>0.25600000000000001</v>
      </c>
      <c r="N18" s="547">
        <f>IF(D18="Rəsmi gəlir",AA9,IF(D18="Qeyri rəsmi gəlir",AB9))</f>
        <v>0.28550000000000003</v>
      </c>
      <c r="O18" s="547">
        <f>IF(D18="Rəsmi gəlir",AA10,IF(D18="Qeyri rəsmi gəlir",AB10))</f>
        <v>0</v>
      </c>
      <c r="P18" s="547" t="b">
        <f t="shared" si="0"/>
        <v>0</v>
      </c>
      <c r="Q18" s="548">
        <f t="shared" si="1"/>
        <v>0</v>
      </c>
      <c r="R18" s="543" t="str">
        <f t="shared" si="3"/>
        <v>-</v>
      </c>
      <c r="S18" s="549"/>
      <c r="T18" s="543" t="e">
        <f t="shared" si="4"/>
        <v>#VALUE!</v>
      </c>
      <c r="U18" s="548" t="e">
        <f t="shared" si="2"/>
        <v>#VALUE!</v>
      </c>
      <c r="V18" s="548" t="e">
        <f t="shared" si="5"/>
        <v>#VALUE!</v>
      </c>
      <c r="W18" s="544"/>
      <c r="X18" s="556"/>
      <c r="Z18" s="562"/>
    </row>
    <row r="19" spans="1:26">
      <c r="A19" s="552">
        <v>17</v>
      </c>
      <c r="B19" s="560"/>
      <c r="C19" s="554"/>
      <c r="D19" s="544" t="s">
        <v>799</v>
      </c>
      <c r="E19" s="555"/>
      <c r="F19" s="545">
        <f>E19-(E19*Z13)</f>
        <v>0</v>
      </c>
      <c r="G19" s="546"/>
      <c r="H19" s="547">
        <f>IF(D19="Rəsmi gəlir",AA3,IF(D19="Qeyri rəsmi gəlir",AB3))</f>
        <v>7.0000000000000007E-2</v>
      </c>
      <c r="I19" s="547">
        <f>IF(D19="Rəsmi gəlir",AA4,IF(D19="Qeyri rəsmi gəlir",AB4))</f>
        <v>0.12</v>
      </c>
      <c r="J19" s="547">
        <f>IF(D19="Rəsmi gəlir",AA5,IF(D19="Qeyri rəsmi gəlir",AB5))</f>
        <v>0.16</v>
      </c>
      <c r="K19" s="547">
        <f>IF(D19="Rəsmi gəlir",AA6,IF(D19="Qeyri rəsmi gəlir",AB6))</f>
        <v>0.2</v>
      </c>
      <c r="L19" s="547">
        <f>IF(D19="Rəsmi gəlir",AA7,IF(D19="Qeyri rəsmi gəlir",AB7))</f>
        <v>0.23</v>
      </c>
      <c r="M19" s="547">
        <f>IF(D19="Rəsmi gəlir",AA8,IF(D19="Qeyri rəsmi gəlir",AB8))</f>
        <v>0.25600000000000001</v>
      </c>
      <c r="N19" s="547">
        <f>IF(D19="Rəsmi gəlir",AA9,IF(D19="Qeyri rəsmi gəlir",AB9))</f>
        <v>0.28550000000000003</v>
      </c>
      <c r="O19" s="547">
        <f>IF(D19="Rəsmi gəlir",AA10,IF(D19="Qeyri rəsmi gəlir",AB10))</f>
        <v>0</v>
      </c>
      <c r="P19" s="547" t="b">
        <f t="shared" si="0"/>
        <v>0</v>
      </c>
      <c r="Q19" s="548">
        <f t="shared" si="1"/>
        <v>0</v>
      </c>
      <c r="R19" s="543" t="str">
        <f t="shared" si="3"/>
        <v>-</v>
      </c>
      <c r="S19" s="549"/>
      <c r="T19" s="543" t="e">
        <f t="shared" si="4"/>
        <v>#VALUE!</v>
      </c>
      <c r="U19" s="548" t="e">
        <f t="shared" si="2"/>
        <v>#VALUE!</v>
      </c>
      <c r="V19" s="548" t="e">
        <f t="shared" si="5"/>
        <v>#VALUE!</v>
      </c>
      <c r="W19" s="544"/>
      <c r="X19" s="556"/>
      <c r="Z19" s="562"/>
    </row>
    <row r="20" spans="1:26">
      <c r="A20" s="552">
        <v>18</v>
      </c>
      <c r="B20" s="560"/>
      <c r="C20" s="554"/>
      <c r="D20" s="544" t="s">
        <v>799</v>
      </c>
      <c r="E20" s="555"/>
      <c r="F20" s="545">
        <f>E20-(E20*Z13)</f>
        <v>0</v>
      </c>
      <c r="G20" s="546"/>
      <c r="H20" s="547">
        <f>IF(D20="Rəsmi gəlir",AA3,IF(D20="Qeyri rəsmi gəlir",AB3))</f>
        <v>7.0000000000000007E-2</v>
      </c>
      <c r="I20" s="547">
        <f>IF(D20="Rəsmi gəlir",AA4,IF(D20="Qeyri rəsmi gəlir",AB4))</f>
        <v>0.12</v>
      </c>
      <c r="J20" s="547">
        <f>IF(D20="Rəsmi gəlir",AA5,IF(D20="Qeyri rəsmi gəlir",AB5))</f>
        <v>0.16</v>
      </c>
      <c r="K20" s="547">
        <f>IF(D20="Rəsmi gəlir",AA6,IF(D20="Qeyri rəsmi gəlir",AB6))</f>
        <v>0.2</v>
      </c>
      <c r="L20" s="547">
        <f>IF(D20="Rəsmi gəlir",AA7,IF(D20="Qeyri rəsmi gəlir",AB7))</f>
        <v>0.23</v>
      </c>
      <c r="M20" s="547">
        <f>IF(D20="Rəsmi gəlir",AA8,IF(D20="Qeyri rəsmi gəlir",AB8))</f>
        <v>0.25600000000000001</v>
      </c>
      <c r="N20" s="547">
        <f>IF(D20="Rəsmi gəlir",AA9,IF(D20="Qeyri rəsmi gəlir",AB9))</f>
        <v>0.28550000000000003</v>
      </c>
      <c r="O20" s="547">
        <f>IF(D20="Rəsmi gəlir",AA10,IF(D20="Qeyri rəsmi gəlir",AB10))</f>
        <v>0</v>
      </c>
      <c r="P20" s="547" t="b">
        <f t="shared" si="0"/>
        <v>0</v>
      </c>
      <c r="Q20" s="548">
        <f t="shared" si="1"/>
        <v>0</v>
      </c>
      <c r="R20" s="543" t="str">
        <f t="shared" si="3"/>
        <v>-</v>
      </c>
      <c r="S20" s="549"/>
      <c r="T20" s="543" t="e">
        <f t="shared" si="4"/>
        <v>#VALUE!</v>
      </c>
      <c r="U20" s="548" t="e">
        <f t="shared" si="2"/>
        <v>#VALUE!</v>
      </c>
      <c r="V20" s="548" t="e">
        <f t="shared" si="5"/>
        <v>#VALUE!</v>
      </c>
      <c r="W20" s="544"/>
      <c r="X20" s="556"/>
      <c r="Z20" s="562"/>
    </row>
    <row r="21" spans="1:26">
      <c r="A21" s="552">
        <v>19</v>
      </c>
      <c r="B21" s="560"/>
      <c r="C21" s="554"/>
      <c r="D21" s="544" t="s">
        <v>799</v>
      </c>
      <c r="E21" s="555"/>
      <c r="F21" s="545">
        <f>E21-(E21*Z13)</f>
        <v>0</v>
      </c>
      <c r="G21" s="546"/>
      <c r="H21" s="547">
        <f>IF(D21="Rəsmi gəlir",AA3,IF(D21="Qeyri rəsmi gəlir",AB3))</f>
        <v>7.0000000000000007E-2</v>
      </c>
      <c r="I21" s="547">
        <f>IF(D21="Rəsmi gəlir",AA4,IF(D21="Qeyri rəsmi gəlir",AB4))</f>
        <v>0.12</v>
      </c>
      <c r="J21" s="547">
        <f>IF(D21="Rəsmi gəlir",AA5,IF(D21="Qeyri rəsmi gəlir",AB5))</f>
        <v>0.16</v>
      </c>
      <c r="K21" s="547">
        <f>IF(D21="Rəsmi gəlir",AA6,IF(D21="Qeyri rəsmi gəlir",AB6))</f>
        <v>0.2</v>
      </c>
      <c r="L21" s="547">
        <f>IF(D21="Rəsmi gəlir",AA7,IF(D21="Qeyri rəsmi gəlir",AB7))</f>
        <v>0.23</v>
      </c>
      <c r="M21" s="547">
        <f>IF(D21="Rəsmi gəlir",AA8,IF(D21="Qeyri rəsmi gəlir",AB8))</f>
        <v>0.25600000000000001</v>
      </c>
      <c r="N21" s="547">
        <f>IF(D21="Rəsmi gəlir",AA9,IF(D21="Qeyri rəsmi gəlir",AB9))</f>
        <v>0.28550000000000003</v>
      </c>
      <c r="O21" s="547">
        <f>IF(D21="Rəsmi gəlir",AA10,IF(D21="Qeyri rəsmi gəlir",AB10))</f>
        <v>0</v>
      </c>
      <c r="P21" s="547" t="b">
        <f t="shared" si="0"/>
        <v>0</v>
      </c>
      <c r="Q21" s="548">
        <f t="shared" si="1"/>
        <v>0</v>
      </c>
      <c r="R21" s="543" t="str">
        <f t="shared" si="3"/>
        <v>-</v>
      </c>
      <c r="S21" s="549"/>
      <c r="T21" s="543" t="e">
        <f t="shared" si="4"/>
        <v>#VALUE!</v>
      </c>
      <c r="U21" s="548" t="e">
        <f t="shared" si="2"/>
        <v>#VALUE!</v>
      </c>
      <c r="V21" s="548" t="e">
        <f t="shared" si="5"/>
        <v>#VALUE!</v>
      </c>
      <c r="W21" s="544"/>
      <c r="X21" s="556"/>
      <c r="Z21" s="562"/>
    </row>
    <row r="22" spans="1:26">
      <c r="A22" s="552">
        <v>20</v>
      </c>
      <c r="B22" s="560"/>
      <c r="C22" s="554"/>
      <c r="D22" s="544" t="s">
        <v>799</v>
      </c>
      <c r="E22" s="555"/>
      <c r="F22" s="545">
        <f>E22-(E22*Z13)</f>
        <v>0</v>
      </c>
      <c r="G22" s="546"/>
      <c r="H22" s="547">
        <f>IF(D22="Rəsmi gəlir",AA3,IF(D22="Qeyri rəsmi gəlir",AB3))</f>
        <v>7.0000000000000007E-2</v>
      </c>
      <c r="I22" s="547">
        <f>IF(D22="Rəsmi gəlir",AA4,IF(D22="Qeyri rəsmi gəlir",AB4))</f>
        <v>0.12</v>
      </c>
      <c r="J22" s="547">
        <f>IF(D22="Rəsmi gəlir",AA5,IF(D22="Qeyri rəsmi gəlir",AB5))</f>
        <v>0.16</v>
      </c>
      <c r="K22" s="547">
        <f>IF(D22="Rəsmi gəlir",AA6,IF(D22="Qeyri rəsmi gəlir",AB6))</f>
        <v>0.2</v>
      </c>
      <c r="L22" s="547">
        <f>IF(D22="Rəsmi gəlir",AA7,IF(D22="Qeyri rəsmi gəlir",AB7))</f>
        <v>0.23</v>
      </c>
      <c r="M22" s="547">
        <f>IF(D22="Rəsmi gəlir",AA8,IF(D22="Qeyri rəsmi gəlir",AB8))</f>
        <v>0.25600000000000001</v>
      </c>
      <c r="N22" s="547">
        <f>IF(D22="Rəsmi gəlir",AA9,IF(D22="Qeyri rəsmi gəlir",AB9))</f>
        <v>0.28550000000000003</v>
      </c>
      <c r="O22" s="547">
        <f>IF(D22="Rəsmi gəlir",AA10,IF(D22="Qeyri rəsmi gəlir",AB10))</f>
        <v>0</v>
      </c>
      <c r="P22" s="547" t="b">
        <f t="shared" si="0"/>
        <v>0</v>
      </c>
      <c r="Q22" s="548">
        <f t="shared" si="1"/>
        <v>0</v>
      </c>
      <c r="R22" s="543" t="str">
        <f t="shared" si="3"/>
        <v>-</v>
      </c>
      <c r="S22" s="549"/>
      <c r="T22" s="543" t="e">
        <f t="shared" si="4"/>
        <v>#VALUE!</v>
      </c>
      <c r="U22" s="548" t="e">
        <f t="shared" si="2"/>
        <v>#VALUE!</v>
      </c>
      <c r="V22" s="548" t="e">
        <f t="shared" si="5"/>
        <v>#VALUE!</v>
      </c>
      <c r="W22" s="544"/>
      <c r="X22" s="556"/>
      <c r="Z22" s="562"/>
    </row>
    <row r="23" spans="1:26">
      <c r="A23" s="552">
        <v>21</v>
      </c>
      <c r="B23" s="560"/>
      <c r="C23" s="554"/>
      <c r="D23" s="544" t="s">
        <v>799</v>
      </c>
      <c r="E23" s="555"/>
      <c r="F23" s="545">
        <f>E23-(E23*Z13)</f>
        <v>0</v>
      </c>
      <c r="G23" s="546"/>
      <c r="H23" s="547">
        <f>IF(D23="Rəsmi gəlir",AA3,IF(D23="Qeyri rəsmi gəlir",AB3))</f>
        <v>7.0000000000000007E-2</v>
      </c>
      <c r="I23" s="547">
        <f>IF(D23="Rəsmi gəlir",AA4,IF(D23="Qeyri rəsmi gəlir",AB4))</f>
        <v>0.12</v>
      </c>
      <c r="J23" s="547">
        <f>IF(D23="Rəsmi gəlir",AA5,IF(D23="Qeyri rəsmi gəlir",AB5))</f>
        <v>0.16</v>
      </c>
      <c r="K23" s="547">
        <f>IF(D23="Rəsmi gəlir",AA6,IF(D23="Qeyri rəsmi gəlir",AB6))</f>
        <v>0.2</v>
      </c>
      <c r="L23" s="547">
        <f>IF(D23="Rəsmi gəlir",AA7,IF(D23="Qeyri rəsmi gəlir",AB7))</f>
        <v>0.23</v>
      </c>
      <c r="M23" s="547">
        <f>IF(D23="Rəsmi gəlir",AA8,IF(D23="Qeyri rəsmi gəlir",AB8))</f>
        <v>0.25600000000000001</v>
      </c>
      <c r="N23" s="547">
        <f>IF(D23="Rəsmi gəlir",AA9,IF(D23="Qeyri rəsmi gəlir",AB9))</f>
        <v>0.28550000000000003</v>
      </c>
      <c r="O23" s="547">
        <f>IF(D23="Rəsmi gəlir",AA10,IF(D23="Qeyri rəsmi gəlir",AB10))</f>
        <v>0</v>
      </c>
      <c r="P23" s="547" t="b">
        <f t="shared" si="0"/>
        <v>0</v>
      </c>
      <c r="Q23" s="548">
        <f t="shared" si="1"/>
        <v>0</v>
      </c>
      <c r="R23" s="543" t="str">
        <f t="shared" si="3"/>
        <v>-</v>
      </c>
      <c r="S23" s="549"/>
      <c r="T23" s="543" t="e">
        <f t="shared" si="4"/>
        <v>#VALUE!</v>
      </c>
      <c r="U23" s="548" t="e">
        <f t="shared" si="2"/>
        <v>#VALUE!</v>
      </c>
      <c r="V23" s="548" t="e">
        <f t="shared" si="5"/>
        <v>#VALUE!</v>
      </c>
      <c r="W23" s="544"/>
      <c r="X23" s="556"/>
    </row>
    <row r="24" spans="1:26">
      <c r="A24" s="552">
        <v>22</v>
      </c>
      <c r="B24" s="560"/>
      <c r="C24" s="554"/>
      <c r="D24" s="544" t="s">
        <v>799</v>
      </c>
      <c r="E24" s="555"/>
      <c r="F24" s="545">
        <f>E24-(E24*Z13)</f>
        <v>0</v>
      </c>
      <c r="G24" s="546"/>
      <c r="H24" s="547">
        <f>IF(D24="Rəsmi gəlir",AA3,IF(D24="Qeyri rəsmi gəlir",AB3))</f>
        <v>7.0000000000000007E-2</v>
      </c>
      <c r="I24" s="547">
        <f>IF(D24="Rəsmi gəlir",AA4,IF(D24="Qeyri rəsmi gəlir",AB4))</f>
        <v>0.12</v>
      </c>
      <c r="J24" s="547">
        <f>IF(D24="Rəsmi gəlir",AA5,IF(D24="Qeyri rəsmi gəlir",AB5))</f>
        <v>0.16</v>
      </c>
      <c r="K24" s="547">
        <f>IF(D24="Rəsmi gəlir",AA6,IF(D24="Qeyri rəsmi gəlir",AB6))</f>
        <v>0.2</v>
      </c>
      <c r="L24" s="547">
        <f>IF(D24="Rəsmi gəlir",AA7,IF(D24="Qeyri rəsmi gəlir",AB7))</f>
        <v>0.23</v>
      </c>
      <c r="M24" s="547">
        <f>IF(D24="Rəsmi gəlir",AA8,IF(D24="Qeyri rəsmi gəlir",AB8))</f>
        <v>0.25600000000000001</v>
      </c>
      <c r="N24" s="547">
        <f>IF(D24="Rəsmi gəlir",AA9,IF(D24="Qeyri rəsmi gəlir",AB9))</f>
        <v>0.28550000000000003</v>
      </c>
      <c r="O24" s="547">
        <f>IF(D24="Rəsmi gəlir",AA10,IF(D24="Qeyri rəsmi gəlir",AB10))</f>
        <v>0</v>
      </c>
      <c r="P24" s="547" t="b">
        <f t="shared" si="0"/>
        <v>0</v>
      </c>
      <c r="Q24" s="548">
        <f t="shared" si="1"/>
        <v>0</v>
      </c>
      <c r="R24" s="543" t="str">
        <f t="shared" si="3"/>
        <v>-</v>
      </c>
      <c r="S24" s="549"/>
      <c r="T24" s="543" t="e">
        <f t="shared" si="4"/>
        <v>#VALUE!</v>
      </c>
      <c r="U24" s="548" t="e">
        <f t="shared" si="2"/>
        <v>#VALUE!</v>
      </c>
      <c r="V24" s="548" t="e">
        <f t="shared" si="5"/>
        <v>#VALUE!</v>
      </c>
      <c r="W24" s="544"/>
      <c r="X24" s="556"/>
    </row>
    <row r="25" spans="1:26">
      <c r="A25" s="552">
        <v>23</v>
      </c>
      <c r="B25" s="560"/>
      <c r="C25" s="554"/>
      <c r="D25" s="544" t="s">
        <v>799</v>
      </c>
      <c r="E25" s="555"/>
      <c r="F25" s="545">
        <f>E25-(E25*Z13)</f>
        <v>0</v>
      </c>
      <c r="G25" s="546"/>
      <c r="H25" s="547">
        <f>IF(D25="Rəsmi gəlir",AA3,IF(D25="Qeyri rəsmi gəlir",AB3))</f>
        <v>7.0000000000000007E-2</v>
      </c>
      <c r="I25" s="547">
        <f>IF(D25="Rəsmi gəlir",AA4,IF(D25="Qeyri rəsmi gəlir",AB4))</f>
        <v>0.12</v>
      </c>
      <c r="J25" s="547">
        <f>IF(D25="Rəsmi gəlir",AA5,IF(D25="Qeyri rəsmi gəlir",AB5))</f>
        <v>0.16</v>
      </c>
      <c r="K25" s="547">
        <f>IF(D25="Rəsmi gəlir",AA6,IF(D25="Qeyri rəsmi gəlir",AB6))</f>
        <v>0.2</v>
      </c>
      <c r="L25" s="547">
        <f>IF(D25="Rəsmi gəlir",AA7,IF(D25="Qeyri rəsmi gəlir",AB7))</f>
        <v>0.23</v>
      </c>
      <c r="M25" s="547">
        <f>IF(D25="Rəsmi gəlir",AA8,IF(D25="Qeyri rəsmi gəlir",AB8))</f>
        <v>0.25600000000000001</v>
      </c>
      <c r="N25" s="547">
        <f>IF(D25="Rəsmi gəlir",AA9,IF(D25="Qeyri rəsmi gəlir",AB9))</f>
        <v>0.28550000000000003</v>
      </c>
      <c r="O25" s="547">
        <f>IF(D25="Rəsmi gəlir",AA10,IF(D25="Qeyri rəsmi gəlir",AB10))</f>
        <v>0</v>
      </c>
      <c r="P25" s="547" t="b">
        <f t="shared" si="0"/>
        <v>0</v>
      </c>
      <c r="Q25" s="548">
        <f t="shared" si="1"/>
        <v>0</v>
      </c>
      <c r="R25" s="543" t="str">
        <f t="shared" si="3"/>
        <v>-</v>
      </c>
      <c r="S25" s="549"/>
      <c r="T25" s="543" t="e">
        <f t="shared" si="4"/>
        <v>#VALUE!</v>
      </c>
      <c r="U25" s="548" t="e">
        <f t="shared" si="2"/>
        <v>#VALUE!</v>
      </c>
      <c r="V25" s="548" t="e">
        <f t="shared" si="5"/>
        <v>#VALUE!</v>
      </c>
      <c r="W25" s="544"/>
      <c r="X25" s="556"/>
    </row>
    <row r="26" spans="1:26">
      <c r="A26" s="552">
        <v>24</v>
      </c>
      <c r="B26" s="560"/>
      <c r="C26" s="554"/>
      <c r="D26" s="544" t="s">
        <v>799</v>
      </c>
      <c r="E26" s="555"/>
      <c r="F26" s="545">
        <f>E26-(E26*Z13)</f>
        <v>0</v>
      </c>
      <c r="G26" s="546"/>
      <c r="H26" s="547">
        <f>IF(D26="Rəsmi gəlir",AA3,IF(D26="Qeyri rəsmi gəlir",AB3))</f>
        <v>7.0000000000000007E-2</v>
      </c>
      <c r="I26" s="547">
        <f>IF(D26="Rəsmi gəlir",AA4,IF(D26="Qeyri rəsmi gəlir",AB4))</f>
        <v>0.12</v>
      </c>
      <c r="J26" s="547">
        <f>IF(D26="Rəsmi gəlir",AA5,IF(D26="Qeyri rəsmi gəlir",AB5))</f>
        <v>0.16</v>
      </c>
      <c r="K26" s="547">
        <f>IF(D26="Rəsmi gəlir",AA6,IF(D26="Qeyri rəsmi gəlir",AB6))</f>
        <v>0.2</v>
      </c>
      <c r="L26" s="547">
        <f>IF(D26="Rəsmi gəlir",AA7,IF(D26="Qeyri rəsmi gəlir",AB7))</f>
        <v>0.23</v>
      </c>
      <c r="M26" s="547">
        <f>IF(D26="Rəsmi gəlir",AA8,IF(D26="Qeyri rəsmi gəlir",AB8))</f>
        <v>0.25600000000000001</v>
      </c>
      <c r="N26" s="547">
        <f>IF(D26="Rəsmi gəlir",AA9,IF(D26="Qeyri rəsmi gəlir",AB9))</f>
        <v>0.28550000000000003</v>
      </c>
      <c r="O26" s="547">
        <f>IF(D26="Rəsmi gəlir",AA10,IF(D26="Qeyri rəsmi gəlir",AB10))</f>
        <v>0</v>
      </c>
      <c r="P26" s="547" t="b">
        <f t="shared" si="0"/>
        <v>0</v>
      </c>
      <c r="Q26" s="548">
        <f t="shared" si="1"/>
        <v>0</v>
      </c>
      <c r="R26" s="543" t="str">
        <f t="shared" si="3"/>
        <v>-</v>
      </c>
      <c r="S26" s="549"/>
      <c r="T26" s="543" t="e">
        <f t="shared" si="4"/>
        <v>#VALUE!</v>
      </c>
      <c r="U26" s="548" t="e">
        <f t="shared" si="2"/>
        <v>#VALUE!</v>
      </c>
      <c r="V26" s="548" t="e">
        <f t="shared" si="5"/>
        <v>#VALUE!</v>
      </c>
      <c r="W26" s="544"/>
      <c r="X26" s="556"/>
    </row>
    <row r="27" spans="1:26">
      <c r="A27" s="552">
        <v>25</v>
      </c>
      <c r="B27" s="560"/>
      <c r="C27" s="554"/>
      <c r="D27" s="544" t="s">
        <v>799</v>
      </c>
      <c r="E27" s="555"/>
      <c r="F27" s="545">
        <f>E27-(E27*Z13)</f>
        <v>0</v>
      </c>
      <c r="G27" s="546"/>
      <c r="H27" s="547">
        <f>IF(D27="Rəsmi gəlir",AA3,IF(D27="Qeyri rəsmi gəlir",AB3))</f>
        <v>7.0000000000000007E-2</v>
      </c>
      <c r="I27" s="547">
        <f>IF(D27="Rəsmi gəlir",AA4,IF(D27="Qeyri rəsmi gəlir",AB4))</f>
        <v>0.12</v>
      </c>
      <c r="J27" s="547">
        <f>IF(D27="Rəsmi gəlir",AA5,IF(D27="Qeyri rəsmi gəlir",AB5))</f>
        <v>0.16</v>
      </c>
      <c r="K27" s="547">
        <f>IF(D27="Rəsmi gəlir",AA6,IF(D27="Qeyri rəsmi gəlir",AB6))</f>
        <v>0.2</v>
      </c>
      <c r="L27" s="547">
        <f>IF(D27="Rəsmi gəlir",AA7,IF(D27="Qeyri rəsmi gəlir",AB7))</f>
        <v>0.23</v>
      </c>
      <c r="M27" s="547">
        <f>IF(D27="Rəsmi gəlir",AA8,IF(D27="Qeyri rəsmi gəlir",AB8))</f>
        <v>0.25600000000000001</v>
      </c>
      <c r="N27" s="547">
        <f>IF(D27="Rəsmi gəlir",AA9,IF(D27="Qeyri rəsmi gəlir",AB9))</f>
        <v>0.28550000000000003</v>
      </c>
      <c r="O27" s="547">
        <f>IF(D27="Rəsmi gəlir",AA10,IF(D27="Qeyri rəsmi gəlir",AB10))</f>
        <v>0</v>
      </c>
      <c r="P27" s="547" t="b">
        <f t="shared" si="0"/>
        <v>0</v>
      </c>
      <c r="Q27" s="548">
        <f t="shared" si="1"/>
        <v>0</v>
      </c>
      <c r="R27" s="543" t="str">
        <f t="shared" si="3"/>
        <v>-</v>
      </c>
      <c r="S27" s="549"/>
      <c r="T27" s="543" t="e">
        <f t="shared" si="4"/>
        <v>#VALUE!</v>
      </c>
      <c r="U27" s="548" t="e">
        <f t="shared" si="2"/>
        <v>#VALUE!</v>
      </c>
      <c r="V27" s="548" t="e">
        <f t="shared" si="5"/>
        <v>#VALUE!</v>
      </c>
      <c r="W27" s="544"/>
      <c r="X27" s="556"/>
    </row>
    <row r="28" spans="1:26">
      <c r="A28" s="552">
        <v>26</v>
      </c>
      <c r="B28" s="560"/>
      <c r="C28" s="554"/>
      <c r="D28" s="544" t="s">
        <v>799</v>
      </c>
      <c r="E28" s="555"/>
      <c r="F28" s="545">
        <f>E28-(E28*Z13)</f>
        <v>0</v>
      </c>
      <c r="G28" s="546"/>
      <c r="H28" s="547">
        <f>IF(D28="Rəsmi gəlir",AA3,IF(D28="Qeyri rəsmi gəlir",AB3))</f>
        <v>7.0000000000000007E-2</v>
      </c>
      <c r="I28" s="547">
        <f>IF(D28="Rəsmi gəlir",AA4,IF(D28="Qeyri rəsmi gəlir",AB4))</f>
        <v>0.12</v>
      </c>
      <c r="J28" s="547">
        <f>IF(D28="Rəsmi gəlir",AA5,IF(D28="Qeyri rəsmi gəlir",AB5))</f>
        <v>0.16</v>
      </c>
      <c r="K28" s="547">
        <f>IF(D28="Rəsmi gəlir",AA6,IF(D28="Qeyri rəsmi gəlir",AB6))</f>
        <v>0.2</v>
      </c>
      <c r="L28" s="547">
        <f>IF(D28="Rəsmi gəlir",AA7,IF(D28="Qeyri rəsmi gəlir",AB7))</f>
        <v>0.23</v>
      </c>
      <c r="M28" s="547">
        <f>IF(D28="Rəsmi gəlir",AA8,IF(D28="Qeyri rəsmi gəlir",AB8))</f>
        <v>0.25600000000000001</v>
      </c>
      <c r="N28" s="547">
        <f>IF(D28="Rəsmi gəlir",AA9,IF(D28="Qeyri rəsmi gəlir",AB9))</f>
        <v>0.28550000000000003</v>
      </c>
      <c r="O28" s="547">
        <f>IF(D28="Rəsmi gəlir",AA10,IF(D28="Qeyri rəsmi gəlir",AB10))</f>
        <v>0</v>
      </c>
      <c r="P28" s="547" t="b">
        <f t="shared" si="0"/>
        <v>0</v>
      </c>
      <c r="Q28" s="548">
        <f t="shared" si="1"/>
        <v>0</v>
      </c>
      <c r="R28" s="543" t="str">
        <f t="shared" si="3"/>
        <v>-</v>
      </c>
      <c r="S28" s="549"/>
      <c r="T28" s="543" t="e">
        <f t="shared" si="4"/>
        <v>#VALUE!</v>
      </c>
      <c r="U28" s="548" t="e">
        <f t="shared" si="2"/>
        <v>#VALUE!</v>
      </c>
      <c r="V28" s="548" t="e">
        <f t="shared" si="5"/>
        <v>#VALUE!</v>
      </c>
      <c r="W28" s="544"/>
      <c r="X28" s="556"/>
    </row>
    <row r="29" spans="1:26">
      <c r="A29" s="552">
        <v>27</v>
      </c>
      <c r="B29" s="560"/>
      <c r="C29" s="554"/>
      <c r="D29" s="544" t="s">
        <v>799</v>
      </c>
      <c r="E29" s="555"/>
      <c r="F29" s="545">
        <f>E29-(E29*Z13)</f>
        <v>0</v>
      </c>
      <c r="G29" s="546"/>
      <c r="H29" s="547">
        <f>IF(D29="Rəsmi gəlir",AA3,IF(D29="Qeyri rəsmi gəlir",AB3))</f>
        <v>7.0000000000000007E-2</v>
      </c>
      <c r="I29" s="547">
        <f>IF(D29="Rəsmi gəlir",AA4,IF(D29="Qeyri rəsmi gəlir",AB4))</f>
        <v>0.12</v>
      </c>
      <c r="J29" s="547">
        <f>IF(D29="Rəsmi gəlir",AA5,IF(D29="Qeyri rəsmi gəlir",AB5))</f>
        <v>0.16</v>
      </c>
      <c r="K29" s="547">
        <f>IF(D29="Rəsmi gəlir",AA6,IF(D29="Qeyri rəsmi gəlir",AB6))</f>
        <v>0.2</v>
      </c>
      <c r="L29" s="547">
        <f>IF(D29="Rəsmi gəlir",AA7,IF(D29="Qeyri rəsmi gəlir",AB7))</f>
        <v>0.23</v>
      </c>
      <c r="M29" s="547">
        <f>IF(D29="Rəsmi gəlir",AA8,IF(D29="Qeyri rəsmi gəlir",AB8))</f>
        <v>0.25600000000000001</v>
      </c>
      <c r="N29" s="547">
        <f>IF(D29="Rəsmi gəlir",AA9,IF(D29="Qeyri rəsmi gəlir",AB9))</f>
        <v>0.28550000000000003</v>
      </c>
      <c r="O29" s="547">
        <f>IF(D29="Rəsmi gəlir",AA10,IF(D29="Qeyri rəsmi gəlir",AB10))</f>
        <v>0</v>
      </c>
      <c r="P29" s="547" t="b">
        <f t="shared" si="0"/>
        <v>0</v>
      </c>
      <c r="Q29" s="548">
        <f t="shared" si="1"/>
        <v>0</v>
      </c>
      <c r="R29" s="543" t="str">
        <f t="shared" si="3"/>
        <v>-</v>
      </c>
      <c r="S29" s="549"/>
      <c r="T29" s="543" t="e">
        <f t="shared" si="4"/>
        <v>#VALUE!</v>
      </c>
      <c r="U29" s="548" t="e">
        <f t="shared" si="2"/>
        <v>#VALUE!</v>
      </c>
      <c r="V29" s="548" t="e">
        <f t="shared" si="5"/>
        <v>#VALUE!</v>
      </c>
      <c r="W29" s="544"/>
      <c r="X29" s="556"/>
    </row>
    <row r="30" spans="1:26">
      <c r="A30" s="552">
        <v>28</v>
      </c>
      <c r="B30" s="560"/>
      <c r="C30" s="554"/>
      <c r="D30" s="544" t="s">
        <v>799</v>
      </c>
      <c r="E30" s="555"/>
      <c r="F30" s="545">
        <f>E30-(E30*Z13)</f>
        <v>0</v>
      </c>
      <c r="G30" s="546"/>
      <c r="H30" s="547">
        <f>IF(D30="Rəsmi gəlir",AA3,IF(D30="Qeyri rəsmi gəlir",AB3))</f>
        <v>7.0000000000000007E-2</v>
      </c>
      <c r="I30" s="547">
        <f>IF(D30="Rəsmi gəlir",AA4,IF(D30="Qeyri rəsmi gəlir",AB4))</f>
        <v>0.12</v>
      </c>
      <c r="J30" s="547">
        <f>IF(D30="Rəsmi gəlir",AA5,IF(D30="Qeyri rəsmi gəlir",AB5))</f>
        <v>0.16</v>
      </c>
      <c r="K30" s="547">
        <f>IF(D30="Rəsmi gəlir",AA6,IF(D30="Qeyri rəsmi gəlir",AB6))</f>
        <v>0.2</v>
      </c>
      <c r="L30" s="547">
        <f>IF(D30="Rəsmi gəlir",AA7,IF(D30="Qeyri rəsmi gəlir",AB7))</f>
        <v>0.23</v>
      </c>
      <c r="M30" s="547">
        <f>IF(D30="Rəsmi gəlir",AA8,IF(D30="Qeyri rəsmi gəlir",AB8))</f>
        <v>0.25600000000000001</v>
      </c>
      <c r="N30" s="547">
        <f>IF(D30="Rəsmi gəlir",AA9,IF(D30="Qeyri rəsmi gəlir",AB9))</f>
        <v>0.28550000000000003</v>
      </c>
      <c r="O30" s="547">
        <f>IF(D30="Rəsmi gəlir",AA10,IF(D30="Qeyri rəsmi gəlir",AB10))</f>
        <v>0</v>
      </c>
      <c r="P30" s="547" t="b">
        <f t="shared" si="0"/>
        <v>0</v>
      </c>
      <c r="Q30" s="548">
        <f t="shared" si="1"/>
        <v>0</v>
      </c>
      <c r="R30" s="543" t="str">
        <f t="shared" si="3"/>
        <v>-</v>
      </c>
      <c r="S30" s="549"/>
      <c r="T30" s="543" t="e">
        <f t="shared" si="4"/>
        <v>#VALUE!</v>
      </c>
      <c r="U30" s="548" t="e">
        <f t="shared" si="2"/>
        <v>#VALUE!</v>
      </c>
      <c r="V30" s="548" t="e">
        <f t="shared" si="5"/>
        <v>#VALUE!</v>
      </c>
      <c r="W30" s="544"/>
      <c r="X30" s="556"/>
    </row>
    <row r="31" spans="1:26">
      <c r="A31" s="552">
        <v>29</v>
      </c>
      <c r="B31" s="560"/>
      <c r="C31" s="554"/>
      <c r="D31" s="544" t="s">
        <v>799</v>
      </c>
      <c r="E31" s="555"/>
      <c r="F31" s="545">
        <f>E31-(E31*Z13)</f>
        <v>0</v>
      </c>
      <c r="G31" s="546"/>
      <c r="H31" s="547">
        <f>IF(D31="Rəsmi gəlir",AA3,IF(D31="Qeyri rəsmi gəlir",AB3))</f>
        <v>7.0000000000000007E-2</v>
      </c>
      <c r="I31" s="547">
        <f>IF(D31="Rəsmi gəlir",AA4,IF(D31="Qeyri rəsmi gəlir",AB4))</f>
        <v>0.12</v>
      </c>
      <c r="J31" s="547">
        <f>IF(D31="Rəsmi gəlir",AA5,IF(D31="Qeyri rəsmi gəlir",AB5))</f>
        <v>0.16</v>
      </c>
      <c r="K31" s="547">
        <f>IF(D31="Rəsmi gəlir",AA6,IF(D31="Qeyri rəsmi gəlir",AB6))</f>
        <v>0.2</v>
      </c>
      <c r="L31" s="547">
        <f>IF(D31="Rəsmi gəlir",AA7,IF(D31="Qeyri rəsmi gəlir",AB7))</f>
        <v>0.23</v>
      </c>
      <c r="M31" s="547">
        <f>IF(D31="Rəsmi gəlir",AA8,IF(D31="Qeyri rəsmi gəlir",AB8))</f>
        <v>0.25600000000000001</v>
      </c>
      <c r="N31" s="547">
        <f>IF(D31="Rəsmi gəlir",AA9,IF(D31="Qeyri rəsmi gəlir",AB9))</f>
        <v>0.28550000000000003</v>
      </c>
      <c r="O31" s="547">
        <f>IF(D31="Rəsmi gəlir",AA10,IF(D31="Qeyri rəsmi gəlir",AB10))</f>
        <v>0</v>
      </c>
      <c r="P31" s="547" t="b">
        <f t="shared" si="0"/>
        <v>0</v>
      </c>
      <c r="Q31" s="548">
        <f t="shared" si="1"/>
        <v>0</v>
      </c>
      <c r="R31" s="543" t="str">
        <f t="shared" si="3"/>
        <v>-</v>
      </c>
      <c r="S31" s="549"/>
      <c r="T31" s="543" t="e">
        <f t="shared" si="4"/>
        <v>#VALUE!</v>
      </c>
      <c r="U31" s="548" t="e">
        <f t="shared" si="2"/>
        <v>#VALUE!</v>
      </c>
      <c r="V31" s="548" t="e">
        <f t="shared" si="5"/>
        <v>#VALUE!</v>
      </c>
      <c r="W31" s="544"/>
      <c r="X31" s="556"/>
    </row>
    <row r="32" spans="1:26">
      <c r="A32" s="552">
        <v>30</v>
      </c>
      <c r="B32" s="560"/>
      <c r="C32" s="554"/>
      <c r="D32" s="544" t="s">
        <v>799</v>
      </c>
      <c r="E32" s="555"/>
      <c r="F32" s="545">
        <f>E32-(E32*Z13)</f>
        <v>0</v>
      </c>
      <c r="G32" s="546"/>
      <c r="H32" s="547">
        <f>IF(D32="Rəsmi gəlir",AA3,IF(D32="Qeyri rəsmi gəlir",AB3))</f>
        <v>7.0000000000000007E-2</v>
      </c>
      <c r="I32" s="547">
        <f>IF(D32="Rəsmi gəlir",AA4,IF(D32="Qeyri rəsmi gəlir",AB4))</f>
        <v>0.12</v>
      </c>
      <c r="J32" s="547">
        <f>IF(D32="Rəsmi gəlir",AA5,IF(D32="Qeyri rəsmi gəlir",AB5))</f>
        <v>0.16</v>
      </c>
      <c r="K32" s="547">
        <f>IF(D32="Rəsmi gəlir",AA6,IF(D32="Qeyri rəsmi gəlir",AB6))</f>
        <v>0.2</v>
      </c>
      <c r="L32" s="547">
        <f>IF(D32="Rəsmi gəlir",AA7,IF(D32="Qeyri rəsmi gəlir",AB7))</f>
        <v>0.23</v>
      </c>
      <c r="M32" s="547">
        <f>IF(D32="Rəsmi gəlir",AA8,IF(D32="Qeyri rəsmi gəlir",AB8))</f>
        <v>0.25600000000000001</v>
      </c>
      <c r="N32" s="547">
        <f>IF(D32="Rəsmi gəlir",AA9,IF(D32="Qeyri rəsmi gəlir",AB9))</f>
        <v>0.28550000000000003</v>
      </c>
      <c r="O32" s="547">
        <f>IF(D32="Rəsmi gəlir",AA10,IF(D32="Qeyri rəsmi gəlir",AB10))</f>
        <v>0</v>
      </c>
      <c r="P32" s="547" t="b">
        <f t="shared" si="0"/>
        <v>0</v>
      </c>
      <c r="Q32" s="548">
        <f t="shared" si="1"/>
        <v>0</v>
      </c>
      <c r="R32" s="543" t="str">
        <f t="shared" si="3"/>
        <v>-</v>
      </c>
      <c r="S32" s="549"/>
      <c r="T32" s="543" t="e">
        <f t="shared" si="4"/>
        <v>#VALUE!</v>
      </c>
      <c r="U32" s="548" t="e">
        <f t="shared" si="2"/>
        <v>#VALUE!</v>
      </c>
      <c r="V32" s="548" t="e">
        <f t="shared" si="5"/>
        <v>#VALUE!</v>
      </c>
      <c r="W32" s="544"/>
      <c r="X32" s="556"/>
    </row>
    <row r="33" spans="1:24">
      <c r="A33" s="552">
        <v>31</v>
      </c>
      <c r="B33" s="560"/>
      <c r="C33" s="554"/>
      <c r="D33" s="544" t="s">
        <v>799</v>
      </c>
      <c r="E33" s="555"/>
      <c r="F33" s="545">
        <f>E33-(E33*Z13)</f>
        <v>0</v>
      </c>
      <c r="G33" s="546"/>
      <c r="H33" s="547">
        <f>IF(D33="Rəsmi gəlir",AA3,IF(D33="Qeyri rəsmi gəlir",AB3))</f>
        <v>7.0000000000000007E-2</v>
      </c>
      <c r="I33" s="547">
        <f>IF(D33="Rəsmi gəlir",AA4,IF(D33="Qeyri rəsmi gəlir",AB4))</f>
        <v>0.12</v>
      </c>
      <c r="J33" s="547">
        <f>IF(D33="Rəsmi gəlir",AA5,IF(D33="Qeyri rəsmi gəlir",AB5))</f>
        <v>0.16</v>
      </c>
      <c r="K33" s="547">
        <f>IF(D33="Rəsmi gəlir",AA6,IF(D33="Qeyri rəsmi gəlir",AB6))</f>
        <v>0.2</v>
      </c>
      <c r="L33" s="547">
        <f>IF(D33="Rəsmi gəlir",AA7,IF(D33="Qeyri rəsmi gəlir",AB7))</f>
        <v>0.23</v>
      </c>
      <c r="M33" s="547">
        <f>IF(D33="Rəsmi gəlir",AA8,IF(D33="Qeyri rəsmi gəlir",AB8))</f>
        <v>0.25600000000000001</v>
      </c>
      <c r="N33" s="547">
        <f>IF(D33="Rəsmi gəlir",AA9,IF(D33="Qeyri rəsmi gəlir",AB9))</f>
        <v>0.28550000000000003</v>
      </c>
      <c r="O33" s="547">
        <f>IF(D33="Rəsmi gəlir",AA10,IF(D33="Qeyri rəsmi gəlir",AB10))</f>
        <v>0</v>
      </c>
      <c r="P33" s="547" t="b">
        <f t="shared" si="0"/>
        <v>0</v>
      </c>
      <c r="Q33" s="548">
        <f t="shared" si="1"/>
        <v>0</v>
      </c>
      <c r="R33" s="543" t="str">
        <f t="shared" si="3"/>
        <v>-</v>
      </c>
      <c r="S33" s="549"/>
      <c r="T33" s="543" t="e">
        <f t="shared" si="4"/>
        <v>#VALUE!</v>
      </c>
      <c r="U33" s="548" t="e">
        <f t="shared" si="2"/>
        <v>#VALUE!</v>
      </c>
      <c r="V33" s="548" t="e">
        <f t="shared" si="5"/>
        <v>#VALUE!</v>
      </c>
      <c r="W33" s="544"/>
      <c r="X33" s="556"/>
    </row>
    <row r="34" spans="1:24">
      <c r="A34" s="552">
        <v>32</v>
      </c>
      <c r="B34" s="560"/>
      <c r="C34" s="554"/>
      <c r="D34" s="544" t="s">
        <v>799</v>
      </c>
      <c r="E34" s="555"/>
      <c r="F34" s="545">
        <f>E34-(E34*Z13)</f>
        <v>0</v>
      </c>
      <c r="G34" s="546"/>
      <c r="H34" s="547">
        <f>IF(D34="Rəsmi gəlir",AA3,IF(D34="Qeyri rəsmi gəlir",AB3))</f>
        <v>7.0000000000000007E-2</v>
      </c>
      <c r="I34" s="547">
        <f>IF(D34="Rəsmi gəlir",AA4,IF(D34="Qeyri rəsmi gəlir",AB4))</f>
        <v>0.12</v>
      </c>
      <c r="J34" s="547">
        <f>IF(D34="Rəsmi gəlir",AA5,IF(D34="Qeyri rəsmi gəlir",AB5))</f>
        <v>0.16</v>
      </c>
      <c r="K34" s="547">
        <f>IF(D34="Rəsmi gəlir",AA6,IF(D34="Qeyri rəsmi gəlir",AB6))</f>
        <v>0.2</v>
      </c>
      <c r="L34" s="547">
        <f>IF(D34="Rəsmi gəlir",AA7,IF(D34="Qeyri rəsmi gəlir",AB7))</f>
        <v>0.23</v>
      </c>
      <c r="M34" s="547">
        <f>IF(D34="Rəsmi gəlir",AA8,IF(D34="Qeyri rəsmi gəlir",AB8))</f>
        <v>0.25600000000000001</v>
      </c>
      <c r="N34" s="547">
        <f>IF(D34="Rəsmi gəlir",AA9,IF(D34="Qeyri rəsmi gəlir",AB9))</f>
        <v>0.28550000000000003</v>
      </c>
      <c r="O34" s="547">
        <f>IF(D34="Rəsmi gəlir",AA10,IF(D34="Qeyri rəsmi gəlir",AB10))</f>
        <v>0</v>
      </c>
      <c r="P34" s="547" t="b">
        <f t="shared" si="0"/>
        <v>0</v>
      </c>
      <c r="Q34" s="548">
        <f t="shared" si="1"/>
        <v>0</v>
      </c>
      <c r="R34" s="543" t="str">
        <f t="shared" si="3"/>
        <v>-</v>
      </c>
      <c r="S34" s="549"/>
      <c r="T34" s="543" t="e">
        <f t="shared" si="4"/>
        <v>#VALUE!</v>
      </c>
      <c r="U34" s="548" t="e">
        <f t="shared" si="2"/>
        <v>#VALUE!</v>
      </c>
      <c r="V34" s="548" t="e">
        <f t="shared" si="5"/>
        <v>#VALUE!</v>
      </c>
      <c r="W34" s="544"/>
      <c r="X34" s="556"/>
    </row>
    <row r="35" spans="1:24">
      <c r="A35" s="552">
        <v>33</v>
      </c>
      <c r="B35" s="560"/>
      <c r="C35" s="554"/>
      <c r="D35" s="544" t="s">
        <v>799</v>
      </c>
      <c r="E35" s="555"/>
      <c r="F35" s="545">
        <f>E35-(E35*Z13)</f>
        <v>0</v>
      </c>
      <c r="G35" s="546"/>
      <c r="H35" s="547">
        <f>IF(D35="Rəsmi gəlir",AA3,IF(D35="Qeyri rəsmi gəlir",AB3))</f>
        <v>7.0000000000000007E-2</v>
      </c>
      <c r="I35" s="547">
        <f>IF(D35="Rəsmi gəlir",AA4,IF(D35="Qeyri rəsmi gəlir",AB4))</f>
        <v>0.12</v>
      </c>
      <c r="J35" s="547">
        <f>IF(D35="Rəsmi gəlir",AA5,IF(D35="Qeyri rəsmi gəlir",AB5))</f>
        <v>0.16</v>
      </c>
      <c r="K35" s="547">
        <f>IF(D35="Rəsmi gəlir",AA6,IF(D35="Qeyri rəsmi gəlir",AB6))</f>
        <v>0.2</v>
      </c>
      <c r="L35" s="547">
        <f>IF(D35="Rəsmi gəlir",AA7,IF(D35="Qeyri rəsmi gəlir",AB7))</f>
        <v>0.23</v>
      </c>
      <c r="M35" s="547">
        <f>IF(D35="Rəsmi gəlir",AA8,IF(D35="Qeyri rəsmi gəlir",AB8))</f>
        <v>0.25600000000000001</v>
      </c>
      <c r="N35" s="547">
        <f>IF(D35="Rəsmi gəlir",AA9,IF(D35="Qeyri rəsmi gəlir",AB9))</f>
        <v>0.28550000000000003</v>
      </c>
      <c r="O35" s="547">
        <f>IF(D35="Rəsmi gəlir",AA10,IF(D35="Qeyri rəsmi gəlir",AB10))</f>
        <v>0</v>
      </c>
      <c r="P35" s="547" t="b">
        <f t="shared" si="0"/>
        <v>0</v>
      </c>
      <c r="Q35" s="548">
        <f t="shared" si="1"/>
        <v>0</v>
      </c>
      <c r="R35" s="543" t="str">
        <f t="shared" si="3"/>
        <v>-</v>
      </c>
      <c r="S35" s="549"/>
      <c r="T35" s="543" t="e">
        <f t="shared" si="4"/>
        <v>#VALUE!</v>
      </c>
      <c r="U35" s="548" t="e">
        <f t="shared" si="2"/>
        <v>#VALUE!</v>
      </c>
      <c r="V35" s="548" t="e">
        <f t="shared" si="5"/>
        <v>#VALUE!</v>
      </c>
      <c r="W35" s="544"/>
      <c r="X35" s="556"/>
    </row>
    <row r="36" spans="1:24">
      <c r="A36" s="552">
        <v>34</v>
      </c>
      <c r="B36" s="560"/>
      <c r="C36" s="554"/>
      <c r="D36" s="544" t="s">
        <v>799</v>
      </c>
      <c r="E36" s="555"/>
      <c r="F36" s="545">
        <f>E36-(E36*Z13)</f>
        <v>0</v>
      </c>
      <c r="G36" s="546"/>
      <c r="H36" s="547">
        <f>IF(D36="Rəsmi gəlir",AA3,IF(D36="Qeyri rəsmi gəlir",AB3))</f>
        <v>7.0000000000000007E-2</v>
      </c>
      <c r="I36" s="547">
        <f>IF(D36="Rəsmi gəlir",AA4,IF(D36="Qeyri rəsmi gəlir",AB4))</f>
        <v>0.12</v>
      </c>
      <c r="J36" s="547">
        <f>IF(D36="Rəsmi gəlir",AA5,IF(D36="Qeyri rəsmi gəlir",AB5))</f>
        <v>0.16</v>
      </c>
      <c r="K36" s="547">
        <f>IF(D36="Rəsmi gəlir",AA6,IF(D36="Qeyri rəsmi gəlir",AB6))</f>
        <v>0.2</v>
      </c>
      <c r="L36" s="547">
        <f>IF(D36="Rəsmi gəlir",AA7,IF(D36="Qeyri rəsmi gəlir",AB7))</f>
        <v>0.23</v>
      </c>
      <c r="M36" s="547">
        <f>IF(D36="Rəsmi gəlir",AA8,IF(D36="Qeyri rəsmi gəlir",AB8))</f>
        <v>0.25600000000000001</v>
      </c>
      <c r="N36" s="547">
        <f>IF(D36="Rəsmi gəlir",AA9,IF(D36="Qeyri rəsmi gəlir",AB9))</f>
        <v>0.28550000000000003</v>
      </c>
      <c r="O36" s="547">
        <f>IF(D36="Rəsmi gəlir",AA10,IF(D36="Qeyri rəsmi gəlir",AB10))</f>
        <v>0</v>
      </c>
      <c r="P36" s="547" t="b">
        <f t="shared" si="0"/>
        <v>0</v>
      </c>
      <c r="Q36" s="548">
        <f t="shared" si="1"/>
        <v>0</v>
      </c>
      <c r="R36" s="543" t="str">
        <f t="shared" si="3"/>
        <v>-</v>
      </c>
      <c r="S36" s="549"/>
      <c r="T36" s="543" t="e">
        <f t="shared" si="4"/>
        <v>#VALUE!</v>
      </c>
      <c r="U36" s="548" t="e">
        <f t="shared" si="2"/>
        <v>#VALUE!</v>
      </c>
      <c r="V36" s="548" t="e">
        <f t="shared" si="5"/>
        <v>#VALUE!</v>
      </c>
      <c r="W36" s="544"/>
      <c r="X36" s="556"/>
    </row>
    <row r="37" spans="1:24">
      <c r="A37" s="552">
        <v>35</v>
      </c>
      <c r="B37" s="560"/>
      <c r="C37" s="554"/>
      <c r="D37" s="544" t="s">
        <v>799</v>
      </c>
      <c r="E37" s="555"/>
      <c r="F37" s="545">
        <f>E37-(E37*Z13)</f>
        <v>0</v>
      </c>
      <c r="G37" s="546"/>
      <c r="H37" s="547">
        <f>IF(D37="Rəsmi gəlir",AA3,IF(D37="Qeyri rəsmi gəlir",AB3))</f>
        <v>7.0000000000000007E-2</v>
      </c>
      <c r="I37" s="547">
        <f>IF(D37="Rəsmi gəlir",AA4,IF(D37="Qeyri rəsmi gəlir",AB4))</f>
        <v>0.12</v>
      </c>
      <c r="J37" s="547">
        <f>IF(D37="Rəsmi gəlir",AA5,IF(D37="Qeyri rəsmi gəlir",AB5))</f>
        <v>0.16</v>
      </c>
      <c r="K37" s="547">
        <f>IF(D37="Rəsmi gəlir",AA6,IF(D37="Qeyri rəsmi gəlir",AB6))</f>
        <v>0.2</v>
      </c>
      <c r="L37" s="547">
        <f>IF(D37="Rəsmi gəlir",AA7,IF(D37="Qeyri rəsmi gəlir",AB7))</f>
        <v>0.23</v>
      </c>
      <c r="M37" s="547">
        <f>IF(D37="Rəsmi gəlir",AA8,IF(D37="Qeyri rəsmi gəlir",AB8))</f>
        <v>0.25600000000000001</v>
      </c>
      <c r="N37" s="547">
        <f>IF(D37="Rəsmi gəlir",AA9,IF(D37="Qeyri rəsmi gəlir",AB9))</f>
        <v>0.28550000000000003</v>
      </c>
      <c r="O37" s="547">
        <f>IF(D37="Rəsmi gəlir",AA10,IF(D37="Qeyri rəsmi gəlir",AB10))</f>
        <v>0</v>
      </c>
      <c r="P37" s="547" t="b">
        <f t="shared" si="0"/>
        <v>0</v>
      </c>
      <c r="Q37" s="548">
        <f t="shared" si="1"/>
        <v>0</v>
      </c>
      <c r="R37" s="543" t="str">
        <f t="shared" si="3"/>
        <v>-</v>
      </c>
      <c r="S37" s="549"/>
      <c r="T37" s="543" t="e">
        <f t="shared" si="4"/>
        <v>#VALUE!</v>
      </c>
      <c r="U37" s="548" t="e">
        <f t="shared" si="2"/>
        <v>#VALUE!</v>
      </c>
      <c r="V37" s="548" t="e">
        <f t="shared" si="5"/>
        <v>#VALUE!</v>
      </c>
      <c r="W37" s="544"/>
      <c r="X37" s="556"/>
    </row>
    <row r="38" spans="1:24">
      <c r="A38" s="552">
        <v>36</v>
      </c>
      <c r="B38" s="560"/>
      <c r="C38" s="554"/>
      <c r="D38" s="544" t="s">
        <v>799</v>
      </c>
      <c r="E38" s="555"/>
      <c r="F38" s="545">
        <f>E38-(E38*Z13)</f>
        <v>0</v>
      </c>
      <c r="G38" s="546"/>
      <c r="H38" s="547">
        <f>IF(D38="Rəsmi gəlir",AA3,IF(D38="Qeyri rəsmi gəlir",AB3))</f>
        <v>7.0000000000000007E-2</v>
      </c>
      <c r="I38" s="547">
        <f>IF(D38="Rəsmi gəlir",AA4,IF(D38="Qeyri rəsmi gəlir",AB4))</f>
        <v>0.12</v>
      </c>
      <c r="J38" s="547">
        <f>IF(D38="Rəsmi gəlir",AA5,IF(D38="Qeyri rəsmi gəlir",AB5))</f>
        <v>0.16</v>
      </c>
      <c r="K38" s="547">
        <f>IF(D38="Rəsmi gəlir",AA6,IF(D38="Qeyri rəsmi gəlir",AB6))</f>
        <v>0.2</v>
      </c>
      <c r="L38" s="547">
        <f>IF(D38="Rəsmi gəlir",AA7,IF(D38="Qeyri rəsmi gəlir",AB7))</f>
        <v>0.23</v>
      </c>
      <c r="M38" s="547">
        <f>IF(D38="Rəsmi gəlir",AA8,IF(D38="Qeyri rəsmi gəlir",AB8))</f>
        <v>0.25600000000000001</v>
      </c>
      <c r="N38" s="547">
        <f>IF(D38="Rəsmi gəlir",AA9,IF(D38="Qeyri rəsmi gəlir",AB9))</f>
        <v>0.28550000000000003</v>
      </c>
      <c r="O38" s="547">
        <f>IF(D38="Rəsmi gəlir",AA10,IF(D38="Qeyri rəsmi gəlir",AB10))</f>
        <v>0</v>
      </c>
      <c r="P38" s="547" t="b">
        <f t="shared" si="0"/>
        <v>0</v>
      </c>
      <c r="Q38" s="548">
        <f t="shared" si="1"/>
        <v>0</v>
      </c>
      <c r="R38" s="543" t="str">
        <f t="shared" si="3"/>
        <v>-</v>
      </c>
      <c r="S38" s="549"/>
      <c r="T38" s="543" t="e">
        <f t="shared" si="4"/>
        <v>#VALUE!</v>
      </c>
      <c r="U38" s="548" t="e">
        <f t="shared" si="2"/>
        <v>#VALUE!</v>
      </c>
      <c r="V38" s="548" t="e">
        <f t="shared" si="5"/>
        <v>#VALUE!</v>
      </c>
      <c r="W38" s="544"/>
      <c r="X38" s="556"/>
    </row>
    <row r="39" spans="1:24">
      <c r="A39" s="552">
        <v>37</v>
      </c>
      <c r="B39" s="560"/>
      <c r="C39" s="554"/>
      <c r="D39" s="544" t="s">
        <v>799</v>
      </c>
      <c r="E39" s="555"/>
      <c r="F39" s="545">
        <f>E39-(E39*Z13)</f>
        <v>0</v>
      </c>
      <c r="G39" s="546"/>
      <c r="H39" s="547">
        <f>IF(D39="Rəsmi gəlir",AA3,IF(D39="Qeyri rəsmi gəlir",AB3))</f>
        <v>7.0000000000000007E-2</v>
      </c>
      <c r="I39" s="547">
        <f>IF(D39="Rəsmi gəlir",AA4,IF(D39="Qeyri rəsmi gəlir",AB4))</f>
        <v>0.12</v>
      </c>
      <c r="J39" s="547">
        <f>IF(D39="Rəsmi gəlir",AA5,IF(D39="Qeyri rəsmi gəlir",AB5))</f>
        <v>0.16</v>
      </c>
      <c r="K39" s="547">
        <f>IF(D39="Rəsmi gəlir",AA6,IF(D39="Qeyri rəsmi gəlir",AB6))</f>
        <v>0.2</v>
      </c>
      <c r="L39" s="547">
        <f>IF(D39="Rəsmi gəlir",AA7,IF(D39="Qeyri rəsmi gəlir",AB7))</f>
        <v>0.23</v>
      </c>
      <c r="M39" s="547">
        <f>IF(D39="Rəsmi gəlir",AA8,IF(D39="Qeyri rəsmi gəlir",AB8))</f>
        <v>0.25600000000000001</v>
      </c>
      <c r="N39" s="547">
        <f>IF(D39="Rəsmi gəlir",AA9,IF(D39="Qeyri rəsmi gəlir",AB9))</f>
        <v>0.28550000000000003</v>
      </c>
      <c r="O39" s="547">
        <f>IF(D39="Rəsmi gəlir",AA10,IF(D39="Qeyri rəsmi gəlir",AB10))</f>
        <v>0</v>
      </c>
      <c r="P39" s="547" t="b">
        <f t="shared" si="0"/>
        <v>0</v>
      </c>
      <c r="Q39" s="548">
        <f t="shared" si="1"/>
        <v>0</v>
      </c>
      <c r="R39" s="543" t="str">
        <f t="shared" si="3"/>
        <v>-</v>
      </c>
      <c r="S39" s="549"/>
      <c r="T39" s="543" t="e">
        <f t="shared" si="4"/>
        <v>#VALUE!</v>
      </c>
      <c r="U39" s="548" t="e">
        <f t="shared" si="2"/>
        <v>#VALUE!</v>
      </c>
      <c r="V39" s="548" t="e">
        <f t="shared" si="5"/>
        <v>#VALUE!</v>
      </c>
      <c r="W39" s="544"/>
      <c r="X39" s="556"/>
    </row>
    <row r="40" spans="1:24">
      <c r="A40" s="552">
        <v>38</v>
      </c>
      <c r="B40" s="560"/>
      <c r="C40" s="554"/>
      <c r="D40" s="544" t="s">
        <v>799</v>
      </c>
      <c r="E40" s="555"/>
      <c r="F40" s="545">
        <f>E40-(E40*Z13)</f>
        <v>0</v>
      </c>
      <c r="G40" s="546"/>
      <c r="H40" s="547">
        <f>IF(D40="Rəsmi gəlir",AA3,IF(D40="Qeyri rəsmi gəlir",AB3))</f>
        <v>7.0000000000000007E-2</v>
      </c>
      <c r="I40" s="547">
        <f>IF(D40="Rəsmi gəlir",AA4,IF(D40="Qeyri rəsmi gəlir",AB4))</f>
        <v>0.12</v>
      </c>
      <c r="J40" s="547">
        <f>IF(D40="Rəsmi gəlir",AA5,IF(D40="Qeyri rəsmi gəlir",AB5))</f>
        <v>0.16</v>
      </c>
      <c r="K40" s="547">
        <f>IF(D40="Rəsmi gəlir",AA6,IF(D40="Qeyri rəsmi gəlir",AB6))</f>
        <v>0.2</v>
      </c>
      <c r="L40" s="547">
        <f>IF(D40="Rəsmi gəlir",AA7,IF(D40="Qeyri rəsmi gəlir",AB7))</f>
        <v>0.23</v>
      </c>
      <c r="M40" s="547">
        <f>IF(D40="Rəsmi gəlir",AA8,IF(D40="Qeyri rəsmi gəlir",AB8))</f>
        <v>0.25600000000000001</v>
      </c>
      <c r="N40" s="547">
        <f>IF(D40="Rəsmi gəlir",AA9,IF(D40="Qeyri rəsmi gəlir",AB9))</f>
        <v>0.28550000000000003</v>
      </c>
      <c r="O40" s="547">
        <f>IF(D40="Rəsmi gəlir",AA10,IF(D40="Qeyri rəsmi gəlir",AB10))</f>
        <v>0</v>
      </c>
      <c r="P40" s="547" t="b">
        <f t="shared" si="0"/>
        <v>0</v>
      </c>
      <c r="Q40" s="548">
        <f t="shared" si="1"/>
        <v>0</v>
      </c>
      <c r="R40" s="543" t="str">
        <f t="shared" si="3"/>
        <v>-</v>
      </c>
      <c r="S40" s="549"/>
      <c r="T40" s="543" t="e">
        <f t="shared" si="4"/>
        <v>#VALUE!</v>
      </c>
      <c r="U40" s="548" t="e">
        <f t="shared" si="2"/>
        <v>#VALUE!</v>
      </c>
      <c r="V40" s="548" t="e">
        <f t="shared" si="5"/>
        <v>#VALUE!</v>
      </c>
      <c r="W40" s="544"/>
      <c r="X40" s="556"/>
    </row>
    <row r="41" spans="1:24">
      <c r="A41" s="552">
        <v>39</v>
      </c>
      <c r="B41" s="560"/>
      <c r="C41" s="554"/>
      <c r="D41" s="544" t="s">
        <v>799</v>
      </c>
      <c r="E41" s="555"/>
      <c r="F41" s="545">
        <f>E41-(E41*Z13)</f>
        <v>0</v>
      </c>
      <c r="G41" s="546"/>
      <c r="H41" s="547">
        <f>IF(D41="Rəsmi gəlir",AA3,IF(D41="Qeyri rəsmi gəlir",AB3))</f>
        <v>7.0000000000000007E-2</v>
      </c>
      <c r="I41" s="547">
        <f>IF(D41="Rəsmi gəlir",AA4,IF(D41="Qeyri rəsmi gəlir",AB4))</f>
        <v>0.12</v>
      </c>
      <c r="J41" s="547">
        <f>IF(D41="Rəsmi gəlir",AA5,IF(D41="Qeyri rəsmi gəlir",AB5))</f>
        <v>0.16</v>
      </c>
      <c r="K41" s="547">
        <f>IF(D41="Rəsmi gəlir",AA6,IF(D41="Qeyri rəsmi gəlir",AB6))</f>
        <v>0.2</v>
      </c>
      <c r="L41" s="547">
        <f>IF(D41="Rəsmi gəlir",AA7,IF(D41="Qeyri rəsmi gəlir",AB7))</f>
        <v>0.23</v>
      </c>
      <c r="M41" s="547">
        <f>IF(D41="Rəsmi gəlir",AA8,IF(D41="Qeyri rəsmi gəlir",AB8))</f>
        <v>0.25600000000000001</v>
      </c>
      <c r="N41" s="547">
        <f>IF(D41="Rəsmi gəlir",AA9,IF(D41="Qeyri rəsmi gəlir",AB9))</f>
        <v>0.28550000000000003</v>
      </c>
      <c r="O41" s="547">
        <f>IF(D41="Rəsmi gəlir",AA10,IF(D41="Qeyri rəsmi gəlir",AB10))</f>
        <v>0</v>
      </c>
      <c r="P41" s="547" t="b">
        <f t="shared" si="0"/>
        <v>0</v>
      </c>
      <c r="Q41" s="548">
        <f t="shared" si="1"/>
        <v>0</v>
      </c>
      <c r="R41" s="543" t="str">
        <f t="shared" si="3"/>
        <v>-</v>
      </c>
      <c r="S41" s="549"/>
      <c r="T41" s="543" t="e">
        <f t="shared" si="4"/>
        <v>#VALUE!</v>
      </c>
      <c r="U41" s="548" t="e">
        <f t="shared" si="2"/>
        <v>#VALUE!</v>
      </c>
      <c r="V41" s="548" t="e">
        <f t="shared" si="5"/>
        <v>#VALUE!</v>
      </c>
      <c r="W41" s="544"/>
      <c r="X41" s="556"/>
    </row>
    <row r="42" spans="1:24">
      <c r="A42" s="552">
        <v>40</v>
      </c>
      <c r="B42" s="560"/>
      <c r="C42" s="554"/>
      <c r="D42" s="544" t="s">
        <v>799</v>
      </c>
      <c r="E42" s="555"/>
      <c r="F42" s="545">
        <f>E42-(E42*Z13)</f>
        <v>0</v>
      </c>
      <c r="G42" s="546"/>
      <c r="H42" s="547">
        <f>IF(D42="Rəsmi gəlir",AA3,IF(D42="Qeyri rəsmi gəlir",AB3))</f>
        <v>7.0000000000000007E-2</v>
      </c>
      <c r="I42" s="547">
        <f>IF(D42="Rəsmi gəlir",AA4,IF(D42="Qeyri rəsmi gəlir",AB4))</f>
        <v>0.12</v>
      </c>
      <c r="J42" s="547">
        <f>IF(D42="Rəsmi gəlir",AA5,IF(D42="Qeyri rəsmi gəlir",AB5))</f>
        <v>0.16</v>
      </c>
      <c r="K42" s="547">
        <f>IF(D42="Rəsmi gəlir",AA6,IF(D42="Qeyri rəsmi gəlir",AB6))</f>
        <v>0.2</v>
      </c>
      <c r="L42" s="547">
        <f>IF(D42="Rəsmi gəlir",AA7,IF(D42="Qeyri rəsmi gəlir",AB7))</f>
        <v>0.23</v>
      </c>
      <c r="M42" s="547">
        <f>IF(D42="Rəsmi gəlir",AA8,IF(D42="Qeyri rəsmi gəlir",AB8))</f>
        <v>0.25600000000000001</v>
      </c>
      <c r="N42" s="547">
        <f>IF(D42="Rəsmi gəlir",AA9,IF(D42="Qeyri rəsmi gəlir",AB9))</f>
        <v>0.28550000000000003</v>
      </c>
      <c r="O42" s="547">
        <f>IF(D42="Rəsmi gəlir",AA10,IF(D42="Qeyri rəsmi gəlir",AB10))</f>
        <v>0</v>
      </c>
      <c r="P42" s="547" t="b">
        <f t="shared" si="0"/>
        <v>0</v>
      </c>
      <c r="Q42" s="548">
        <f t="shared" si="1"/>
        <v>0</v>
      </c>
      <c r="R42" s="543" t="str">
        <f t="shared" si="3"/>
        <v>-</v>
      </c>
      <c r="S42" s="549"/>
      <c r="T42" s="543" t="e">
        <f t="shared" si="4"/>
        <v>#VALUE!</v>
      </c>
      <c r="U42" s="548" t="e">
        <f t="shared" si="2"/>
        <v>#VALUE!</v>
      </c>
      <c r="V42" s="548" t="e">
        <f t="shared" si="5"/>
        <v>#VALUE!</v>
      </c>
      <c r="W42" s="544"/>
      <c r="X42" s="556"/>
    </row>
    <row r="43" spans="1:24">
      <c r="A43" s="552">
        <v>41</v>
      </c>
      <c r="B43" s="560"/>
      <c r="C43" s="554"/>
      <c r="D43" s="544" t="s">
        <v>799</v>
      </c>
      <c r="E43" s="555"/>
      <c r="F43" s="545">
        <f>E43-(E43*Z13)</f>
        <v>0</v>
      </c>
      <c r="G43" s="546"/>
      <c r="H43" s="547">
        <f>IF(D43="Rəsmi gəlir",AA3,IF(D43="Qeyri rəsmi gəlir",AB3))</f>
        <v>7.0000000000000007E-2</v>
      </c>
      <c r="I43" s="547">
        <f>IF(D43="Rəsmi gəlir",AA4,IF(D43="Qeyri rəsmi gəlir",AB4))</f>
        <v>0.12</v>
      </c>
      <c r="J43" s="547">
        <f>IF(D43="Rəsmi gəlir",AA5,IF(D43="Qeyri rəsmi gəlir",AB5))</f>
        <v>0.16</v>
      </c>
      <c r="K43" s="547">
        <f>IF(D43="Rəsmi gəlir",AA6,IF(D43="Qeyri rəsmi gəlir",AB6))</f>
        <v>0.2</v>
      </c>
      <c r="L43" s="547">
        <f>IF(D43="Rəsmi gəlir",AA7,IF(D43="Qeyri rəsmi gəlir",AB7))</f>
        <v>0.23</v>
      </c>
      <c r="M43" s="547">
        <f>IF(D43="Rəsmi gəlir",AA8,IF(D43="Qeyri rəsmi gəlir",AB8))</f>
        <v>0.25600000000000001</v>
      </c>
      <c r="N43" s="547">
        <f>IF(D43="Rəsmi gəlir",AA9,IF(D43="Qeyri rəsmi gəlir",AB9))</f>
        <v>0.28550000000000003</v>
      </c>
      <c r="O43" s="547">
        <f>IF(D43="Rəsmi gəlir",AA10,IF(D43="Qeyri rəsmi gəlir",AB10))</f>
        <v>0</v>
      </c>
      <c r="P43" s="547" t="b">
        <f t="shared" si="0"/>
        <v>0</v>
      </c>
      <c r="Q43" s="548">
        <f t="shared" si="1"/>
        <v>0</v>
      </c>
      <c r="R43" s="543" t="str">
        <f t="shared" si="3"/>
        <v>-</v>
      </c>
      <c r="S43" s="549"/>
      <c r="T43" s="543" t="e">
        <f t="shared" si="4"/>
        <v>#VALUE!</v>
      </c>
      <c r="U43" s="548" t="e">
        <f t="shared" si="2"/>
        <v>#VALUE!</v>
      </c>
      <c r="V43" s="548" t="e">
        <f t="shared" si="5"/>
        <v>#VALUE!</v>
      </c>
      <c r="W43" s="544"/>
      <c r="X43" s="556"/>
    </row>
    <row r="44" spans="1:24">
      <c r="A44" s="552">
        <v>42</v>
      </c>
      <c r="B44" s="560"/>
      <c r="C44" s="554"/>
      <c r="D44" s="544" t="s">
        <v>799</v>
      </c>
      <c r="E44" s="555"/>
      <c r="F44" s="545">
        <f>E44-(E44*Z13)</f>
        <v>0</v>
      </c>
      <c r="G44" s="546"/>
      <c r="H44" s="547">
        <f>IF(D44="Rəsmi gəlir",AA3,IF(D44="Qeyri rəsmi gəlir",AB3))</f>
        <v>7.0000000000000007E-2</v>
      </c>
      <c r="I44" s="547">
        <f>IF(D44="Rəsmi gəlir",AA4,IF(D44="Qeyri rəsmi gəlir",AB4))</f>
        <v>0.12</v>
      </c>
      <c r="J44" s="547">
        <f>IF(D44="Rəsmi gəlir",AA5,IF(D44="Qeyri rəsmi gəlir",AB5))</f>
        <v>0.16</v>
      </c>
      <c r="K44" s="547">
        <f>IF(D44="Rəsmi gəlir",AA6,IF(D44="Qeyri rəsmi gəlir",AB6))</f>
        <v>0.2</v>
      </c>
      <c r="L44" s="547">
        <f>IF(D44="Rəsmi gəlir",AA7,IF(D44="Qeyri rəsmi gəlir",AB7))</f>
        <v>0.23</v>
      </c>
      <c r="M44" s="547">
        <f>IF(D44="Rəsmi gəlir",AA8,IF(D44="Qeyri rəsmi gəlir",AB8))</f>
        <v>0.25600000000000001</v>
      </c>
      <c r="N44" s="547">
        <f>IF(D44="Rəsmi gəlir",AA9,IF(D44="Qeyri rəsmi gəlir",AB9))</f>
        <v>0.28550000000000003</v>
      </c>
      <c r="O44" s="547">
        <f>IF(D44="Rəsmi gəlir",AA10,IF(D44="Qeyri rəsmi gəlir",AB10))</f>
        <v>0</v>
      </c>
      <c r="P44" s="547" t="b">
        <f t="shared" si="0"/>
        <v>0</v>
      </c>
      <c r="Q44" s="548">
        <f t="shared" si="1"/>
        <v>0</v>
      </c>
      <c r="R44" s="543" t="str">
        <f t="shared" si="3"/>
        <v>-</v>
      </c>
      <c r="S44" s="549"/>
      <c r="T44" s="543" t="e">
        <f t="shared" si="4"/>
        <v>#VALUE!</v>
      </c>
      <c r="U44" s="548" t="e">
        <f t="shared" si="2"/>
        <v>#VALUE!</v>
      </c>
      <c r="V44" s="548" t="e">
        <f t="shared" si="5"/>
        <v>#VALUE!</v>
      </c>
      <c r="W44" s="544"/>
      <c r="X44" s="556"/>
    </row>
    <row r="45" spans="1:24">
      <c r="A45" s="552">
        <v>43</v>
      </c>
      <c r="B45" s="560"/>
      <c r="C45" s="554"/>
      <c r="D45" s="544" t="s">
        <v>799</v>
      </c>
      <c r="E45" s="555"/>
      <c r="F45" s="545">
        <f>E45-(E45*Z13)</f>
        <v>0</v>
      </c>
      <c r="G45" s="546"/>
      <c r="H45" s="547">
        <f>IF(D45="Rəsmi gəlir",AA3,IF(D45="Qeyri rəsmi gəlir",AB3))</f>
        <v>7.0000000000000007E-2</v>
      </c>
      <c r="I45" s="547">
        <f>IF(D45="Rəsmi gəlir",AA4,IF(D45="Qeyri rəsmi gəlir",AB4))</f>
        <v>0.12</v>
      </c>
      <c r="J45" s="547">
        <f>IF(D45="Rəsmi gəlir",AA5,IF(D45="Qeyri rəsmi gəlir",AB5))</f>
        <v>0.16</v>
      </c>
      <c r="K45" s="547">
        <f>IF(D45="Rəsmi gəlir",AA6,IF(D45="Qeyri rəsmi gəlir",AB6))</f>
        <v>0.2</v>
      </c>
      <c r="L45" s="547">
        <f>IF(D45="Rəsmi gəlir",AA7,IF(D45="Qeyri rəsmi gəlir",AB7))</f>
        <v>0.23</v>
      </c>
      <c r="M45" s="547">
        <f>IF(D45="Rəsmi gəlir",AA8,IF(D45="Qeyri rəsmi gəlir",AB8))</f>
        <v>0.25600000000000001</v>
      </c>
      <c r="N45" s="547">
        <f>IF(D45="Rəsmi gəlir",AA9,IF(D45="Qeyri rəsmi gəlir",AB9))</f>
        <v>0.28550000000000003</v>
      </c>
      <c r="O45" s="547">
        <f>IF(D45="Rəsmi gəlir",AA10,IF(D45="Qeyri rəsmi gəlir",AB10))</f>
        <v>0</v>
      </c>
      <c r="P45" s="547" t="b">
        <f t="shared" si="0"/>
        <v>0</v>
      </c>
      <c r="Q45" s="548">
        <f t="shared" si="1"/>
        <v>0</v>
      </c>
      <c r="R45" s="543" t="str">
        <f t="shared" si="3"/>
        <v>-</v>
      </c>
      <c r="S45" s="549"/>
      <c r="T45" s="543" t="e">
        <f t="shared" si="4"/>
        <v>#VALUE!</v>
      </c>
      <c r="U45" s="548" t="e">
        <f t="shared" si="2"/>
        <v>#VALUE!</v>
      </c>
      <c r="V45" s="548" t="e">
        <f t="shared" si="5"/>
        <v>#VALUE!</v>
      </c>
      <c r="W45" s="544"/>
      <c r="X45" s="556"/>
    </row>
    <row r="46" spans="1:24">
      <c r="A46" s="552">
        <v>44</v>
      </c>
      <c r="B46" s="560"/>
      <c r="C46" s="554"/>
      <c r="D46" s="544" t="s">
        <v>799</v>
      </c>
      <c r="E46" s="555"/>
      <c r="F46" s="545">
        <f>E46-(E46*Z13)</f>
        <v>0</v>
      </c>
      <c r="G46" s="546"/>
      <c r="H46" s="547">
        <f>IF(D46="Rəsmi gəlir",AA3,IF(D46="Qeyri rəsmi gəlir",AB3))</f>
        <v>7.0000000000000007E-2</v>
      </c>
      <c r="I46" s="547">
        <f>IF(D46="Rəsmi gəlir",AA4,IF(D46="Qeyri rəsmi gəlir",AB4))</f>
        <v>0.12</v>
      </c>
      <c r="J46" s="547">
        <f>IF(D46="Rəsmi gəlir",AA5,IF(D46="Qeyri rəsmi gəlir",AB5))</f>
        <v>0.16</v>
      </c>
      <c r="K46" s="547">
        <f>IF(D46="Rəsmi gəlir",AA6,IF(D46="Qeyri rəsmi gəlir",AB6))</f>
        <v>0.2</v>
      </c>
      <c r="L46" s="547">
        <f>IF(D46="Rəsmi gəlir",AA7,IF(D46="Qeyri rəsmi gəlir",AB7))</f>
        <v>0.23</v>
      </c>
      <c r="M46" s="547">
        <f>IF(D46="Rəsmi gəlir",AA8,IF(D46="Qeyri rəsmi gəlir",AB8))</f>
        <v>0.25600000000000001</v>
      </c>
      <c r="N46" s="547">
        <f>IF(D46="Rəsmi gəlir",AA9,IF(D46="Qeyri rəsmi gəlir",AB9))</f>
        <v>0.28550000000000003</v>
      </c>
      <c r="O46" s="547">
        <f>IF(D46="Rəsmi gəlir",AA10,IF(D46="Qeyri rəsmi gəlir",AB10))</f>
        <v>0</v>
      </c>
      <c r="P46" s="547" t="b">
        <f t="shared" si="0"/>
        <v>0</v>
      </c>
      <c r="Q46" s="548">
        <f t="shared" si="1"/>
        <v>0</v>
      </c>
      <c r="R46" s="543" t="str">
        <f t="shared" si="3"/>
        <v>-</v>
      </c>
      <c r="S46" s="549"/>
      <c r="T46" s="543" t="e">
        <f t="shared" si="4"/>
        <v>#VALUE!</v>
      </c>
      <c r="U46" s="548" t="e">
        <f t="shared" si="2"/>
        <v>#VALUE!</v>
      </c>
      <c r="V46" s="548" t="e">
        <f t="shared" si="5"/>
        <v>#VALUE!</v>
      </c>
      <c r="W46" s="544"/>
      <c r="X46" s="556"/>
    </row>
    <row r="47" spans="1:24">
      <c r="A47" s="552">
        <v>45</v>
      </c>
      <c r="B47" s="560"/>
      <c r="C47" s="554"/>
      <c r="D47" s="544" t="s">
        <v>799</v>
      </c>
      <c r="E47" s="555"/>
      <c r="F47" s="545">
        <f>E47-(E47*Z13)</f>
        <v>0</v>
      </c>
      <c r="G47" s="546"/>
      <c r="H47" s="547">
        <f>IF(D47="Rəsmi gəlir",AA3,IF(D47="Qeyri rəsmi gəlir",AB3))</f>
        <v>7.0000000000000007E-2</v>
      </c>
      <c r="I47" s="547">
        <f>IF(D47="Rəsmi gəlir",AA4,IF(D47="Qeyri rəsmi gəlir",AB4))</f>
        <v>0.12</v>
      </c>
      <c r="J47" s="547">
        <f>IF(D47="Rəsmi gəlir",AA5,IF(D47="Qeyri rəsmi gəlir",AB5))</f>
        <v>0.16</v>
      </c>
      <c r="K47" s="547">
        <f>IF(D47="Rəsmi gəlir",AA6,IF(D47="Qeyri rəsmi gəlir",AB6))</f>
        <v>0.2</v>
      </c>
      <c r="L47" s="547">
        <f>IF(D47="Rəsmi gəlir",AA7,IF(D47="Qeyri rəsmi gəlir",AB7))</f>
        <v>0.23</v>
      </c>
      <c r="M47" s="547">
        <f>IF(D47="Rəsmi gəlir",AA8,IF(D47="Qeyri rəsmi gəlir",AB8))</f>
        <v>0.25600000000000001</v>
      </c>
      <c r="N47" s="547">
        <f>IF(D47="Rəsmi gəlir",AA9,IF(D47="Qeyri rəsmi gəlir",AB9))</f>
        <v>0.28550000000000003</v>
      </c>
      <c r="O47" s="547">
        <f>IF(D47="Rəsmi gəlir",AA10,IF(D47="Qeyri rəsmi gəlir",AB10))</f>
        <v>0</v>
      </c>
      <c r="P47" s="547" t="b">
        <f t="shared" si="0"/>
        <v>0</v>
      </c>
      <c r="Q47" s="548">
        <f t="shared" si="1"/>
        <v>0</v>
      </c>
      <c r="R47" s="543" t="str">
        <f t="shared" si="3"/>
        <v>-</v>
      </c>
      <c r="S47" s="549"/>
      <c r="T47" s="543" t="e">
        <f t="shared" si="4"/>
        <v>#VALUE!</v>
      </c>
      <c r="U47" s="548" t="e">
        <f t="shared" si="2"/>
        <v>#VALUE!</v>
      </c>
      <c r="V47" s="548" t="e">
        <f t="shared" si="5"/>
        <v>#VALUE!</v>
      </c>
      <c r="W47" s="544"/>
      <c r="X47" s="556"/>
    </row>
    <row r="48" spans="1:24">
      <c r="A48" s="552">
        <v>46</v>
      </c>
      <c r="B48" s="560"/>
      <c r="C48" s="554"/>
      <c r="D48" s="544" t="s">
        <v>799</v>
      </c>
      <c r="E48" s="555"/>
      <c r="F48" s="545">
        <f>E48-(E48*Z13)</f>
        <v>0</v>
      </c>
      <c r="G48" s="546"/>
      <c r="H48" s="547">
        <f>IF(D48="Rəsmi gəlir",AA3,IF(D48="Qeyri rəsmi gəlir",AB3))</f>
        <v>7.0000000000000007E-2</v>
      </c>
      <c r="I48" s="547">
        <f>IF(D48="Rəsmi gəlir",AA4,IF(D48="Qeyri rəsmi gəlir",AB4))</f>
        <v>0.12</v>
      </c>
      <c r="J48" s="547">
        <f>IF(D48="Rəsmi gəlir",AA5,IF(D48="Qeyri rəsmi gəlir",AB5))</f>
        <v>0.16</v>
      </c>
      <c r="K48" s="547">
        <f>IF(D48="Rəsmi gəlir",AA6,IF(D48="Qeyri rəsmi gəlir",AB6))</f>
        <v>0.2</v>
      </c>
      <c r="L48" s="547">
        <f>IF(D48="Rəsmi gəlir",AA7,IF(D48="Qeyri rəsmi gəlir",AB7))</f>
        <v>0.23</v>
      </c>
      <c r="M48" s="547">
        <f>IF(D48="Rəsmi gəlir",AA8,IF(D48="Qeyri rəsmi gəlir",AB8))</f>
        <v>0.25600000000000001</v>
      </c>
      <c r="N48" s="547">
        <f>IF(D48="Rəsmi gəlir",AA9,IF(D48="Qeyri rəsmi gəlir",AB9))</f>
        <v>0.28550000000000003</v>
      </c>
      <c r="O48" s="547">
        <f>IF(D48="Rəsmi gəlir",AA10,IF(D48="Qeyri rəsmi gəlir",AB10))</f>
        <v>0</v>
      </c>
      <c r="P48" s="547" t="b">
        <f t="shared" si="0"/>
        <v>0</v>
      </c>
      <c r="Q48" s="548">
        <f t="shared" si="1"/>
        <v>0</v>
      </c>
      <c r="R48" s="543" t="str">
        <f t="shared" si="3"/>
        <v>-</v>
      </c>
      <c r="S48" s="549"/>
      <c r="T48" s="543" t="e">
        <f t="shared" si="4"/>
        <v>#VALUE!</v>
      </c>
      <c r="U48" s="548" t="e">
        <f t="shared" si="2"/>
        <v>#VALUE!</v>
      </c>
      <c r="V48" s="548" t="e">
        <f t="shared" si="5"/>
        <v>#VALUE!</v>
      </c>
      <c r="W48" s="544"/>
      <c r="X48" s="556"/>
    </row>
    <row r="49" spans="1:24">
      <c r="A49" s="552">
        <v>47</v>
      </c>
      <c r="B49" s="560"/>
      <c r="C49" s="554"/>
      <c r="D49" s="544" t="s">
        <v>799</v>
      </c>
      <c r="E49" s="555"/>
      <c r="F49" s="545">
        <f>E49-(E49*Z13)</f>
        <v>0</v>
      </c>
      <c r="G49" s="546"/>
      <c r="H49" s="547">
        <f>IF(D49="Rəsmi gəlir",AA3,IF(D49="Qeyri rəsmi gəlir",AB3))</f>
        <v>7.0000000000000007E-2</v>
      </c>
      <c r="I49" s="547">
        <f>IF(D49="Rəsmi gəlir",AA4,IF(D49="Qeyri rəsmi gəlir",AB4))</f>
        <v>0.12</v>
      </c>
      <c r="J49" s="547">
        <f>IF(D49="Rəsmi gəlir",AA5,IF(D49="Qeyri rəsmi gəlir",AB5))</f>
        <v>0.16</v>
      </c>
      <c r="K49" s="547">
        <f>IF(D49="Rəsmi gəlir",AA6,IF(D49="Qeyri rəsmi gəlir",AB6))</f>
        <v>0.2</v>
      </c>
      <c r="L49" s="547">
        <f>IF(D49="Rəsmi gəlir",AA7,IF(D49="Qeyri rəsmi gəlir",AB7))</f>
        <v>0.23</v>
      </c>
      <c r="M49" s="547">
        <f>IF(D49="Rəsmi gəlir",AA8,IF(D49="Qeyri rəsmi gəlir",AB8))</f>
        <v>0.25600000000000001</v>
      </c>
      <c r="N49" s="547">
        <f>IF(D49="Rəsmi gəlir",AA9,IF(D49="Qeyri rəsmi gəlir",AB9))</f>
        <v>0.28550000000000003</v>
      </c>
      <c r="O49" s="547">
        <f>IF(D49="Rəsmi gəlir",AA10,IF(D49="Qeyri rəsmi gəlir",AB10))</f>
        <v>0</v>
      </c>
      <c r="P49" s="547" t="b">
        <f t="shared" si="0"/>
        <v>0</v>
      </c>
      <c r="Q49" s="548">
        <f t="shared" si="1"/>
        <v>0</v>
      </c>
      <c r="R49" s="543" t="str">
        <f t="shared" si="3"/>
        <v>-</v>
      </c>
      <c r="S49" s="549"/>
      <c r="T49" s="543" t="e">
        <f t="shared" si="4"/>
        <v>#VALUE!</v>
      </c>
      <c r="U49" s="548" t="e">
        <f t="shared" si="2"/>
        <v>#VALUE!</v>
      </c>
      <c r="V49" s="548" t="e">
        <f t="shared" si="5"/>
        <v>#VALUE!</v>
      </c>
      <c r="W49" s="544"/>
      <c r="X49" s="556"/>
    </row>
    <row r="50" spans="1:24">
      <c r="A50" s="552">
        <v>48</v>
      </c>
      <c r="B50" s="560"/>
      <c r="C50" s="554"/>
      <c r="D50" s="544" t="s">
        <v>799</v>
      </c>
      <c r="E50" s="555"/>
      <c r="F50" s="545">
        <f>E50-(E50*Z13)</f>
        <v>0</v>
      </c>
      <c r="G50" s="546"/>
      <c r="H50" s="547">
        <f>IF(D50="Rəsmi gəlir",AA3,IF(D50="Qeyri rəsmi gəlir",AB3))</f>
        <v>7.0000000000000007E-2</v>
      </c>
      <c r="I50" s="547">
        <f>IF(D50="Rəsmi gəlir",AA4,IF(D50="Qeyri rəsmi gəlir",AB4))</f>
        <v>0.12</v>
      </c>
      <c r="J50" s="547">
        <f>IF(D50="Rəsmi gəlir",AA5,IF(D50="Qeyri rəsmi gəlir",AB5))</f>
        <v>0.16</v>
      </c>
      <c r="K50" s="547">
        <f>IF(D50="Rəsmi gəlir",AA6,IF(D50="Qeyri rəsmi gəlir",AB6))</f>
        <v>0.2</v>
      </c>
      <c r="L50" s="547">
        <f>IF(D50="Rəsmi gəlir",AA7,IF(D50="Qeyri rəsmi gəlir",AB7))</f>
        <v>0.23</v>
      </c>
      <c r="M50" s="547">
        <f>IF(D50="Rəsmi gəlir",AA8,IF(D50="Qeyri rəsmi gəlir",AB8))</f>
        <v>0.25600000000000001</v>
      </c>
      <c r="N50" s="547">
        <f>IF(D50="Rəsmi gəlir",AA9,IF(D50="Qeyri rəsmi gəlir",AB9))</f>
        <v>0.28550000000000003</v>
      </c>
      <c r="O50" s="547">
        <f>IF(D50="Rəsmi gəlir",AA10,IF(D50="Qeyri rəsmi gəlir",AB10))</f>
        <v>0</v>
      </c>
      <c r="P50" s="547" t="b">
        <f t="shared" si="0"/>
        <v>0</v>
      </c>
      <c r="Q50" s="548">
        <f t="shared" si="1"/>
        <v>0</v>
      </c>
      <c r="R50" s="543" t="str">
        <f t="shared" si="3"/>
        <v>-</v>
      </c>
      <c r="S50" s="549"/>
      <c r="T50" s="543" t="e">
        <f t="shared" si="4"/>
        <v>#VALUE!</v>
      </c>
      <c r="U50" s="548" t="e">
        <f t="shared" si="2"/>
        <v>#VALUE!</v>
      </c>
      <c r="V50" s="548" t="e">
        <f t="shared" si="5"/>
        <v>#VALUE!</v>
      </c>
      <c r="W50" s="544"/>
      <c r="X50" s="556"/>
    </row>
    <row r="51" spans="1:24">
      <c r="A51" s="552">
        <v>49</v>
      </c>
      <c r="B51" s="560"/>
      <c r="C51" s="554"/>
      <c r="D51" s="544" t="s">
        <v>799</v>
      </c>
      <c r="E51" s="555"/>
      <c r="F51" s="545">
        <f>E51-(E51*Z13)</f>
        <v>0</v>
      </c>
      <c r="G51" s="546"/>
      <c r="H51" s="547">
        <f>IF(D51="Rəsmi gəlir",AA3,IF(D51="Qeyri rəsmi gəlir",AB3))</f>
        <v>7.0000000000000007E-2</v>
      </c>
      <c r="I51" s="547">
        <f>IF(D51="Rəsmi gəlir",AA4,IF(D51="Qeyri rəsmi gəlir",AB4))</f>
        <v>0.12</v>
      </c>
      <c r="J51" s="547">
        <f>IF(D51="Rəsmi gəlir",AA5,IF(D51="Qeyri rəsmi gəlir",AB5))</f>
        <v>0.16</v>
      </c>
      <c r="K51" s="547">
        <f>IF(D51="Rəsmi gəlir",AA6,IF(D51="Qeyri rəsmi gəlir",AB6))</f>
        <v>0.2</v>
      </c>
      <c r="L51" s="547">
        <f>IF(D51="Rəsmi gəlir",AA7,IF(D51="Qeyri rəsmi gəlir",AB7))</f>
        <v>0.23</v>
      </c>
      <c r="M51" s="547">
        <f>IF(D51="Rəsmi gəlir",AA8,IF(D51="Qeyri rəsmi gəlir",AB8))</f>
        <v>0.25600000000000001</v>
      </c>
      <c r="N51" s="547">
        <f>IF(D51="Rəsmi gəlir",AA9,IF(D51="Qeyri rəsmi gəlir",AB9))</f>
        <v>0.28550000000000003</v>
      </c>
      <c r="O51" s="547">
        <f>IF(D51="Rəsmi gəlir",AA10,IF(D51="Qeyri rəsmi gəlir",AB10))</f>
        <v>0</v>
      </c>
      <c r="P51" s="547" t="b">
        <f t="shared" si="0"/>
        <v>0</v>
      </c>
      <c r="Q51" s="548">
        <f t="shared" si="1"/>
        <v>0</v>
      </c>
      <c r="R51" s="543" t="str">
        <f t="shared" si="3"/>
        <v>-</v>
      </c>
      <c r="S51" s="549"/>
      <c r="T51" s="543" t="e">
        <f t="shared" si="4"/>
        <v>#VALUE!</v>
      </c>
      <c r="U51" s="548" t="e">
        <f t="shared" si="2"/>
        <v>#VALUE!</v>
      </c>
      <c r="V51" s="548" t="e">
        <f t="shared" si="5"/>
        <v>#VALUE!</v>
      </c>
      <c r="W51" s="544"/>
      <c r="X51" s="556"/>
    </row>
    <row r="52" spans="1:24">
      <c r="A52" s="552">
        <v>50</v>
      </c>
      <c r="B52" s="560"/>
      <c r="C52" s="554"/>
      <c r="D52" s="544" t="s">
        <v>799</v>
      </c>
      <c r="E52" s="555"/>
      <c r="F52" s="545">
        <f>E52-(E52*Z13)</f>
        <v>0</v>
      </c>
      <c r="G52" s="546"/>
      <c r="H52" s="547">
        <f>IF(D52="Rəsmi gəlir",AA3,IF(D52="Qeyri rəsmi gəlir",AB3))</f>
        <v>7.0000000000000007E-2</v>
      </c>
      <c r="I52" s="547">
        <f>IF(D52="Rəsmi gəlir",AA4,IF(D52="Qeyri rəsmi gəlir",AB4))</f>
        <v>0.12</v>
      </c>
      <c r="J52" s="547">
        <f>IF(D52="Rəsmi gəlir",AA5,IF(D52="Qeyri rəsmi gəlir",AB5))</f>
        <v>0.16</v>
      </c>
      <c r="K52" s="547">
        <f>IF(D52="Rəsmi gəlir",AA6,IF(D52="Qeyri rəsmi gəlir",AB6))</f>
        <v>0.2</v>
      </c>
      <c r="L52" s="547">
        <f>IF(D52="Rəsmi gəlir",AA7,IF(D52="Qeyri rəsmi gəlir",AB7))</f>
        <v>0.23</v>
      </c>
      <c r="M52" s="547">
        <f>IF(D52="Rəsmi gəlir",AA8,IF(D52="Qeyri rəsmi gəlir",AB8))</f>
        <v>0.25600000000000001</v>
      </c>
      <c r="N52" s="547">
        <f>IF(D52="Rəsmi gəlir",AA9,IF(D52="Qeyri rəsmi gəlir",AB9))</f>
        <v>0.28550000000000003</v>
      </c>
      <c r="O52" s="547">
        <f>IF(D52="Rəsmi gəlir",AA10,IF(D52="Qeyri rəsmi gəlir",AB10))</f>
        <v>0</v>
      </c>
      <c r="P52" s="547" t="b">
        <f t="shared" si="0"/>
        <v>0</v>
      </c>
      <c r="Q52" s="548">
        <f t="shared" si="1"/>
        <v>0</v>
      </c>
      <c r="R52" s="543" t="str">
        <f t="shared" si="3"/>
        <v>-</v>
      </c>
      <c r="S52" s="549"/>
      <c r="T52" s="543" t="e">
        <f t="shared" si="4"/>
        <v>#VALUE!</v>
      </c>
      <c r="U52" s="548" t="e">
        <f t="shared" si="2"/>
        <v>#VALUE!</v>
      </c>
      <c r="V52" s="548" t="e">
        <f t="shared" si="5"/>
        <v>#VALUE!</v>
      </c>
      <c r="W52" s="544"/>
      <c r="X52" s="556"/>
    </row>
    <row r="53" spans="1:24">
      <c r="A53" s="552">
        <v>51</v>
      </c>
      <c r="B53" s="560"/>
      <c r="C53" s="554"/>
      <c r="D53" s="544" t="s">
        <v>799</v>
      </c>
      <c r="E53" s="555"/>
      <c r="F53" s="545">
        <f>E53-(E53*Z13)</f>
        <v>0</v>
      </c>
      <c r="G53" s="546"/>
      <c r="H53" s="547">
        <f>IF(D53="Rəsmi gəlir",AA3,IF(D53="Qeyri rəsmi gəlir",AB3))</f>
        <v>7.0000000000000007E-2</v>
      </c>
      <c r="I53" s="547">
        <f>IF(D53="Rəsmi gəlir",AA4,IF(D53="Qeyri rəsmi gəlir",AB4))</f>
        <v>0.12</v>
      </c>
      <c r="J53" s="547">
        <f>IF(D53="Rəsmi gəlir",AA5,IF(D53="Qeyri rəsmi gəlir",AB5))</f>
        <v>0.16</v>
      </c>
      <c r="K53" s="547">
        <f>IF(D53="Rəsmi gəlir",AA6,IF(D53="Qeyri rəsmi gəlir",AB6))</f>
        <v>0.2</v>
      </c>
      <c r="L53" s="547">
        <f>IF(D53="Rəsmi gəlir",AA7,IF(D53="Qeyri rəsmi gəlir",AB7))</f>
        <v>0.23</v>
      </c>
      <c r="M53" s="547">
        <f>IF(D53="Rəsmi gəlir",AA8,IF(D53="Qeyri rəsmi gəlir",AB8))</f>
        <v>0.25600000000000001</v>
      </c>
      <c r="N53" s="547">
        <f>IF(D53="Rəsmi gəlir",AA9,IF(D53="Qeyri rəsmi gəlir",AB9))</f>
        <v>0.28550000000000003</v>
      </c>
      <c r="O53" s="547">
        <f>IF(D53="Rəsmi gəlir",AA10,IF(D53="Qeyri rəsmi gəlir",AB10))</f>
        <v>0</v>
      </c>
      <c r="P53" s="547" t="b">
        <f t="shared" si="0"/>
        <v>0</v>
      </c>
      <c r="Q53" s="548">
        <f t="shared" si="1"/>
        <v>0</v>
      </c>
      <c r="R53" s="543" t="str">
        <f t="shared" si="3"/>
        <v>-</v>
      </c>
      <c r="S53" s="549"/>
      <c r="T53" s="543" t="e">
        <f t="shared" si="4"/>
        <v>#VALUE!</v>
      </c>
      <c r="U53" s="548" t="e">
        <f t="shared" si="2"/>
        <v>#VALUE!</v>
      </c>
      <c r="V53" s="548" t="e">
        <f t="shared" si="5"/>
        <v>#VALUE!</v>
      </c>
      <c r="W53" s="544"/>
      <c r="X53" s="556"/>
    </row>
    <row r="54" spans="1:24">
      <c r="A54" s="552">
        <v>52</v>
      </c>
      <c r="B54" s="560"/>
      <c r="C54" s="554"/>
      <c r="D54" s="544" t="s">
        <v>799</v>
      </c>
      <c r="E54" s="555"/>
      <c r="F54" s="545">
        <f>E54-(E54*Z13)</f>
        <v>0</v>
      </c>
      <c r="G54" s="546"/>
      <c r="H54" s="547">
        <f>IF(D54="Rəsmi gəlir",AA3,IF(D54="Qeyri rəsmi gəlir",AB3))</f>
        <v>7.0000000000000007E-2</v>
      </c>
      <c r="I54" s="547">
        <f>IF(D54="Rəsmi gəlir",AA4,IF(D54="Qeyri rəsmi gəlir",AB4))</f>
        <v>0.12</v>
      </c>
      <c r="J54" s="547">
        <f>IF(D54="Rəsmi gəlir",AA5,IF(D54="Qeyri rəsmi gəlir",AB5))</f>
        <v>0.16</v>
      </c>
      <c r="K54" s="547">
        <f>IF(D54="Rəsmi gəlir",AA6,IF(D54="Qeyri rəsmi gəlir",AB6))</f>
        <v>0.2</v>
      </c>
      <c r="L54" s="547">
        <f>IF(D54="Rəsmi gəlir",AA7,IF(D54="Qeyri rəsmi gəlir",AB7))</f>
        <v>0.23</v>
      </c>
      <c r="M54" s="547">
        <f>IF(D54="Rəsmi gəlir",AA8,IF(D54="Qeyri rəsmi gəlir",AB8))</f>
        <v>0.25600000000000001</v>
      </c>
      <c r="N54" s="547">
        <f>IF(D54="Rəsmi gəlir",AA9,IF(D54="Qeyri rəsmi gəlir",AB9))</f>
        <v>0.28550000000000003</v>
      </c>
      <c r="O54" s="547">
        <f>IF(D54="Rəsmi gəlir",AA10,IF(D54="Qeyri rəsmi gəlir",AB10))</f>
        <v>0</v>
      </c>
      <c r="P54" s="547" t="b">
        <f t="shared" si="0"/>
        <v>0</v>
      </c>
      <c r="Q54" s="548">
        <f t="shared" si="1"/>
        <v>0</v>
      </c>
      <c r="R54" s="543" t="str">
        <f t="shared" si="3"/>
        <v>-</v>
      </c>
      <c r="S54" s="549"/>
      <c r="T54" s="543" t="e">
        <f t="shared" si="4"/>
        <v>#VALUE!</v>
      </c>
      <c r="U54" s="548" t="e">
        <f t="shared" si="2"/>
        <v>#VALUE!</v>
      </c>
      <c r="V54" s="548" t="e">
        <f t="shared" si="5"/>
        <v>#VALUE!</v>
      </c>
      <c r="W54" s="544"/>
      <c r="X54" s="556"/>
    </row>
    <row r="55" spans="1:24">
      <c r="A55" s="552">
        <v>53</v>
      </c>
      <c r="B55" s="560"/>
      <c r="C55" s="554"/>
      <c r="D55" s="544" t="s">
        <v>799</v>
      </c>
      <c r="E55" s="555"/>
      <c r="F55" s="545">
        <f>E55-(E55*Z13)</f>
        <v>0</v>
      </c>
      <c r="G55" s="546"/>
      <c r="H55" s="547">
        <f>IF(D55="Rəsmi gəlir",AA3,IF(D55="Qeyri rəsmi gəlir",AB3))</f>
        <v>7.0000000000000007E-2</v>
      </c>
      <c r="I55" s="547">
        <f>IF(D55="Rəsmi gəlir",AA4,IF(D55="Qeyri rəsmi gəlir",AB4))</f>
        <v>0.12</v>
      </c>
      <c r="J55" s="547">
        <f>IF(D55="Rəsmi gəlir",AA5,IF(D55="Qeyri rəsmi gəlir",AB5))</f>
        <v>0.16</v>
      </c>
      <c r="K55" s="547">
        <f>IF(D55="Rəsmi gəlir",AA6,IF(D55="Qeyri rəsmi gəlir",AB6))</f>
        <v>0.2</v>
      </c>
      <c r="L55" s="547">
        <f>IF(D55="Rəsmi gəlir",AA7,IF(D55="Qeyri rəsmi gəlir",AB7))</f>
        <v>0.23</v>
      </c>
      <c r="M55" s="547">
        <f>IF(D55="Rəsmi gəlir",AA8,IF(D55="Qeyri rəsmi gəlir",AB8))</f>
        <v>0.25600000000000001</v>
      </c>
      <c r="N55" s="547">
        <f>IF(D55="Rəsmi gəlir",AA9,IF(D55="Qeyri rəsmi gəlir",AB9))</f>
        <v>0.28550000000000003</v>
      </c>
      <c r="O55" s="547">
        <f>IF(D55="Rəsmi gəlir",AA10,IF(D55="Qeyri rəsmi gəlir",AB10))</f>
        <v>0</v>
      </c>
      <c r="P55" s="547" t="b">
        <f t="shared" si="0"/>
        <v>0</v>
      </c>
      <c r="Q55" s="548">
        <f t="shared" si="1"/>
        <v>0</v>
      </c>
      <c r="R55" s="543" t="str">
        <f t="shared" si="3"/>
        <v>-</v>
      </c>
      <c r="S55" s="549"/>
      <c r="T55" s="543" t="e">
        <f t="shared" si="4"/>
        <v>#VALUE!</v>
      </c>
      <c r="U55" s="548" t="e">
        <f t="shared" si="2"/>
        <v>#VALUE!</v>
      </c>
      <c r="V55" s="548" t="e">
        <f t="shared" si="5"/>
        <v>#VALUE!</v>
      </c>
      <c r="W55" s="544"/>
      <c r="X55" s="556"/>
    </row>
    <row r="56" spans="1:24">
      <c r="A56" s="552">
        <v>54</v>
      </c>
      <c r="B56" s="560"/>
      <c r="C56" s="554"/>
      <c r="D56" s="544" t="s">
        <v>799</v>
      </c>
      <c r="E56" s="555"/>
      <c r="F56" s="545">
        <f>E56-(E56*Z13)</f>
        <v>0</v>
      </c>
      <c r="G56" s="546"/>
      <c r="H56" s="547">
        <f>IF(D56="Rəsmi gəlir",AA3,IF(D56="Qeyri rəsmi gəlir",AB3))</f>
        <v>7.0000000000000007E-2</v>
      </c>
      <c r="I56" s="547">
        <f>IF(D56="Rəsmi gəlir",AA4,IF(D56="Qeyri rəsmi gəlir",AB4))</f>
        <v>0.12</v>
      </c>
      <c r="J56" s="547">
        <f>IF(D56="Rəsmi gəlir",AA5,IF(D56="Qeyri rəsmi gəlir",AB5))</f>
        <v>0.16</v>
      </c>
      <c r="K56" s="547">
        <f>IF(D56="Rəsmi gəlir",AA6,IF(D56="Qeyri rəsmi gəlir",AB6))</f>
        <v>0.2</v>
      </c>
      <c r="L56" s="547">
        <f>IF(D56="Rəsmi gəlir",AA7,IF(D56="Qeyri rəsmi gəlir",AB7))</f>
        <v>0.23</v>
      </c>
      <c r="M56" s="547">
        <f>IF(D56="Rəsmi gəlir",AA8,IF(D56="Qeyri rəsmi gəlir",AB8))</f>
        <v>0.25600000000000001</v>
      </c>
      <c r="N56" s="547">
        <f>IF(D56="Rəsmi gəlir",AA9,IF(D56="Qeyri rəsmi gəlir",AB9))</f>
        <v>0.28550000000000003</v>
      </c>
      <c r="O56" s="547">
        <f>IF(D56="Rəsmi gəlir",AA10,IF(D56="Qeyri rəsmi gəlir",AB10))</f>
        <v>0</v>
      </c>
      <c r="P56" s="547" t="b">
        <f t="shared" si="0"/>
        <v>0</v>
      </c>
      <c r="Q56" s="548">
        <f t="shared" si="1"/>
        <v>0</v>
      </c>
      <c r="R56" s="543" t="str">
        <f t="shared" si="3"/>
        <v>-</v>
      </c>
      <c r="S56" s="549"/>
      <c r="T56" s="543" t="e">
        <f t="shared" si="4"/>
        <v>#VALUE!</v>
      </c>
      <c r="U56" s="548" t="e">
        <f t="shared" si="2"/>
        <v>#VALUE!</v>
      </c>
      <c r="V56" s="548" t="e">
        <f t="shared" si="5"/>
        <v>#VALUE!</v>
      </c>
      <c r="W56" s="544"/>
      <c r="X56" s="556"/>
    </row>
    <row r="57" spans="1:24">
      <c r="A57" s="552">
        <v>55</v>
      </c>
      <c r="B57" s="560"/>
      <c r="C57" s="554"/>
      <c r="D57" s="544" t="s">
        <v>799</v>
      </c>
      <c r="E57" s="555"/>
      <c r="F57" s="545">
        <f>E57-(E57*Z13)</f>
        <v>0</v>
      </c>
      <c r="G57" s="546"/>
      <c r="H57" s="547">
        <f>IF(D57="Rəsmi gəlir",AA3,IF(D57="Qeyri rəsmi gəlir",AB3))</f>
        <v>7.0000000000000007E-2</v>
      </c>
      <c r="I57" s="547">
        <f>IF(D57="Rəsmi gəlir",AA4,IF(D57="Qeyri rəsmi gəlir",AB4))</f>
        <v>0.12</v>
      </c>
      <c r="J57" s="547">
        <f>IF(D57="Rəsmi gəlir",AA5,IF(D57="Qeyri rəsmi gəlir",AB5))</f>
        <v>0.16</v>
      </c>
      <c r="K57" s="547">
        <f>IF(D57="Rəsmi gəlir",AA6,IF(D57="Qeyri rəsmi gəlir",AB6))</f>
        <v>0.2</v>
      </c>
      <c r="L57" s="547">
        <f>IF(D57="Rəsmi gəlir",AA7,IF(D57="Qeyri rəsmi gəlir",AB7))</f>
        <v>0.23</v>
      </c>
      <c r="M57" s="547">
        <f>IF(D57="Rəsmi gəlir",AA8,IF(D57="Qeyri rəsmi gəlir",AB8))</f>
        <v>0.25600000000000001</v>
      </c>
      <c r="N57" s="547">
        <f>IF(D57="Rəsmi gəlir",AA9,IF(D57="Qeyri rəsmi gəlir",AB9))</f>
        <v>0.28550000000000003</v>
      </c>
      <c r="O57" s="547">
        <f>IF(D57="Rəsmi gəlir",AA10,IF(D57="Qeyri rəsmi gəlir",AB10))</f>
        <v>0</v>
      </c>
      <c r="P57" s="547" t="b">
        <f t="shared" si="0"/>
        <v>0</v>
      </c>
      <c r="Q57" s="548">
        <f t="shared" si="1"/>
        <v>0</v>
      </c>
      <c r="R57" s="543" t="str">
        <f t="shared" si="3"/>
        <v>-</v>
      </c>
      <c r="S57" s="549"/>
      <c r="T57" s="543" t="e">
        <f t="shared" si="4"/>
        <v>#VALUE!</v>
      </c>
      <c r="U57" s="548" t="e">
        <f t="shared" si="2"/>
        <v>#VALUE!</v>
      </c>
      <c r="V57" s="548" t="e">
        <f t="shared" si="5"/>
        <v>#VALUE!</v>
      </c>
      <c r="W57" s="544"/>
      <c r="X57" s="556"/>
    </row>
    <row r="58" spans="1:24">
      <c r="A58" s="552">
        <v>56</v>
      </c>
      <c r="B58" s="560"/>
      <c r="C58" s="554"/>
      <c r="D58" s="544" t="s">
        <v>799</v>
      </c>
      <c r="E58" s="555"/>
      <c r="F58" s="545">
        <f>E58-(E58*Z13)</f>
        <v>0</v>
      </c>
      <c r="G58" s="546"/>
      <c r="H58" s="547">
        <f>IF(D58="Rəsmi gəlir",AA3,IF(D58="Qeyri rəsmi gəlir",AB3))</f>
        <v>7.0000000000000007E-2</v>
      </c>
      <c r="I58" s="547">
        <f>IF(D58="Rəsmi gəlir",AA4,IF(D58="Qeyri rəsmi gəlir",AB4))</f>
        <v>0.12</v>
      </c>
      <c r="J58" s="547">
        <f>IF(D58="Rəsmi gəlir",AA5,IF(D58="Qeyri rəsmi gəlir",AB5))</f>
        <v>0.16</v>
      </c>
      <c r="K58" s="547">
        <f>IF(D58="Rəsmi gəlir",AA6,IF(D58="Qeyri rəsmi gəlir",AB6))</f>
        <v>0.2</v>
      </c>
      <c r="L58" s="547">
        <f>IF(D58="Rəsmi gəlir",AA7,IF(D58="Qeyri rəsmi gəlir",AB7))</f>
        <v>0.23</v>
      </c>
      <c r="M58" s="547">
        <f>IF(D58="Rəsmi gəlir",AA8,IF(D58="Qeyri rəsmi gəlir",AB8))</f>
        <v>0.25600000000000001</v>
      </c>
      <c r="N58" s="547">
        <f>IF(D58="Rəsmi gəlir",AA9,IF(D58="Qeyri rəsmi gəlir",AB9))</f>
        <v>0.28550000000000003</v>
      </c>
      <c r="O58" s="547">
        <f>IF(D58="Rəsmi gəlir",AA10,IF(D58="Qeyri rəsmi gəlir",AB10))</f>
        <v>0</v>
      </c>
      <c r="P58" s="547" t="b">
        <f t="shared" si="0"/>
        <v>0</v>
      </c>
      <c r="Q58" s="548">
        <f t="shared" si="1"/>
        <v>0</v>
      </c>
      <c r="R58" s="543" t="str">
        <f t="shared" si="3"/>
        <v>-</v>
      </c>
      <c r="S58" s="549"/>
      <c r="T58" s="543" t="e">
        <f t="shared" si="4"/>
        <v>#VALUE!</v>
      </c>
      <c r="U58" s="548" t="e">
        <f t="shared" si="2"/>
        <v>#VALUE!</v>
      </c>
      <c r="V58" s="548" t="e">
        <f t="shared" si="5"/>
        <v>#VALUE!</v>
      </c>
      <c r="W58" s="544"/>
      <c r="X58" s="556"/>
    </row>
    <row r="59" spans="1:24">
      <c r="A59" s="552">
        <v>57</v>
      </c>
      <c r="B59" s="560"/>
      <c r="C59" s="554"/>
      <c r="D59" s="544" t="s">
        <v>799</v>
      </c>
      <c r="E59" s="555"/>
      <c r="F59" s="545">
        <f>E59-(E59*Z13)</f>
        <v>0</v>
      </c>
      <c r="G59" s="546"/>
      <c r="H59" s="547">
        <f>IF(D59="Rəsmi gəlir",AA3,IF(D59="Qeyri rəsmi gəlir",AB3))</f>
        <v>7.0000000000000007E-2</v>
      </c>
      <c r="I59" s="547">
        <f>IF(D59="Rəsmi gəlir",AA4,IF(D59="Qeyri rəsmi gəlir",AB4))</f>
        <v>0.12</v>
      </c>
      <c r="J59" s="547">
        <f>IF(D59="Rəsmi gəlir",AA5,IF(D59="Qeyri rəsmi gəlir",AB5))</f>
        <v>0.16</v>
      </c>
      <c r="K59" s="547">
        <f>IF(D59="Rəsmi gəlir",AA6,IF(D59="Qeyri rəsmi gəlir",AB6))</f>
        <v>0.2</v>
      </c>
      <c r="L59" s="547">
        <f>IF(D59="Rəsmi gəlir",AA7,IF(D59="Qeyri rəsmi gəlir",AB7))</f>
        <v>0.23</v>
      </c>
      <c r="M59" s="547">
        <f>IF(D59="Rəsmi gəlir",AA8,IF(D59="Qeyri rəsmi gəlir",AB8))</f>
        <v>0.25600000000000001</v>
      </c>
      <c r="N59" s="547">
        <f>IF(D59="Rəsmi gəlir",AA9,IF(D59="Qeyri rəsmi gəlir",AB9))</f>
        <v>0.28550000000000003</v>
      </c>
      <c r="O59" s="547">
        <f>IF(D59="Rəsmi gəlir",AA10,IF(D59="Qeyri rəsmi gəlir",AB10))</f>
        <v>0</v>
      </c>
      <c r="P59" s="547" t="b">
        <f t="shared" si="0"/>
        <v>0</v>
      </c>
      <c r="Q59" s="548">
        <f t="shared" si="1"/>
        <v>0</v>
      </c>
      <c r="R59" s="543" t="str">
        <f t="shared" si="3"/>
        <v>-</v>
      </c>
      <c r="S59" s="549"/>
      <c r="T59" s="543" t="e">
        <f t="shared" si="4"/>
        <v>#VALUE!</v>
      </c>
      <c r="U59" s="548" t="e">
        <f t="shared" si="2"/>
        <v>#VALUE!</v>
      </c>
      <c r="V59" s="548" t="e">
        <f t="shared" si="5"/>
        <v>#VALUE!</v>
      </c>
      <c r="W59" s="544"/>
      <c r="X59" s="556"/>
    </row>
    <row r="60" spans="1:24">
      <c r="A60" s="552">
        <v>58</v>
      </c>
      <c r="B60" s="560"/>
      <c r="C60" s="554"/>
      <c r="D60" s="544" t="s">
        <v>799</v>
      </c>
      <c r="E60" s="555"/>
      <c r="F60" s="545">
        <f>E60-(E60*Z13)</f>
        <v>0</v>
      </c>
      <c r="G60" s="546"/>
      <c r="H60" s="547">
        <f>IF(D60="Rəsmi gəlir",AA3,IF(D60="Qeyri rəsmi gəlir",AB3))</f>
        <v>7.0000000000000007E-2</v>
      </c>
      <c r="I60" s="547">
        <f>IF(D60="Rəsmi gəlir",AA4,IF(D60="Qeyri rəsmi gəlir",AB4))</f>
        <v>0.12</v>
      </c>
      <c r="J60" s="547">
        <f>IF(D60="Rəsmi gəlir",AA5,IF(D60="Qeyri rəsmi gəlir",AB5))</f>
        <v>0.16</v>
      </c>
      <c r="K60" s="547">
        <f>IF(D60="Rəsmi gəlir",AA6,IF(D60="Qeyri rəsmi gəlir",AB6))</f>
        <v>0.2</v>
      </c>
      <c r="L60" s="547">
        <f>IF(D60="Rəsmi gəlir",AA7,IF(D60="Qeyri rəsmi gəlir",AB7))</f>
        <v>0.23</v>
      </c>
      <c r="M60" s="547">
        <f>IF(D60="Rəsmi gəlir",AA8,IF(D60="Qeyri rəsmi gəlir",AB8))</f>
        <v>0.25600000000000001</v>
      </c>
      <c r="N60" s="547">
        <f>IF(D60="Rəsmi gəlir",AA9,IF(D60="Qeyri rəsmi gəlir",AB9))</f>
        <v>0.28550000000000003</v>
      </c>
      <c r="O60" s="547">
        <f>IF(D60="Rəsmi gəlir",AA10,IF(D60="Qeyri rəsmi gəlir",AB10))</f>
        <v>0</v>
      </c>
      <c r="P60" s="547" t="b">
        <f t="shared" si="0"/>
        <v>0</v>
      </c>
      <c r="Q60" s="548">
        <f t="shared" si="1"/>
        <v>0</v>
      </c>
      <c r="R60" s="543" t="str">
        <f t="shared" si="3"/>
        <v>-</v>
      </c>
      <c r="S60" s="549"/>
      <c r="T60" s="543" t="e">
        <f t="shared" si="4"/>
        <v>#VALUE!</v>
      </c>
      <c r="U60" s="548" t="e">
        <f t="shared" si="2"/>
        <v>#VALUE!</v>
      </c>
      <c r="V60" s="548" t="e">
        <f t="shared" si="5"/>
        <v>#VALUE!</v>
      </c>
      <c r="W60" s="544"/>
      <c r="X60" s="556"/>
    </row>
    <row r="61" spans="1:24">
      <c r="A61" s="552">
        <v>59</v>
      </c>
      <c r="B61" s="560"/>
      <c r="C61" s="554"/>
      <c r="D61" s="544" t="s">
        <v>799</v>
      </c>
      <c r="E61" s="555"/>
      <c r="F61" s="545">
        <f>E61-(E61*Z13)</f>
        <v>0</v>
      </c>
      <c r="G61" s="546"/>
      <c r="H61" s="547">
        <f>IF(D61="Rəsmi gəlir",AA3,IF(D61="Qeyri rəsmi gəlir",AB3))</f>
        <v>7.0000000000000007E-2</v>
      </c>
      <c r="I61" s="547">
        <f>IF(D61="Rəsmi gəlir",AA4,IF(D61="Qeyri rəsmi gəlir",AB4))</f>
        <v>0.12</v>
      </c>
      <c r="J61" s="547">
        <f>IF(D61="Rəsmi gəlir",AA5,IF(D61="Qeyri rəsmi gəlir",AB5))</f>
        <v>0.16</v>
      </c>
      <c r="K61" s="547">
        <f>IF(D61="Rəsmi gəlir",AA6,IF(D61="Qeyri rəsmi gəlir",AB6))</f>
        <v>0.2</v>
      </c>
      <c r="L61" s="547">
        <f>IF(D61="Rəsmi gəlir",AA7,IF(D61="Qeyri rəsmi gəlir",AB7))</f>
        <v>0.23</v>
      </c>
      <c r="M61" s="547">
        <f>IF(D61="Rəsmi gəlir",AA8,IF(D61="Qeyri rəsmi gəlir",AB8))</f>
        <v>0.25600000000000001</v>
      </c>
      <c r="N61" s="547">
        <f>IF(D61="Rəsmi gəlir",AA9,IF(D61="Qeyri rəsmi gəlir",AB9))</f>
        <v>0.28550000000000003</v>
      </c>
      <c r="O61" s="547">
        <f>IF(D61="Rəsmi gəlir",AA10,IF(D61="Qeyri rəsmi gəlir",AB10))</f>
        <v>0</v>
      </c>
      <c r="P61" s="547" t="b">
        <f t="shared" si="0"/>
        <v>0</v>
      </c>
      <c r="Q61" s="548">
        <f t="shared" si="1"/>
        <v>0</v>
      </c>
      <c r="R61" s="543" t="str">
        <f t="shared" si="3"/>
        <v>-</v>
      </c>
      <c r="S61" s="549"/>
      <c r="T61" s="543" t="e">
        <f t="shared" si="4"/>
        <v>#VALUE!</v>
      </c>
      <c r="U61" s="548" t="e">
        <f t="shared" si="2"/>
        <v>#VALUE!</v>
      </c>
      <c r="V61" s="548" t="e">
        <f t="shared" si="5"/>
        <v>#VALUE!</v>
      </c>
      <c r="W61" s="544"/>
      <c r="X61" s="556"/>
    </row>
    <row r="62" spans="1:24">
      <c r="A62" s="552">
        <v>60</v>
      </c>
      <c r="B62" s="560"/>
      <c r="C62" s="554"/>
      <c r="D62" s="544" t="s">
        <v>799</v>
      </c>
      <c r="E62" s="555"/>
      <c r="F62" s="545">
        <f>E62-(E62*Z13)</f>
        <v>0</v>
      </c>
      <c r="G62" s="546"/>
      <c r="H62" s="547">
        <f>IF(D62="Rəsmi gəlir",AA3,IF(D62="Qeyri rəsmi gəlir",AB3))</f>
        <v>7.0000000000000007E-2</v>
      </c>
      <c r="I62" s="547">
        <f>IF(D62="Rəsmi gəlir",AA4,IF(D62="Qeyri rəsmi gəlir",AB4))</f>
        <v>0.12</v>
      </c>
      <c r="J62" s="547">
        <f>IF(D62="Rəsmi gəlir",AA5,IF(D62="Qeyri rəsmi gəlir",AB5))</f>
        <v>0.16</v>
      </c>
      <c r="K62" s="547">
        <f>IF(D62="Rəsmi gəlir",AA6,IF(D62="Qeyri rəsmi gəlir",AB6))</f>
        <v>0.2</v>
      </c>
      <c r="L62" s="547">
        <f>IF(D62="Rəsmi gəlir",AA7,IF(D62="Qeyri rəsmi gəlir",AB7))</f>
        <v>0.23</v>
      </c>
      <c r="M62" s="547">
        <f>IF(D62="Rəsmi gəlir",AA8,IF(D62="Qeyri rəsmi gəlir",AB8))</f>
        <v>0.25600000000000001</v>
      </c>
      <c r="N62" s="547">
        <f>IF(D62="Rəsmi gəlir",AA9,IF(D62="Qeyri rəsmi gəlir",AB9))</f>
        <v>0.28550000000000003</v>
      </c>
      <c r="O62" s="547">
        <f>IF(D62="Rəsmi gəlir",AA10,IF(D62="Qeyri rəsmi gəlir",AB10))</f>
        <v>0</v>
      </c>
      <c r="P62" s="547" t="b">
        <f t="shared" si="0"/>
        <v>0</v>
      </c>
      <c r="Q62" s="548">
        <f t="shared" si="1"/>
        <v>0</v>
      </c>
      <c r="R62" s="543" t="str">
        <f t="shared" si="3"/>
        <v>-</v>
      </c>
      <c r="S62" s="549"/>
      <c r="T62" s="543" t="e">
        <f t="shared" si="4"/>
        <v>#VALUE!</v>
      </c>
      <c r="U62" s="548" t="e">
        <f t="shared" si="2"/>
        <v>#VALUE!</v>
      </c>
      <c r="V62" s="548" t="e">
        <f t="shared" si="5"/>
        <v>#VALUE!</v>
      </c>
      <c r="W62" s="544"/>
      <c r="X62" s="556"/>
    </row>
    <row r="63" spans="1:24">
      <c r="A63" s="552">
        <v>61</v>
      </c>
      <c r="B63" s="560"/>
      <c r="C63" s="554"/>
      <c r="D63" s="544" t="s">
        <v>799</v>
      </c>
      <c r="E63" s="555"/>
      <c r="F63" s="545">
        <f>E63-(E63*Z13)</f>
        <v>0</v>
      </c>
      <c r="G63" s="546"/>
      <c r="H63" s="547">
        <f>IF(D63="Rəsmi gəlir",AA3,IF(D63="Qeyri rəsmi gəlir",AB3))</f>
        <v>7.0000000000000007E-2</v>
      </c>
      <c r="I63" s="547">
        <f>IF(D63="Rəsmi gəlir",AA4,IF(D63="Qeyri rəsmi gəlir",AB4))</f>
        <v>0.12</v>
      </c>
      <c r="J63" s="547">
        <f>IF(D63="Rəsmi gəlir",AA5,IF(D63="Qeyri rəsmi gəlir",AB5))</f>
        <v>0.16</v>
      </c>
      <c r="K63" s="547">
        <f>IF(D63="Rəsmi gəlir",AA6,IF(D63="Qeyri rəsmi gəlir",AB6))</f>
        <v>0.2</v>
      </c>
      <c r="L63" s="547">
        <f>IF(D63="Rəsmi gəlir",AA7,IF(D63="Qeyri rəsmi gəlir",AB7))</f>
        <v>0.23</v>
      </c>
      <c r="M63" s="547">
        <f>IF(D63="Rəsmi gəlir",AA8,IF(D63="Qeyri rəsmi gəlir",AB8))</f>
        <v>0.25600000000000001</v>
      </c>
      <c r="N63" s="547">
        <f>IF(D63="Rəsmi gəlir",AA9,IF(D63="Qeyri rəsmi gəlir",AB9))</f>
        <v>0.28550000000000003</v>
      </c>
      <c r="O63" s="547">
        <f>IF(D63="Rəsmi gəlir",AA10,IF(D63="Qeyri rəsmi gəlir",AB10))</f>
        <v>0</v>
      </c>
      <c r="P63" s="547" t="b">
        <f t="shared" si="0"/>
        <v>0</v>
      </c>
      <c r="Q63" s="548">
        <f t="shared" si="1"/>
        <v>0</v>
      </c>
      <c r="R63" s="543" t="str">
        <f t="shared" si="3"/>
        <v>-</v>
      </c>
      <c r="S63" s="549"/>
      <c r="T63" s="543" t="e">
        <f t="shared" si="4"/>
        <v>#VALUE!</v>
      </c>
      <c r="U63" s="548" t="e">
        <f t="shared" si="2"/>
        <v>#VALUE!</v>
      </c>
      <c r="V63" s="548" t="e">
        <f t="shared" si="5"/>
        <v>#VALUE!</v>
      </c>
      <c r="W63" s="544"/>
      <c r="X63" s="556"/>
    </row>
    <row r="64" spans="1:24">
      <c r="A64" s="552">
        <v>62</v>
      </c>
      <c r="B64" s="560"/>
      <c r="C64" s="554"/>
      <c r="D64" s="544" t="s">
        <v>799</v>
      </c>
      <c r="E64" s="555"/>
      <c r="F64" s="545">
        <f>E64-(E64*Z13)</f>
        <v>0</v>
      </c>
      <c r="G64" s="546"/>
      <c r="H64" s="547">
        <f>IF(D64="Rəsmi gəlir",AA3,IF(D64="Qeyri rəsmi gəlir",AB3))</f>
        <v>7.0000000000000007E-2</v>
      </c>
      <c r="I64" s="547">
        <f>IF(D64="Rəsmi gəlir",AA4,IF(D64="Qeyri rəsmi gəlir",AB4))</f>
        <v>0.12</v>
      </c>
      <c r="J64" s="547">
        <f>IF(D64="Rəsmi gəlir",AA5,IF(D64="Qeyri rəsmi gəlir",AB5))</f>
        <v>0.16</v>
      </c>
      <c r="K64" s="547">
        <f>IF(D64="Rəsmi gəlir",AA6,IF(D64="Qeyri rəsmi gəlir",AB6))</f>
        <v>0.2</v>
      </c>
      <c r="L64" s="547">
        <f>IF(D64="Rəsmi gəlir",AA7,IF(D64="Qeyri rəsmi gəlir",AB7))</f>
        <v>0.23</v>
      </c>
      <c r="M64" s="547">
        <f>IF(D64="Rəsmi gəlir",AA8,IF(D64="Qeyri rəsmi gəlir",AB8))</f>
        <v>0.25600000000000001</v>
      </c>
      <c r="N64" s="547">
        <f>IF(D64="Rəsmi gəlir",AA9,IF(D64="Qeyri rəsmi gəlir",AB9))</f>
        <v>0.28550000000000003</v>
      </c>
      <c r="O64" s="547">
        <f>IF(D64="Rəsmi gəlir",AA10,IF(D64="Qeyri rəsmi gəlir",AB10))</f>
        <v>0</v>
      </c>
      <c r="P64" s="547" t="b">
        <f t="shared" si="0"/>
        <v>0</v>
      </c>
      <c r="Q64" s="548">
        <f t="shared" si="1"/>
        <v>0</v>
      </c>
      <c r="R64" s="543" t="str">
        <f t="shared" si="3"/>
        <v>-</v>
      </c>
      <c r="S64" s="549"/>
      <c r="T64" s="543" t="e">
        <f t="shared" si="4"/>
        <v>#VALUE!</v>
      </c>
      <c r="U64" s="548" t="e">
        <f t="shared" si="2"/>
        <v>#VALUE!</v>
      </c>
      <c r="V64" s="548" t="e">
        <f t="shared" si="5"/>
        <v>#VALUE!</v>
      </c>
      <c r="W64" s="544"/>
      <c r="X64" s="556"/>
    </row>
    <row r="65" spans="1:24">
      <c r="A65" s="552">
        <v>63</v>
      </c>
      <c r="B65" s="560"/>
      <c r="C65" s="554"/>
      <c r="D65" s="544" t="s">
        <v>799</v>
      </c>
      <c r="E65" s="555"/>
      <c r="F65" s="545">
        <f>E65-(E65*Z13)</f>
        <v>0</v>
      </c>
      <c r="G65" s="546"/>
      <c r="H65" s="547">
        <f>IF(D65="Rəsmi gəlir",AA3,IF(D65="Qeyri rəsmi gəlir",AB3))</f>
        <v>7.0000000000000007E-2</v>
      </c>
      <c r="I65" s="547">
        <f>IF(D65="Rəsmi gəlir",AA4,IF(D65="Qeyri rəsmi gəlir",AB4))</f>
        <v>0.12</v>
      </c>
      <c r="J65" s="547">
        <f>IF(D65="Rəsmi gəlir",AA5,IF(D65="Qeyri rəsmi gəlir",AB5))</f>
        <v>0.16</v>
      </c>
      <c r="K65" s="547">
        <f>IF(D65="Rəsmi gəlir",AA6,IF(D65="Qeyri rəsmi gəlir",AB6))</f>
        <v>0.2</v>
      </c>
      <c r="L65" s="547">
        <f>IF(D65="Rəsmi gəlir",AA7,IF(D65="Qeyri rəsmi gəlir",AB7))</f>
        <v>0.23</v>
      </c>
      <c r="M65" s="547">
        <f>IF(D65="Rəsmi gəlir",AA8,IF(D65="Qeyri rəsmi gəlir",AB8))</f>
        <v>0.25600000000000001</v>
      </c>
      <c r="N65" s="547">
        <f>IF(D65="Rəsmi gəlir",AA9,IF(D65="Qeyri rəsmi gəlir",AB9))</f>
        <v>0.28550000000000003</v>
      </c>
      <c r="O65" s="547">
        <f>IF(D65="Rəsmi gəlir",AA10,IF(D65="Qeyri rəsmi gəlir",AB10))</f>
        <v>0</v>
      </c>
      <c r="P65" s="547" t="b">
        <f t="shared" si="0"/>
        <v>0</v>
      </c>
      <c r="Q65" s="548">
        <f t="shared" si="1"/>
        <v>0</v>
      </c>
      <c r="R65" s="543" t="str">
        <f t="shared" si="3"/>
        <v>-</v>
      </c>
      <c r="S65" s="549"/>
      <c r="T65" s="543" t="e">
        <f t="shared" si="4"/>
        <v>#VALUE!</v>
      </c>
      <c r="U65" s="548" t="e">
        <f t="shared" si="2"/>
        <v>#VALUE!</v>
      </c>
      <c r="V65" s="548" t="e">
        <f t="shared" si="5"/>
        <v>#VALUE!</v>
      </c>
      <c r="W65" s="544"/>
      <c r="X65" s="556"/>
    </row>
    <row r="66" spans="1:24">
      <c r="A66" s="552">
        <v>64</v>
      </c>
      <c r="B66" s="560"/>
      <c r="C66" s="554"/>
      <c r="D66" s="544" t="s">
        <v>799</v>
      </c>
      <c r="E66" s="555"/>
      <c r="F66" s="545">
        <f>E66-(E66*Z13)</f>
        <v>0</v>
      </c>
      <c r="G66" s="546"/>
      <c r="H66" s="547">
        <f>IF(D66="Rəsmi gəlir",AA3,IF(D66="Qeyri rəsmi gəlir",AB3))</f>
        <v>7.0000000000000007E-2</v>
      </c>
      <c r="I66" s="547">
        <f>IF(D66="Rəsmi gəlir",AA4,IF(D66="Qeyri rəsmi gəlir",AB4))</f>
        <v>0.12</v>
      </c>
      <c r="J66" s="547">
        <f>IF(D66="Rəsmi gəlir",AA5,IF(D66="Qeyri rəsmi gəlir",AB5))</f>
        <v>0.16</v>
      </c>
      <c r="K66" s="547">
        <f>IF(D66="Rəsmi gəlir",AA6,IF(D66="Qeyri rəsmi gəlir",AB6))</f>
        <v>0.2</v>
      </c>
      <c r="L66" s="547">
        <f>IF(D66="Rəsmi gəlir",AA7,IF(D66="Qeyri rəsmi gəlir",AB7))</f>
        <v>0.23</v>
      </c>
      <c r="M66" s="547">
        <f>IF(D66="Rəsmi gəlir",AA8,IF(D66="Qeyri rəsmi gəlir",AB8))</f>
        <v>0.25600000000000001</v>
      </c>
      <c r="N66" s="547">
        <f>IF(D66="Rəsmi gəlir",AA9,IF(D66="Qeyri rəsmi gəlir",AB9))</f>
        <v>0.28550000000000003</v>
      </c>
      <c r="O66" s="547">
        <f>IF(D66="Rəsmi gəlir",AA10,IF(D66="Qeyri rəsmi gəlir",AB10))</f>
        <v>0</v>
      </c>
      <c r="P66" s="547" t="b">
        <f t="shared" si="0"/>
        <v>0</v>
      </c>
      <c r="Q66" s="548">
        <f t="shared" si="1"/>
        <v>0</v>
      </c>
      <c r="R66" s="543" t="str">
        <f t="shared" si="3"/>
        <v>-</v>
      </c>
      <c r="S66" s="549"/>
      <c r="T66" s="543" t="e">
        <f t="shared" si="4"/>
        <v>#VALUE!</v>
      </c>
      <c r="U66" s="548" t="e">
        <f t="shared" si="2"/>
        <v>#VALUE!</v>
      </c>
      <c r="V66" s="548" t="e">
        <f t="shared" si="5"/>
        <v>#VALUE!</v>
      </c>
      <c r="W66" s="544"/>
      <c r="X66" s="556"/>
    </row>
    <row r="67" spans="1:24">
      <c r="A67" s="552">
        <v>65</v>
      </c>
      <c r="B67" s="560"/>
      <c r="C67" s="554"/>
      <c r="D67" s="544" t="s">
        <v>799</v>
      </c>
      <c r="E67" s="555"/>
      <c r="F67" s="545">
        <f>E67-(E67*Z13)</f>
        <v>0</v>
      </c>
      <c r="G67" s="546"/>
      <c r="H67" s="547">
        <f>IF(D67="Rəsmi gəlir",AA3,IF(D67="Qeyri rəsmi gəlir",AB3))</f>
        <v>7.0000000000000007E-2</v>
      </c>
      <c r="I67" s="547">
        <f>IF(D67="Rəsmi gəlir",AA4,IF(D67="Qeyri rəsmi gəlir",AB4))</f>
        <v>0.12</v>
      </c>
      <c r="J67" s="547">
        <f>IF(D67="Rəsmi gəlir",AA5,IF(D67="Qeyri rəsmi gəlir",AB5))</f>
        <v>0.16</v>
      </c>
      <c r="K67" s="547">
        <f>IF(D67="Rəsmi gəlir",AA6,IF(D67="Qeyri rəsmi gəlir",AB6))</f>
        <v>0.2</v>
      </c>
      <c r="L67" s="547">
        <f>IF(D67="Rəsmi gəlir",AA7,IF(D67="Qeyri rəsmi gəlir",AB7))</f>
        <v>0.23</v>
      </c>
      <c r="M67" s="547">
        <f>IF(D67="Rəsmi gəlir",AA8,IF(D67="Qeyri rəsmi gəlir",AB8))</f>
        <v>0.25600000000000001</v>
      </c>
      <c r="N67" s="547">
        <f>IF(D67="Rəsmi gəlir",AA9,IF(D67="Qeyri rəsmi gəlir",AB9))</f>
        <v>0.28550000000000003</v>
      </c>
      <c r="O67" s="547">
        <f>IF(D67="Rəsmi gəlir",AA10,IF(D67="Qeyri rəsmi gəlir",AB10))</f>
        <v>0</v>
      </c>
      <c r="P67" s="547" t="b">
        <f t="shared" ref="P67:P130" si="6">IF(G67="2",H67,IF(G67="3",H67,IF(G67="4",I67,IF(G67="5",I67,IF(G67="6",I67,IF(G67="7",J67,IF(G67="8",J67,IF(G67="9",J67,IF(G67="10",K67,IF(G67="11",K67,IF(G67="12",K67,IF(G67="13",L67,IF(G67="14",L67,IF(G67="15",L67,IF(G67="16",M67,IF(G67="17",M67,IF(G67="18",M67,IF(G67="19",N67,IF(G67="20",N67,IF(G67="21",N67,IF(G67="22",O67,IF(G67="23",O67,IF(G67="24",O67)))))))))))))))))))))))</f>
        <v>0</v>
      </c>
      <c r="Q67" s="548">
        <f t="shared" ref="Q67:Q130" si="7">F67*P67</f>
        <v>0</v>
      </c>
      <c r="R67" s="543" t="str">
        <f t="shared" si="3"/>
        <v>-</v>
      </c>
      <c r="S67" s="549"/>
      <c r="T67" s="543" t="e">
        <f t="shared" si="4"/>
        <v>#VALUE!</v>
      </c>
      <c r="U67" s="548" t="e">
        <f t="shared" ref="U67:U130" si="8">F67-(F67*P67)-R67</f>
        <v>#VALUE!</v>
      </c>
      <c r="V67" s="548" t="e">
        <f t="shared" si="5"/>
        <v>#VALUE!</v>
      </c>
      <c r="W67" s="544"/>
      <c r="X67" s="556"/>
    </row>
    <row r="68" spans="1:24">
      <c r="A68" s="552">
        <v>66</v>
      </c>
      <c r="B68" s="560"/>
      <c r="C68" s="554"/>
      <c r="D68" s="544" t="s">
        <v>799</v>
      </c>
      <c r="E68" s="555"/>
      <c r="F68" s="545">
        <f>E68-(E68*Z13)</f>
        <v>0</v>
      </c>
      <c r="G68" s="546"/>
      <c r="H68" s="547">
        <f>IF(D68="Rəsmi gəlir",AA3,IF(D68="Qeyri rəsmi gəlir",AB3))</f>
        <v>7.0000000000000007E-2</v>
      </c>
      <c r="I68" s="547">
        <f>IF(D68="Rəsmi gəlir",AA4,IF(D68="Qeyri rəsmi gəlir",AB4))</f>
        <v>0.12</v>
      </c>
      <c r="J68" s="547">
        <f>IF(D68="Rəsmi gəlir",AA5,IF(D68="Qeyri rəsmi gəlir",AB5))</f>
        <v>0.16</v>
      </c>
      <c r="K68" s="547">
        <f>IF(D68="Rəsmi gəlir",AA6,IF(D68="Qeyri rəsmi gəlir",AB6))</f>
        <v>0.2</v>
      </c>
      <c r="L68" s="547">
        <f>IF(D68="Rəsmi gəlir",AA7,IF(D68="Qeyri rəsmi gəlir",AB7))</f>
        <v>0.23</v>
      </c>
      <c r="M68" s="547">
        <f>IF(D68="Rəsmi gəlir",AA8,IF(D68="Qeyri rəsmi gəlir",AB8))</f>
        <v>0.25600000000000001</v>
      </c>
      <c r="N68" s="547">
        <f>IF(D68="Rəsmi gəlir",AA9,IF(D68="Qeyri rəsmi gəlir",AB9))</f>
        <v>0.28550000000000003</v>
      </c>
      <c r="O68" s="547">
        <f>IF(D68="Rəsmi gəlir",AA10,IF(D68="Qeyri rəsmi gəlir",AB10))</f>
        <v>0</v>
      </c>
      <c r="P68" s="547" t="b">
        <f t="shared" si="6"/>
        <v>0</v>
      </c>
      <c r="Q68" s="548">
        <f t="shared" si="7"/>
        <v>0</v>
      </c>
      <c r="R68" s="543" t="str">
        <f t="shared" ref="R68:R131" si="9">IF(Q68&lt;=0,"-",IF(Q68&gt;0,9))</f>
        <v>-</v>
      </c>
      <c r="S68" s="549"/>
      <c r="T68" s="543" t="e">
        <f t="shared" ref="T68:T131" si="10">U68*S68</f>
        <v>#VALUE!</v>
      </c>
      <c r="U68" s="548" t="e">
        <f t="shared" si="8"/>
        <v>#VALUE!</v>
      </c>
      <c r="V68" s="548" t="e">
        <f t="shared" ref="V68:V131" si="11">U68-T68</f>
        <v>#VALUE!</v>
      </c>
      <c r="W68" s="544"/>
      <c r="X68" s="556"/>
    </row>
    <row r="69" spans="1:24">
      <c r="A69" s="552">
        <v>67</v>
      </c>
      <c r="B69" s="560"/>
      <c r="C69" s="554"/>
      <c r="D69" s="544" t="s">
        <v>799</v>
      </c>
      <c r="E69" s="555"/>
      <c r="F69" s="545">
        <f>E69-(E69*Z13)</f>
        <v>0</v>
      </c>
      <c r="G69" s="546"/>
      <c r="H69" s="547">
        <f>IF(D69="Rəsmi gəlir",AA3,IF(D69="Qeyri rəsmi gəlir",AB3))</f>
        <v>7.0000000000000007E-2</v>
      </c>
      <c r="I69" s="547">
        <f>IF(D69="Rəsmi gəlir",AA4,IF(D69="Qeyri rəsmi gəlir",AB4))</f>
        <v>0.12</v>
      </c>
      <c r="J69" s="547">
        <f>IF(D69="Rəsmi gəlir",AA5,IF(D69="Qeyri rəsmi gəlir",AB5))</f>
        <v>0.16</v>
      </c>
      <c r="K69" s="547">
        <f>IF(D69="Rəsmi gəlir",AA6,IF(D69="Qeyri rəsmi gəlir",AB6))</f>
        <v>0.2</v>
      </c>
      <c r="L69" s="547">
        <f>IF(D69="Rəsmi gəlir",AA7,IF(D69="Qeyri rəsmi gəlir",AB7))</f>
        <v>0.23</v>
      </c>
      <c r="M69" s="547">
        <f>IF(D69="Rəsmi gəlir",AA8,IF(D69="Qeyri rəsmi gəlir",AB8))</f>
        <v>0.25600000000000001</v>
      </c>
      <c r="N69" s="547">
        <f>IF(D69="Rəsmi gəlir",AA9,IF(D69="Qeyri rəsmi gəlir",AB9))</f>
        <v>0.28550000000000003</v>
      </c>
      <c r="O69" s="547">
        <f>IF(D69="Rəsmi gəlir",AA10,IF(D69="Qeyri rəsmi gəlir",AB10))</f>
        <v>0</v>
      </c>
      <c r="P69" s="547" t="b">
        <f t="shared" si="6"/>
        <v>0</v>
      </c>
      <c r="Q69" s="548">
        <f t="shared" si="7"/>
        <v>0</v>
      </c>
      <c r="R69" s="543" t="str">
        <f t="shared" si="9"/>
        <v>-</v>
      </c>
      <c r="S69" s="549"/>
      <c r="T69" s="543" t="e">
        <f t="shared" si="10"/>
        <v>#VALUE!</v>
      </c>
      <c r="U69" s="548" t="e">
        <f t="shared" si="8"/>
        <v>#VALUE!</v>
      </c>
      <c r="V69" s="548" t="e">
        <f t="shared" si="11"/>
        <v>#VALUE!</v>
      </c>
      <c r="W69" s="544"/>
      <c r="X69" s="556"/>
    </row>
    <row r="70" spans="1:24">
      <c r="A70" s="552">
        <v>68</v>
      </c>
      <c r="B70" s="560"/>
      <c r="C70" s="554"/>
      <c r="D70" s="544" t="s">
        <v>799</v>
      </c>
      <c r="E70" s="555"/>
      <c r="F70" s="545">
        <f>E70-(E70*Z13)</f>
        <v>0</v>
      </c>
      <c r="G70" s="546"/>
      <c r="H70" s="547">
        <f>IF(D70="Rəsmi gəlir",AA3,IF(D70="Qeyri rəsmi gəlir",AB3))</f>
        <v>7.0000000000000007E-2</v>
      </c>
      <c r="I70" s="547">
        <f>IF(D70="Rəsmi gəlir",AA4,IF(D70="Qeyri rəsmi gəlir",AB4))</f>
        <v>0.12</v>
      </c>
      <c r="J70" s="547">
        <f>IF(D70="Rəsmi gəlir",AA5,IF(D70="Qeyri rəsmi gəlir",AB5))</f>
        <v>0.16</v>
      </c>
      <c r="K70" s="547">
        <f>IF(D70="Rəsmi gəlir",AA6,IF(D70="Qeyri rəsmi gəlir",AB6))</f>
        <v>0.2</v>
      </c>
      <c r="L70" s="547">
        <f>IF(D70="Rəsmi gəlir",AA7,IF(D70="Qeyri rəsmi gəlir",AB7))</f>
        <v>0.23</v>
      </c>
      <c r="M70" s="547">
        <f>IF(D70="Rəsmi gəlir",AA8,IF(D70="Qeyri rəsmi gəlir",AB8))</f>
        <v>0.25600000000000001</v>
      </c>
      <c r="N70" s="547">
        <f>IF(D70="Rəsmi gəlir",AA9,IF(D70="Qeyri rəsmi gəlir",AB9))</f>
        <v>0.28550000000000003</v>
      </c>
      <c r="O70" s="547">
        <f>IF(D70="Rəsmi gəlir",AA10,IF(D70="Qeyri rəsmi gəlir",AB10))</f>
        <v>0</v>
      </c>
      <c r="P70" s="547" t="b">
        <f t="shared" si="6"/>
        <v>0</v>
      </c>
      <c r="Q70" s="548">
        <f t="shared" si="7"/>
        <v>0</v>
      </c>
      <c r="R70" s="543" t="str">
        <f t="shared" si="9"/>
        <v>-</v>
      </c>
      <c r="S70" s="549"/>
      <c r="T70" s="543" t="e">
        <f t="shared" si="10"/>
        <v>#VALUE!</v>
      </c>
      <c r="U70" s="548" t="e">
        <f t="shared" si="8"/>
        <v>#VALUE!</v>
      </c>
      <c r="V70" s="548" t="e">
        <f t="shared" si="11"/>
        <v>#VALUE!</v>
      </c>
      <c r="W70" s="544"/>
      <c r="X70" s="556"/>
    </row>
    <row r="71" spans="1:24">
      <c r="A71" s="552">
        <v>69</v>
      </c>
      <c r="B71" s="560"/>
      <c r="C71" s="554"/>
      <c r="D71" s="544" t="s">
        <v>799</v>
      </c>
      <c r="E71" s="555"/>
      <c r="F71" s="545">
        <f>E71-(E71*Z13)</f>
        <v>0</v>
      </c>
      <c r="G71" s="546"/>
      <c r="H71" s="547">
        <f>IF(D71="Rəsmi gəlir",AA3,IF(D71="Qeyri rəsmi gəlir",AB3))</f>
        <v>7.0000000000000007E-2</v>
      </c>
      <c r="I71" s="547">
        <f>IF(D71="Rəsmi gəlir",AA4,IF(D71="Qeyri rəsmi gəlir",AB4))</f>
        <v>0.12</v>
      </c>
      <c r="J71" s="547">
        <f>IF(D71="Rəsmi gəlir",AA5,IF(D71="Qeyri rəsmi gəlir",AB5))</f>
        <v>0.16</v>
      </c>
      <c r="K71" s="547">
        <f>IF(D71="Rəsmi gəlir",AA6,IF(D71="Qeyri rəsmi gəlir",AB6))</f>
        <v>0.2</v>
      </c>
      <c r="L71" s="547">
        <f>IF(D71="Rəsmi gəlir",AA7,IF(D71="Qeyri rəsmi gəlir",AB7))</f>
        <v>0.23</v>
      </c>
      <c r="M71" s="547">
        <f>IF(D71="Rəsmi gəlir",AA8,IF(D71="Qeyri rəsmi gəlir",AB8))</f>
        <v>0.25600000000000001</v>
      </c>
      <c r="N71" s="547">
        <f>IF(D71="Rəsmi gəlir",AA9,IF(D71="Qeyri rəsmi gəlir",AB9))</f>
        <v>0.28550000000000003</v>
      </c>
      <c r="O71" s="547">
        <f>IF(D71="Rəsmi gəlir",AA10,IF(D71="Qeyri rəsmi gəlir",AB10))</f>
        <v>0</v>
      </c>
      <c r="P71" s="547" t="b">
        <f t="shared" si="6"/>
        <v>0</v>
      </c>
      <c r="Q71" s="548">
        <f t="shared" si="7"/>
        <v>0</v>
      </c>
      <c r="R71" s="543" t="str">
        <f t="shared" si="9"/>
        <v>-</v>
      </c>
      <c r="S71" s="549"/>
      <c r="T71" s="543" t="e">
        <f t="shared" si="10"/>
        <v>#VALUE!</v>
      </c>
      <c r="U71" s="548" t="e">
        <f t="shared" si="8"/>
        <v>#VALUE!</v>
      </c>
      <c r="V71" s="548" t="e">
        <f t="shared" si="11"/>
        <v>#VALUE!</v>
      </c>
      <c r="W71" s="544"/>
      <c r="X71" s="556"/>
    </row>
    <row r="72" spans="1:24">
      <c r="A72" s="552">
        <v>70</v>
      </c>
      <c r="B72" s="560"/>
      <c r="C72" s="554"/>
      <c r="D72" s="544" t="s">
        <v>799</v>
      </c>
      <c r="E72" s="555"/>
      <c r="F72" s="545">
        <f>E72-(E72*Z13)</f>
        <v>0</v>
      </c>
      <c r="G72" s="546"/>
      <c r="H72" s="547">
        <f>IF(D72="Rəsmi gəlir",AA3,IF(D72="Qeyri rəsmi gəlir",AB3))</f>
        <v>7.0000000000000007E-2</v>
      </c>
      <c r="I72" s="547">
        <f>IF(D72="Rəsmi gəlir",AA4,IF(D72="Qeyri rəsmi gəlir",AB4))</f>
        <v>0.12</v>
      </c>
      <c r="J72" s="547">
        <f>IF(D72="Rəsmi gəlir",AA5,IF(D72="Qeyri rəsmi gəlir",AB5))</f>
        <v>0.16</v>
      </c>
      <c r="K72" s="547">
        <f>IF(D72="Rəsmi gəlir",AA6,IF(D72="Qeyri rəsmi gəlir",AB6))</f>
        <v>0.2</v>
      </c>
      <c r="L72" s="547">
        <f>IF(D72="Rəsmi gəlir",AA7,IF(D72="Qeyri rəsmi gəlir",AB7))</f>
        <v>0.23</v>
      </c>
      <c r="M72" s="547">
        <f>IF(D72="Rəsmi gəlir",AA8,IF(D72="Qeyri rəsmi gəlir",AB8))</f>
        <v>0.25600000000000001</v>
      </c>
      <c r="N72" s="547">
        <f>IF(D72="Rəsmi gəlir",AA9,IF(D72="Qeyri rəsmi gəlir",AB9))</f>
        <v>0.28550000000000003</v>
      </c>
      <c r="O72" s="547">
        <f>IF(D72="Rəsmi gəlir",AA10,IF(D72="Qeyri rəsmi gəlir",AB10))</f>
        <v>0</v>
      </c>
      <c r="P72" s="547" t="b">
        <f t="shared" si="6"/>
        <v>0</v>
      </c>
      <c r="Q72" s="548">
        <f t="shared" si="7"/>
        <v>0</v>
      </c>
      <c r="R72" s="543" t="str">
        <f t="shared" si="9"/>
        <v>-</v>
      </c>
      <c r="S72" s="549"/>
      <c r="T72" s="543" t="e">
        <f t="shared" si="10"/>
        <v>#VALUE!</v>
      </c>
      <c r="U72" s="548" t="e">
        <f t="shared" si="8"/>
        <v>#VALUE!</v>
      </c>
      <c r="V72" s="548" t="e">
        <f t="shared" si="11"/>
        <v>#VALUE!</v>
      </c>
      <c r="W72" s="544"/>
      <c r="X72" s="556"/>
    </row>
    <row r="73" spans="1:24">
      <c r="A73" s="552">
        <v>71</v>
      </c>
      <c r="B73" s="560"/>
      <c r="C73" s="554"/>
      <c r="D73" s="544" t="s">
        <v>799</v>
      </c>
      <c r="E73" s="555"/>
      <c r="F73" s="545">
        <f>E73-(E73*Z13)</f>
        <v>0</v>
      </c>
      <c r="G73" s="546"/>
      <c r="H73" s="547">
        <f>IF(D73="Rəsmi gəlir",AA3,IF(D73="Qeyri rəsmi gəlir",AB3))</f>
        <v>7.0000000000000007E-2</v>
      </c>
      <c r="I73" s="547">
        <f>IF(D73="Rəsmi gəlir",AA4,IF(D73="Qeyri rəsmi gəlir",AB4))</f>
        <v>0.12</v>
      </c>
      <c r="J73" s="547">
        <f>IF(D73="Rəsmi gəlir",AA5,IF(D73="Qeyri rəsmi gəlir",AB5))</f>
        <v>0.16</v>
      </c>
      <c r="K73" s="547">
        <f>IF(D73="Rəsmi gəlir",AA6,IF(D73="Qeyri rəsmi gəlir",AB6))</f>
        <v>0.2</v>
      </c>
      <c r="L73" s="547">
        <f>IF(D73="Rəsmi gəlir",AA7,IF(D73="Qeyri rəsmi gəlir",AB7))</f>
        <v>0.23</v>
      </c>
      <c r="M73" s="547">
        <f>IF(D73="Rəsmi gəlir",AA8,IF(D73="Qeyri rəsmi gəlir",AB8))</f>
        <v>0.25600000000000001</v>
      </c>
      <c r="N73" s="547">
        <f>IF(D73="Rəsmi gəlir",AA9,IF(D73="Qeyri rəsmi gəlir",AB9))</f>
        <v>0.28550000000000003</v>
      </c>
      <c r="O73" s="547">
        <f>IF(D73="Rəsmi gəlir",AA10,IF(D73="Qeyri rəsmi gəlir",AB10))</f>
        <v>0</v>
      </c>
      <c r="P73" s="547" t="b">
        <f t="shared" si="6"/>
        <v>0</v>
      </c>
      <c r="Q73" s="548">
        <f t="shared" si="7"/>
        <v>0</v>
      </c>
      <c r="R73" s="543" t="str">
        <f t="shared" si="9"/>
        <v>-</v>
      </c>
      <c r="S73" s="549"/>
      <c r="T73" s="543" t="e">
        <f t="shared" si="10"/>
        <v>#VALUE!</v>
      </c>
      <c r="U73" s="548" t="e">
        <f t="shared" si="8"/>
        <v>#VALUE!</v>
      </c>
      <c r="V73" s="548" t="e">
        <f t="shared" si="11"/>
        <v>#VALUE!</v>
      </c>
      <c r="W73" s="544"/>
      <c r="X73" s="556"/>
    </row>
    <row r="74" spans="1:24">
      <c r="A74" s="552">
        <v>72</v>
      </c>
      <c r="B74" s="560"/>
      <c r="C74" s="554"/>
      <c r="D74" s="544" t="s">
        <v>799</v>
      </c>
      <c r="E74" s="555"/>
      <c r="F74" s="545">
        <f>E74-(E74*Z13)</f>
        <v>0</v>
      </c>
      <c r="G74" s="546"/>
      <c r="H74" s="547">
        <f>IF(D74="Rəsmi gəlir",AA3,IF(D74="Qeyri rəsmi gəlir",AB3))</f>
        <v>7.0000000000000007E-2</v>
      </c>
      <c r="I74" s="547">
        <f>IF(D74="Rəsmi gəlir",AA4,IF(D74="Qeyri rəsmi gəlir",AB4))</f>
        <v>0.12</v>
      </c>
      <c r="J74" s="547">
        <f>IF(D74="Rəsmi gəlir",AA5,IF(D74="Qeyri rəsmi gəlir",AB5))</f>
        <v>0.16</v>
      </c>
      <c r="K74" s="547">
        <f>IF(D74="Rəsmi gəlir",AA6,IF(D74="Qeyri rəsmi gəlir",AB6))</f>
        <v>0.2</v>
      </c>
      <c r="L74" s="547">
        <f>IF(D74="Rəsmi gəlir",AA7,IF(D74="Qeyri rəsmi gəlir",AB7))</f>
        <v>0.23</v>
      </c>
      <c r="M74" s="547">
        <f>IF(D74="Rəsmi gəlir",AA8,IF(D74="Qeyri rəsmi gəlir",AB8))</f>
        <v>0.25600000000000001</v>
      </c>
      <c r="N74" s="547">
        <f>IF(D74="Rəsmi gəlir",AA9,IF(D74="Qeyri rəsmi gəlir",AB9))</f>
        <v>0.28550000000000003</v>
      </c>
      <c r="O74" s="547">
        <f>IF(D74="Rəsmi gəlir",AA10,IF(D74="Qeyri rəsmi gəlir",AB10))</f>
        <v>0</v>
      </c>
      <c r="P74" s="547" t="b">
        <f t="shared" si="6"/>
        <v>0</v>
      </c>
      <c r="Q74" s="548">
        <f t="shared" si="7"/>
        <v>0</v>
      </c>
      <c r="R74" s="543" t="str">
        <f t="shared" si="9"/>
        <v>-</v>
      </c>
      <c r="S74" s="549"/>
      <c r="T74" s="543" t="e">
        <f t="shared" si="10"/>
        <v>#VALUE!</v>
      </c>
      <c r="U74" s="548" t="e">
        <f t="shared" si="8"/>
        <v>#VALUE!</v>
      </c>
      <c r="V74" s="548" t="e">
        <f t="shared" si="11"/>
        <v>#VALUE!</v>
      </c>
      <c r="W74" s="544"/>
      <c r="X74" s="556"/>
    </row>
    <row r="75" spans="1:24">
      <c r="A75" s="552">
        <v>73</v>
      </c>
      <c r="B75" s="560"/>
      <c r="C75" s="554"/>
      <c r="D75" s="544" t="s">
        <v>799</v>
      </c>
      <c r="E75" s="555"/>
      <c r="F75" s="545">
        <f>E75-(E75*Z13)</f>
        <v>0</v>
      </c>
      <c r="G75" s="546"/>
      <c r="H75" s="547">
        <f>IF(D75="Rəsmi gəlir",AA3,IF(D75="Qeyri rəsmi gəlir",AB3))</f>
        <v>7.0000000000000007E-2</v>
      </c>
      <c r="I75" s="547">
        <f>IF(D75="Rəsmi gəlir",AA4,IF(D75="Qeyri rəsmi gəlir",AB4))</f>
        <v>0.12</v>
      </c>
      <c r="J75" s="547">
        <f>IF(D75="Rəsmi gəlir",AA5,IF(D75="Qeyri rəsmi gəlir",AB5))</f>
        <v>0.16</v>
      </c>
      <c r="K75" s="547">
        <f>IF(D75="Rəsmi gəlir",AA6,IF(D75="Qeyri rəsmi gəlir",AB6))</f>
        <v>0.2</v>
      </c>
      <c r="L75" s="547">
        <f>IF(D75="Rəsmi gəlir",AA7,IF(D75="Qeyri rəsmi gəlir",AB7))</f>
        <v>0.23</v>
      </c>
      <c r="M75" s="547">
        <f>IF(D75="Rəsmi gəlir",AA8,IF(D75="Qeyri rəsmi gəlir",AB8))</f>
        <v>0.25600000000000001</v>
      </c>
      <c r="N75" s="547">
        <f>IF(D75="Rəsmi gəlir",AA9,IF(D75="Qeyri rəsmi gəlir",AB9))</f>
        <v>0.28550000000000003</v>
      </c>
      <c r="O75" s="547">
        <f>IF(D75="Rəsmi gəlir",AA10,IF(D75="Qeyri rəsmi gəlir",AB10))</f>
        <v>0</v>
      </c>
      <c r="P75" s="547" t="b">
        <f t="shared" si="6"/>
        <v>0</v>
      </c>
      <c r="Q75" s="548">
        <f t="shared" si="7"/>
        <v>0</v>
      </c>
      <c r="R75" s="543" t="str">
        <f t="shared" si="9"/>
        <v>-</v>
      </c>
      <c r="S75" s="549"/>
      <c r="T75" s="543" t="e">
        <f t="shared" si="10"/>
        <v>#VALUE!</v>
      </c>
      <c r="U75" s="548" t="e">
        <f t="shared" si="8"/>
        <v>#VALUE!</v>
      </c>
      <c r="V75" s="548" t="e">
        <f t="shared" si="11"/>
        <v>#VALUE!</v>
      </c>
      <c r="W75" s="544"/>
      <c r="X75" s="556"/>
    </row>
    <row r="76" spans="1:24">
      <c r="A76" s="552">
        <v>74</v>
      </c>
      <c r="B76" s="560"/>
      <c r="C76" s="554"/>
      <c r="D76" s="544" t="s">
        <v>799</v>
      </c>
      <c r="E76" s="555"/>
      <c r="F76" s="545">
        <f>E76-(E76*Z13)</f>
        <v>0</v>
      </c>
      <c r="G76" s="546"/>
      <c r="H76" s="547">
        <f>IF(D76="Rəsmi gəlir",AA3,IF(D76="Qeyri rəsmi gəlir",AB3))</f>
        <v>7.0000000000000007E-2</v>
      </c>
      <c r="I76" s="547">
        <f>IF(D76="Rəsmi gəlir",AA4,IF(D76="Qeyri rəsmi gəlir",AB4))</f>
        <v>0.12</v>
      </c>
      <c r="J76" s="547">
        <f>IF(D76="Rəsmi gəlir",AA5,IF(D76="Qeyri rəsmi gəlir",AB5))</f>
        <v>0.16</v>
      </c>
      <c r="K76" s="547">
        <f>IF(D76="Rəsmi gəlir",AA6,IF(D76="Qeyri rəsmi gəlir",AB6))</f>
        <v>0.2</v>
      </c>
      <c r="L76" s="547">
        <f>IF(D76="Rəsmi gəlir",AA7,IF(D76="Qeyri rəsmi gəlir",AB7))</f>
        <v>0.23</v>
      </c>
      <c r="M76" s="547">
        <f>IF(D76="Rəsmi gəlir",AA8,IF(D76="Qeyri rəsmi gəlir",AB8))</f>
        <v>0.25600000000000001</v>
      </c>
      <c r="N76" s="547">
        <f>IF(D76="Rəsmi gəlir",AA9,IF(D76="Qeyri rəsmi gəlir",AB9))</f>
        <v>0.28550000000000003</v>
      </c>
      <c r="O76" s="547">
        <f>IF(D76="Rəsmi gəlir",AA10,IF(D76="Qeyri rəsmi gəlir",AB10))</f>
        <v>0</v>
      </c>
      <c r="P76" s="547" t="b">
        <f t="shared" si="6"/>
        <v>0</v>
      </c>
      <c r="Q76" s="548">
        <f t="shared" si="7"/>
        <v>0</v>
      </c>
      <c r="R76" s="543" t="str">
        <f t="shared" si="9"/>
        <v>-</v>
      </c>
      <c r="S76" s="549"/>
      <c r="T76" s="543" t="e">
        <f t="shared" si="10"/>
        <v>#VALUE!</v>
      </c>
      <c r="U76" s="548" t="e">
        <f t="shared" si="8"/>
        <v>#VALUE!</v>
      </c>
      <c r="V76" s="548" t="e">
        <f t="shared" si="11"/>
        <v>#VALUE!</v>
      </c>
      <c r="W76" s="544"/>
      <c r="X76" s="556"/>
    </row>
    <row r="77" spans="1:24">
      <c r="A77" s="552">
        <v>75</v>
      </c>
      <c r="B77" s="560"/>
      <c r="C77" s="554"/>
      <c r="D77" s="544" t="s">
        <v>799</v>
      </c>
      <c r="E77" s="555"/>
      <c r="F77" s="545">
        <f>E77-(E77*Z13)</f>
        <v>0</v>
      </c>
      <c r="G77" s="546"/>
      <c r="H77" s="547">
        <f>IF(D77="Rəsmi gəlir",AA3,IF(D77="Qeyri rəsmi gəlir",AB3))</f>
        <v>7.0000000000000007E-2</v>
      </c>
      <c r="I77" s="547">
        <f>IF(D77="Rəsmi gəlir",AA4,IF(D77="Qeyri rəsmi gəlir",AB4))</f>
        <v>0.12</v>
      </c>
      <c r="J77" s="547">
        <f>IF(D77="Rəsmi gəlir",AA5,IF(D77="Qeyri rəsmi gəlir",AB5))</f>
        <v>0.16</v>
      </c>
      <c r="K77" s="547">
        <f>IF(D77="Rəsmi gəlir",AA6,IF(D77="Qeyri rəsmi gəlir",AB6))</f>
        <v>0.2</v>
      </c>
      <c r="L77" s="547">
        <f>IF(D77="Rəsmi gəlir",AA7,IF(D77="Qeyri rəsmi gəlir",AB7))</f>
        <v>0.23</v>
      </c>
      <c r="M77" s="547">
        <f>IF(D77="Rəsmi gəlir",AA8,IF(D77="Qeyri rəsmi gəlir",AB8))</f>
        <v>0.25600000000000001</v>
      </c>
      <c r="N77" s="547">
        <f>IF(D77="Rəsmi gəlir",AA9,IF(D77="Qeyri rəsmi gəlir",AB9))</f>
        <v>0.28550000000000003</v>
      </c>
      <c r="O77" s="547">
        <f>IF(D77="Rəsmi gəlir",AA10,IF(D77="Qeyri rəsmi gəlir",AB10))</f>
        <v>0</v>
      </c>
      <c r="P77" s="547" t="b">
        <f t="shared" si="6"/>
        <v>0</v>
      </c>
      <c r="Q77" s="548">
        <f t="shared" si="7"/>
        <v>0</v>
      </c>
      <c r="R77" s="543" t="str">
        <f t="shared" si="9"/>
        <v>-</v>
      </c>
      <c r="S77" s="549"/>
      <c r="T77" s="543" t="e">
        <f t="shared" si="10"/>
        <v>#VALUE!</v>
      </c>
      <c r="U77" s="548" t="e">
        <f t="shared" si="8"/>
        <v>#VALUE!</v>
      </c>
      <c r="V77" s="548" t="e">
        <f t="shared" si="11"/>
        <v>#VALUE!</v>
      </c>
      <c r="W77" s="544"/>
      <c r="X77" s="556"/>
    </row>
    <row r="78" spans="1:24">
      <c r="A78" s="552">
        <v>76</v>
      </c>
      <c r="B78" s="560"/>
      <c r="C78" s="554"/>
      <c r="D78" s="544" t="s">
        <v>799</v>
      </c>
      <c r="E78" s="555"/>
      <c r="F78" s="545">
        <f>E78-(E78*Z13)</f>
        <v>0</v>
      </c>
      <c r="G78" s="546"/>
      <c r="H78" s="547">
        <f>IF(D78="Rəsmi gəlir",AA3,IF(D78="Qeyri rəsmi gəlir",AB3))</f>
        <v>7.0000000000000007E-2</v>
      </c>
      <c r="I78" s="547">
        <f>IF(D78="Rəsmi gəlir",AA4,IF(D78="Qeyri rəsmi gəlir",AB4))</f>
        <v>0.12</v>
      </c>
      <c r="J78" s="547">
        <f>IF(D78="Rəsmi gəlir",AA5,IF(D78="Qeyri rəsmi gəlir",AB5))</f>
        <v>0.16</v>
      </c>
      <c r="K78" s="547">
        <f>IF(D78="Rəsmi gəlir",AA6,IF(D78="Qeyri rəsmi gəlir",AB6))</f>
        <v>0.2</v>
      </c>
      <c r="L78" s="547">
        <f>IF(D78="Rəsmi gəlir",AA7,IF(D78="Qeyri rəsmi gəlir",AB7))</f>
        <v>0.23</v>
      </c>
      <c r="M78" s="547">
        <f>IF(D78="Rəsmi gəlir",AA8,IF(D78="Qeyri rəsmi gəlir",AB8))</f>
        <v>0.25600000000000001</v>
      </c>
      <c r="N78" s="547">
        <f>IF(D78="Rəsmi gəlir",AA9,IF(D78="Qeyri rəsmi gəlir",AB9))</f>
        <v>0.28550000000000003</v>
      </c>
      <c r="O78" s="547">
        <f>IF(D78="Rəsmi gəlir",AA10,IF(D78="Qeyri rəsmi gəlir",AB10))</f>
        <v>0</v>
      </c>
      <c r="P78" s="547" t="b">
        <f t="shared" si="6"/>
        <v>0</v>
      </c>
      <c r="Q78" s="548">
        <f t="shared" si="7"/>
        <v>0</v>
      </c>
      <c r="R78" s="543" t="str">
        <f t="shared" si="9"/>
        <v>-</v>
      </c>
      <c r="S78" s="549"/>
      <c r="T78" s="543" t="e">
        <f t="shared" si="10"/>
        <v>#VALUE!</v>
      </c>
      <c r="U78" s="548" t="e">
        <f t="shared" si="8"/>
        <v>#VALUE!</v>
      </c>
      <c r="V78" s="548" t="e">
        <f t="shared" si="11"/>
        <v>#VALUE!</v>
      </c>
      <c r="W78" s="544"/>
      <c r="X78" s="556"/>
    </row>
    <row r="79" spans="1:24">
      <c r="A79" s="552">
        <v>77</v>
      </c>
      <c r="B79" s="560"/>
      <c r="C79" s="554"/>
      <c r="D79" s="544" t="s">
        <v>799</v>
      </c>
      <c r="E79" s="555"/>
      <c r="F79" s="545">
        <f>E79-(E79*Z13)</f>
        <v>0</v>
      </c>
      <c r="G79" s="546"/>
      <c r="H79" s="547">
        <f>IF(D79="Rəsmi gəlir",AA3,IF(D79="Qeyri rəsmi gəlir",AB3))</f>
        <v>7.0000000000000007E-2</v>
      </c>
      <c r="I79" s="547">
        <f>IF(D79="Rəsmi gəlir",AA4,IF(D79="Qeyri rəsmi gəlir",AB4))</f>
        <v>0.12</v>
      </c>
      <c r="J79" s="547">
        <f>IF(D79="Rəsmi gəlir",AA5,IF(D79="Qeyri rəsmi gəlir",AB5))</f>
        <v>0.16</v>
      </c>
      <c r="K79" s="547">
        <f>IF(D79="Rəsmi gəlir",AA6,IF(D79="Qeyri rəsmi gəlir",AB6))</f>
        <v>0.2</v>
      </c>
      <c r="L79" s="547">
        <f>IF(D79="Rəsmi gəlir",AA7,IF(D79="Qeyri rəsmi gəlir",AB7))</f>
        <v>0.23</v>
      </c>
      <c r="M79" s="547">
        <f>IF(D79="Rəsmi gəlir",AA8,IF(D79="Qeyri rəsmi gəlir",AB8))</f>
        <v>0.25600000000000001</v>
      </c>
      <c r="N79" s="547">
        <f>IF(D79="Rəsmi gəlir",AA9,IF(D79="Qeyri rəsmi gəlir",AB9))</f>
        <v>0.28550000000000003</v>
      </c>
      <c r="O79" s="547">
        <f>IF(D79="Rəsmi gəlir",AA10,IF(D79="Qeyri rəsmi gəlir",AB10))</f>
        <v>0</v>
      </c>
      <c r="P79" s="547" t="b">
        <f t="shared" si="6"/>
        <v>0</v>
      </c>
      <c r="Q79" s="548">
        <f t="shared" si="7"/>
        <v>0</v>
      </c>
      <c r="R79" s="543" t="str">
        <f t="shared" si="9"/>
        <v>-</v>
      </c>
      <c r="S79" s="549"/>
      <c r="T79" s="543" t="e">
        <f t="shared" si="10"/>
        <v>#VALUE!</v>
      </c>
      <c r="U79" s="548" t="e">
        <f t="shared" si="8"/>
        <v>#VALUE!</v>
      </c>
      <c r="V79" s="548" t="e">
        <f t="shared" si="11"/>
        <v>#VALUE!</v>
      </c>
      <c r="W79" s="544"/>
      <c r="X79" s="556"/>
    </row>
    <row r="80" spans="1:24">
      <c r="A80" s="552">
        <v>78</v>
      </c>
      <c r="B80" s="560"/>
      <c r="C80" s="554"/>
      <c r="D80" s="544" t="s">
        <v>799</v>
      </c>
      <c r="E80" s="555"/>
      <c r="F80" s="545">
        <f>E80-(E80*Z13)</f>
        <v>0</v>
      </c>
      <c r="G80" s="546"/>
      <c r="H80" s="547">
        <f>IF(D80="Rəsmi gəlir",AA3,IF(D80="Qeyri rəsmi gəlir",AB3))</f>
        <v>7.0000000000000007E-2</v>
      </c>
      <c r="I80" s="547">
        <f>IF(D80="Rəsmi gəlir",AA4,IF(D80="Qeyri rəsmi gəlir",AB4))</f>
        <v>0.12</v>
      </c>
      <c r="J80" s="547">
        <f>IF(D80="Rəsmi gəlir",AA5,IF(D80="Qeyri rəsmi gəlir",AB5))</f>
        <v>0.16</v>
      </c>
      <c r="K80" s="547">
        <f>IF(D80="Rəsmi gəlir",AA6,IF(D80="Qeyri rəsmi gəlir",AB6))</f>
        <v>0.2</v>
      </c>
      <c r="L80" s="547">
        <f>IF(D80="Rəsmi gəlir",AA7,IF(D80="Qeyri rəsmi gəlir",AB7))</f>
        <v>0.23</v>
      </c>
      <c r="M80" s="547">
        <f>IF(D80="Rəsmi gəlir",AA8,IF(D80="Qeyri rəsmi gəlir",AB8))</f>
        <v>0.25600000000000001</v>
      </c>
      <c r="N80" s="547">
        <f>IF(D80="Rəsmi gəlir",AA9,IF(D80="Qeyri rəsmi gəlir",AB9))</f>
        <v>0.28550000000000003</v>
      </c>
      <c r="O80" s="547">
        <f>IF(D80="Rəsmi gəlir",AA10,IF(D80="Qeyri rəsmi gəlir",AB10))</f>
        <v>0</v>
      </c>
      <c r="P80" s="547" t="b">
        <f t="shared" si="6"/>
        <v>0</v>
      </c>
      <c r="Q80" s="548">
        <f t="shared" si="7"/>
        <v>0</v>
      </c>
      <c r="R80" s="543" t="str">
        <f t="shared" si="9"/>
        <v>-</v>
      </c>
      <c r="S80" s="549"/>
      <c r="T80" s="543" t="e">
        <f t="shared" si="10"/>
        <v>#VALUE!</v>
      </c>
      <c r="U80" s="548" t="e">
        <f t="shared" si="8"/>
        <v>#VALUE!</v>
      </c>
      <c r="V80" s="548" t="e">
        <f t="shared" si="11"/>
        <v>#VALUE!</v>
      </c>
      <c r="W80" s="544"/>
      <c r="X80" s="556"/>
    </row>
    <row r="81" spans="1:24">
      <c r="A81" s="552">
        <v>79</v>
      </c>
      <c r="B81" s="560"/>
      <c r="C81" s="554"/>
      <c r="D81" s="544" t="s">
        <v>799</v>
      </c>
      <c r="E81" s="555"/>
      <c r="F81" s="545">
        <f>E81-(E81*Z13)</f>
        <v>0</v>
      </c>
      <c r="G81" s="546"/>
      <c r="H81" s="547">
        <f>IF(D81="Rəsmi gəlir",AA3,IF(D81="Qeyri rəsmi gəlir",AB3))</f>
        <v>7.0000000000000007E-2</v>
      </c>
      <c r="I81" s="547">
        <f>IF(D81="Rəsmi gəlir",AA4,IF(D81="Qeyri rəsmi gəlir",AB4))</f>
        <v>0.12</v>
      </c>
      <c r="J81" s="547">
        <f>IF(D81="Rəsmi gəlir",AA5,IF(D81="Qeyri rəsmi gəlir",AB5))</f>
        <v>0.16</v>
      </c>
      <c r="K81" s="547">
        <f>IF(D81="Rəsmi gəlir",AA6,IF(D81="Qeyri rəsmi gəlir",AB6))</f>
        <v>0.2</v>
      </c>
      <c r="L81" s="547">
        <f>IF(D81="Rəsmi gəlir",AA7,IF(D81="Qeyri rəsmi gəlir",AB7))</f>
        <v>0.23</v>
      </c>
      <c r="M81" s="547">
        <f>IF(D81="Rəsmi gəlir",AA8,IF(D81="Qeyri rəsmi gəlir",AB8))</f>
        <v>0.25600000000000001</v>
      </c>
      <c r="N81" s="547">
        <f>IF(D81="Rəsmi gəlir",AA9,IF(D81="Qeyri rəsmi gəlir",AB9))</f>
        <v>0.28550000000000003</v>
      </c>
      <c r="O81" s="547">
        <f>IF(D81="Rəsmi gəlir",AA10,IF(D81="Qeyri rəsmi gəlir",AB10))</f>
        <v>0</v>
      </c>
      <c r="P81" s="547" t="b">
        <f t="shared" si="6"/>
        <v>0</v>
      </c>
      <c r="Q81" s="548">
        <f t="shared" si="7"/>
        <v>0</v>
      </c>
      <c r="R81" s="543" t="str">
        <f t="shared" si="9"/>
        <v>-</v>
      </c>
      <c r="S81" s="549"/>
      <c r="T81" s="543" t="e">
        <f t="shared" si="10"/>
        <v>#VALUE!</v>
      </c>
      <c r="U81" s="548" t="e">
        <f t="shared" si="8"/>
        <v>#VALUE!</v>
      </c>
      <c r="V81" s="548" t="e">
        <f t="shared" si="11"/>
        <v>#VALUE!</v>
      </c>
      <c r="W81" s="544"/>
      <c r="X81" s="556"/>
    </row>
    <row r="82" spans="1:24">
      <c r="A82" s="552">
        <v>80</v>
      </c>
      <c r="B82" s="560"/>
      <c r="C82" s="554"/>
      <c r="D82" s="544" t="s">
        <v>799</v>
      </c>
      <c r="E82" s="555"/>
      <c r="F82" s="545">
        <f>E82-(E82*Z13)</f>
        <v>0</v>
      </c>
      <c r="G82" s="546"/>
      <c r="H82" s="547">
        <f>IF(D82="Rəsmi gəlir",AA3,IF(D82="Qeyri rəsmi gəlir",AB3))</f>
        <v>7.0000000000000007E-2</v>
      </c>
      <c r="I82" s="547">
        <f>IF(D82="Rəsmi gəlir",AA4,IF(D82="Qeyri rəsmi gəlir",AB4))</f>
        <v>0.12</v>
      </c>
      <c r="J82" s="547">
        <f>IF(D82="Rəsmi gəlir",AA5,IF(D82="Qeyri rəsmi gəlir",AB5))</f>
        <v>0.16</v>
      </c>
      <c r="K82" s="547">
        <f>IF(D82="Rəsmi gəlir",AA6,IF(D82="Qeyri rəsmi gəlir",AB6))</f>
        <v>0.2</v>
      </c>
      <c r="L82" s="547">
        <f>IF(D82="Rəsmi gəlir",AA7,IF(D82="Qeyri rəsmi gəlir",AB7))</f>
        <v>0.23</v>
      </c>
      <c r="M82" s="547">
        <f>IF(D82="Rəsmi gəlir",AA8,IF(D82="Qeyri rəsmi gəlir",AB8))</f>
        <v>0.25600000000000001</v>
      </c>
      <c r="N82" s="547">
        <f>IF(D82="Rəsmi gəlir",AA9,IF(D82="Qeyri rəsmi gəlir",AB9))</f>
        <v>0.28550000000000003</v>
      </c>
      <c r="O82" s="547">
        <f>IF(D82="Rəsmi gəlir",AA10,IF(D82="Qeyri rəsmi gəlir",AB10))</f>
        <v>0</v>
      </c>
      <c r="P82" s="547" t="b">
        <f t="shared" si="6"/>
        <v>0</v>
      </c>
      <c r="Q82" s="548">
        <f t="shared" si="7"/>
        <v>0</v>
      </c>
      <c r="R82" s="543" t="str">
        <f t="shared" si="9"/>
        <v>-</v>
      </c>
      <c r="S82" s="549"/>
      <c r="T82" s="543" t="e">
        <f t="shared" si="10"/>
        <v>#VALUE!</v>
      </c>
      <c r="U82" s="548" t="e">
        <f t="shared" si="8"/>
        <v>#VALUE!</v>
      </c>
      <c r="V82" s="548" t="e">
        <f t="shared" si="11"/>
        <v>#VALUE!</v>
      </c>
      <c r="W82" s="544"/>
      <c r="X82" s="556"/>
    </row>
    <row r="83" spans="1:24">
      <c r="A83" s="552">
        <v>81</v>
      </c>
      <c r="B83" s="560"/>
      <c r="C83" s="554"/>
      <c r="D83" s="544" t="s">
        <v>799</v>
      </c>
      <c r="E83" s="555"/>
      <c r="F83" s="545">
        <f>E83-(E83*Z13)</f>
        <v>0</v>
      </c>
      <c r="G83" s="546"/>
      <c r="H83" s="547">
        <f>IF(D83="Rəsmi gəlir",AA3,IF(D83="Qeyri rəsmi gəlir",AB3))</f>
        <v>7.0000000000000007E-2</v>
      </c>
      <c r="I83" s="547">
        <f>IF(D83="Rəsmi gəlir",AA4,IF(D83="Qeyri rəsmi gəlir",AB4))</f>
        <v>0.12</v>
      </c>
      <c r="J83" s="547">
        <f>IF(D83="Rəsmi gəlir",AA5,IF(D83="Qeyri rəsmi gəlir",AB5))</f>
        <v>0.16</v>
      </c>
      <c r="K83" s="547">
        <f>IF(D83="Rəsmi gəlir",AA6,IF(D83="Qeyri rəsmi gəlir",AB6))</f>
        <v>0.2</v>
      </c>
      <c r="L83" s="547">
        <f>IF(D83="Rəsmi gəlir",AA7,IF(D83="Qeyri rəsmi gəlir",AB7))</f>
        <v>0.23</v>
      </c>
      <c r="M83" s="547">
        <f>IF(D83="Rəsmi gəlir",AA8,IF(D83="Qeyri rəsmi gəlir",AB8))</f>
        <v>0.25600000000000001</v>
      </c>
      <c r="N83" s="547">
        <f>IF(D83="Rəsmi gəlir",AA9,IF(D83="Qeyri rəsmi gəlir",AB9))</f>
        <v>0.28550000000000003</v>
      </c>
      <c r="O83" s="547">
        <f>IF(D83="Rəsmi gəlir",AA10,IF(D83="Qeyri rəsmi gəlir",AB10))</f>
        <v>0</v>
      </c>
      <c r="P83" s="547" t="b">
        <f t="shared" si="6"/>
        <v>0</v>
      </c>
      <c r="Q83" s="548">
        <f t="shared" si="7"/>
        <v>0</v>
      </c>
      <c r="R83" s="543" t="str">
        <f t="shared" si="9"/>
        <v>-</v>
      </c>
      <c r="S83" s="549"/>
      <c r="T83" s="543" t="e">
        <f t="shared" si="10"/>
        <v>#VALUE!</v>
      </c>
      <c r="U83" s="548" t="e">
        <f t="shared" si="8"/>
        <v>#VALUE!</v>
      </c>
      <c r="V83" s="548" t="e">
        <f t="shared" si="11"/>
        <v>#VALUE!</v>
      </c>
      <c r="W83" s="544"/>
      <c r="X83" s="556"/>
    </row>
    <row r="84" spans="1:24">
      <c r="A84" s="552">
        <v>82</v>
      </c>
      <c r="B84" s="560"/>
      <c r="C84" s="554"/>
      <c r="D84" s="544" t="s">
        <v>799</v>
      </c>
      <c r="E84" s="555"/>
      <c r="F84" s="545">
        <f>E84-(E84*Z13)</f>
        <v>0</v>
      </c>
      <c r="G84" s="546"/>
      <c r="H84" s="547">
        <f>IF(D84="Rəsmi gəlir",AA3,IF(D84="Qeyri rəsmi gəlir",AB3))</f>
        <v>7.0000000000000007E-2</v>
      </c>
      <c r="I84" s="547">
        <f>IF(D84="Rəsmi gəlir",AA4,IF(D84="Qeyri rəsmi gəlir",AB4))</f>
        <v>0.12</v>
      </c>
      <c r="J84" s="547">
        <f>IF(D84="Rəsmi gəlir",AA5,IF(D84="Qeyri rəsmi gəlir",AB5))</f>
        <v>0.16</v>
      </c>
      <c r="K84" s="547">
        <f>IF(D84="Rəsmi gəlir",AA6,IF(D84="Qeyri rəsmi gəlir",AB6))</f>
        <v>0.2</v>
      </c>
      <c r="L84" s="547">
        <f>IF(D84="Rəsmi gəlir",AA7,IF(D84="Qeyri rəsmi gəlir",AB7))</f>
        <v>0.23</v>
      </c>
      <c r="M84" s="547">
        <f>IF(D84="Rəsmi gəlir",AA8,IF(D84="Qeyri rəsmi gəlir",AB8))</f>
        <v>0.25600000000000001</v>
      </c>
      <c r="N84" s="547">
        <f>IF(D84="Rəsmi gəlir",AA9,IF(D84="Qeyri rəsmi gəlir",AB9))</f>
        <v>0.28550000000000003</v>
      </c>
      <c r="O84" s="547">
        <f>IF(D84="Rəsmi gəlir",AA10,IF(D84="Qeyri rəsmi gəlir",AB10))</f>
        <v>0</v>
      </c>
      <c r="P84" s="547" t="b">
        <f t="shared" si="6"/>
        <v>0</v>
      </c>
      <c r="Q84" s="548">
        <f t="shared" si="7"/>
        <v>0</v>
      </c>
      <c r="R84" s="543" t="str">
        <f t="shared" si="9"/>
        <v>-</v>
      </c>
      <c r="S84" s="549"/>
      <c r="T84" s="543" t="e">
        <f t="shared" si="10"/>
        <v>#VALUE!</v>
      </c>
      <c r="U84" s="548" t="e">
        <f t="shared" si="8"/>
        <v>#VALUE!</v>
      </c>
      <c r="V84" s="548" t="e">
        <f t="shared" si="11"/>
        <v>#VALUE!</v>
      </c>
      <c r="W84" s="544"/>
      <c r="X84" s="556"/>
    </row>
    <row r="85" spans="1:24">
      <c r="A85" s="552">
        <v>83</v>
      </c>
      <c r="B85" s="560"/>
      <c r="C85" s="554"/>
      <c r="D85" s="544" t="s">
        <v>799</v>
      </c>
      <c r="E85" s="555"/>
      <c r="F85" s="545">
        <f>E85-(E85*Z13)</f>
        <v>0</v>
      </c>
      <c r="G85" s="546"/>
      <c r="H85" s="547">
        <f>IF(D85="Rəsmi gəlir",AA3,IF(D85="Qeyri rəsmi gəlir",AB3))</f>
        <v>7.0000000000000007E-2</v>
      </c>
      <c r="I85" s="547">
        <f>IF(D85="Rəsmi gəlir",AA4,IF(D85="Qeyri rəsmi gəlir",AB4))</f>
        <v>0.12</v>
      </c>
      <c r="J85" s="547">
        <f>IF(D85="Rəsmi gəlir",AA5,IF(D85="Qeyri rəsmi gəlir",AB5))</f>
        <v>0.16</v>
      </c>
      <c r="K85" s="547">
        <f>IF(D85="Rəsmi gəlir",AA6,IF(D85="Qeyri rəsmi gəlir",AB6))</f>
        <v>0.2</v>
      </c>
      <c r="L85" s="547">
        <f>IF(D85="Rəsmi gəlir",AA7,IF(D85="Qeyri rəsmi gəlir",AB7))</f>
        <v>0.23</v>
      </c>
      <c r="M85" s="547">
        <f>IF(D85="Rəsmi gəlir",AA8,IF(D85="Qeyri rəsmi gəlir",AB8))</f>
        <v>0.25600000000000001</v>
      </c>
      <c r="N85" s="547">
        <f>IF(D85="Rəsmi gəlir",AA9,IF(D85="Qeyri rəsmi gəlir",AB9))</f>
        <v>0.28550000000000003</v>
      </c>
      <c r="O85" s="547">
        <f>IF(D85="Rəsmi gəlir",AA10,IF(D85="Qeyri rəsmi gəlir",AB10))</f>
        <v>0</v>
      </c>
      <c r="P85" s="547" t="b">
        <f t="shared" si="6"/>
        <v>0</v>
      </c>
      <c r="Q85" s="548">
        <f t="shared" si="7"/>
        <v>0</v>
      </c>
      <c r="R85" s="543" t="str">
        <f t="shared" si="9"/>
        <v>-</v>
      </c>
      <c r="S85" s="549"/>
      <c r="T85" s="543" t="e">
        <f t="shared" si="10"/>
        <v>#VALUE!</v>
      </c>
      <c r="U85" s="548" t="e">
        <f t="shared" si="8"/>
        <v>#VALUE!</v>
      </c>
      <c r="V85" s="548" t="e">
        <f t="shared" si="11"/>
        <v>#VALUE!</v>
      </c>
      <c r="W85" s="544"/>
      <c r="X85" s="556"/>
    </row>
    <row r="86" spans="1:24">
      <c r="A86" s="552">
        <v>84</v>
      </c>
      <c r="B86" s="560"/>
      <c r="C86" s="554"/>
      <c r="D86" s="544" t="s">
        <v>799</v>
      </c>
      <c r="E86" s="555"/>
      <c r="F86" s="545">
        <f>E86-(E86*Z13)</f>
        <v>0</v>
      </c>
      <c r="G86" s="546"/>
      <c r="H86" s="547">
        <f>IF(D86="Rəsmi gəlir",AA3,IF(D86="Qeyri rəsmi gəlir",AB3))</f>
        <v>7.0000000000000007E-2</v>
      </c>
      <c r="I86" s="547">
        <f>IF(D86="Rəsmi gəlir",AA4,IF(D86="Qeyri rəsmi gəlir",AB4))</f>
        <v>0.12</v>
      </c>
      <c r="J86" s="547">
        <f>IF(D86="Rəsmi gəlir",AA5,IF(D86="Qeyri rəsmi gəlir",AB5))</f>
        <v>0.16</v>
      </c>
      <c r="K86" s="547">
        <f>IF(D86="Rəsmi gəlir",AA6,IF(D86="Qeyri rəsmi gəlir",AB6))</f>
        <v>0.2</v>
      </c>
      <c r="L86" s="547">
        <f>IF(D86="Rəsmi gəlir",AA7,IF(D86="Qeyri rəsmi gəlir",AB7))</f>
        <v>0.23</v>
      </c>
      <c r="M86" s="547">
        <f>IF(D86="Rəsmi gəlir",AA8,IF(D86="Qeyri rəsmi gəlir",AB8))</f>
        <v>0.25600000000000001</v>
      </c>
      <c r="N86" s="547">
        <f>IF(D86="Rəsmi gəlir",AA9,IF(D86="Qeyri rəsmi gəlir",AB9))</f>
        <v>0.28550000000000003</v>
      </c>
      <c r="O86" s="547">
        <f>IF(D86="Rəsmi gəlir",AA10,IF(D86="Qeyri rəsmi gəlir",AB10))</f>
        <v>0</v>
      </c>
      <c r="P86" s="547" t="b">
        <f t="shared" si="6"/>
        <v>0</v>
      </c>
      <c r="Q86" s="548">
        <f t="shared" si="7"/>
        <v>0</v>
      </c>
      <c r="R86" s="543" t="str">
        <f t="shared" si="9"/>
        <v>-</v>
      </c>
      <c r="S86" s="549"/>
      <c r="T86" s="543" t="e">
        <f t="shared" si="10"/>
        <v>#VALUE!</v>
      </c>
      <c r="U86" s="548" t="e">
        <f t="shared" si="8"/>
        <v>#VALUE!</v>
      </c>
      <c r="V86" s="548" t="e">
        <f t="shared" si="11"/>
        <v>#VALUE!</v>
      </c>
      <c r="W86" s="544"/>
      <c r="X86" s="556"/>
    </row>
    <row r="87" spans="1:24">
      <c r="A87" s="552">
        <v>85</v>
      </c>
      <c r="B87" s="560"/>
      <c r="C87" s="554"/>
      <c r="D87" s="544" t="s">
        <v>799</v>
      </c>
      <c r="E87" s="555"/>
      <c r="F87" s="545">
        <f>E87-(E87*Z13)</f>
        <v>0</v>
      </c>
      <c r="G87" s="546"/>
      <c r="H87" s="547">
        <f>IF(D87="Rəsmi gəlir",AA3,IF(D87="Qeyri rəsmi gəlir",AB3))</f>
        <v>7.0000000000000007E-2</v>
      </c>
      <c r="I87" s="547">
        <f>IF(D87="Rəsmi gəlir",AA4,IF(D87="Qeyri rəsmi gəlir",AB4))</f>
        <v>0.12</v>
      </c>
      <c r="J87" s="547">
        <f>IF(D87="Rəsmi gəlir",AA5,IF(D87="Qeyri rəsmi gəlir",AB5))</f>
        <v>0.16</v>
      </c>
      <c r="K87" s="547">
        <f>IF(D87="Rəsmi gəlir",AA6,IF(D87="Qeyri rəsmi gəlir",AB6))</f>
        <v>0.2</v>
      </c>
      <c r="L87" s="547">
        <f>IF(D87="Rəsmi gəlir",AA7,IF(D87="Qeyri rəsmi gəlir",AB7))</f>
        <v>0.23</v>
      </c>
      <c r="M87" s="547">
        <f>IF(D87="Rəsmi gəlir",AA8,IF(D87="Qeyri rəsmi gəlir",AB8))</f>
        <v>0.25600000000000001</v>
      </c>
      <c r="N87" s="547">
        <f>IF(D87="Rəsmi gəlir",AA9,IF(D87="Qeyri rəsmi gəlir",AB9))</f>
        <v>0.28550000000000003</v>
      </c>
      <c r="O87" s="547">
        <f>IF(D87="Rəsmi gəlir",AA10,IF(D87="Qeyri rəsmi gəlir",AB10))</f>
        <v>0</v>
      </c>
      <c r="P87" s="547" t="b">
        <f t="shared" si="6"/>
        <v>0</v>
      </c>
      <c r="Q87" s="548">
        <f t="shared" si="7"/>
        <v>0</v>
      </c>
      <c r="R87" s="543" t="str">
        <f t="shared" si="9"/>
        <v>-</v>
      </c>
      <c r="S87" s="549"/>
      <c r="T87" s="543" t="e">
        <f t="shared" si="10"/>
        <v>#VALUE!</v>
      </c>
      <c r="U87" s="548" t="e">
        <f t="shared" si="8"/>
        <v>#VALUE!</v>
      </c>
      <c r="V87" s="548" t="e">
        <f t="shared" si="11"/>
        <v>#VALUE!</v>
      </c>
      <c r="W87" s="544"/>
      <c r="X87" s="556"/>
    </row>
    <row r="88" spans="1:24">
      <c r="A88" s="552">
        <v>86</v>
      </c>
      <c r="B88" s="560"/>
      <c r="C88" s="554"/>
      <c r="D88" s="544" t="s">
        <v>799</v>
      </c>
      <c r="E88" s="555"/>
      <c r="F88" s="545">
        <f>E88-(E88*Z13)</f>
        <v>0</v>
      </c>
      <c r="G88" s="546"/>
      <c r="H88" s="547">
        <f>IF(D88="Rəsmi gəlir",AA3,IF(D88="Qeyri rəsmi gəlir",AB3))</f>
        <v>7.0000000000000007E-2</v>
      </c>
      <c r="I88" s="547">
        <f>IF(D88="Rəsmi gəlir",AA4,IF(D88="Qeyri rəsmi gəlir",AB4))</f>
        <v>0.12</v>
      </c>
      <c r="J88" s="547">
        <f>IF(D88="Rəsmi gəlir",AA5,IF(D88="Qeyri rəsmi gəlir",AB5))</f>
        <v>0.16</v>
      </c>
      <c r="K88" s="547">
        <f>IF(D88="Rəsmi gəlir",AA6,IF(D88="Qeyri rəsmi gəlir",AB6))</f>
        <v>0.2</v>
      </c>
      <c r="L88" s="547">
        <f>IF(D88="Rəsmi gəlir",AA7,IF(D88="Qeyri rəsmi gəlir",AB7))</f>
        <v>0.23</v>
      </c>
      <c r="M88" s="547">
        <f>IF(D88="Rəsmi gəlir",AA8,IF(D88="Qeyri rəsmi gəlir",AB8))</f>
        <v>0.25600000000000001</v>
      </c>
      <c r="N88" s="547">
        <f>IF(D88="Rəsmi gəlir",AA9,IF(D88="Qeyri rəsmi gəlir",AB9))</f>
        <v>0.28550000000000003</v>
      </c>
      <c r="O88" s="547">
        <f>IF(D88="Rəsmi gəlir",AA10,IF(D88="Qeyri rəsmi gəlir",AB10))</f>
        <v>0</v>
      </c>
      <c r="P88" s="547" t="b">
        <f t="shared" si="6"/>
        <v>0</v>
      </c>
      <c r="Q88" s="548">
        <f t="shared" si="7"/>
        <v>0</v>
      </c>
      <c r="R88" s="543" t="str">
        <f t="shared" si="9"/>
        <v>-</v>
      </c>
      <c r="S88" s="549"/>
      <c r="T88" s="543" t="e">
        <f t="shared" si="10"/>
        <v>#VALUE!</v>
      </c>
      <c r="U88" s="548" t="e">
        <f t="shared" si="8"/>
        <v>#VALUE!</v>
      </c>
      <c r="V88" s="548" t="e">
        <f t="shared" si="11"/>
        <v>#VALUE!</v>
      </c>
      <c r="W88" s="544"/>
      <c r="X88" s="556"/>
    </row>
    <row r="89" spans="1:24">
      <c r="A89" s="552">
        <v>87</v>
      </c>
      <c r="B89" s="560"/>
      <c r="C89" s="554"/>
      <c r="D89" s="544" t="s">
        <v>799</v>
      </c>
      <c r="E89" s="555"/>
      <c r="F89" s="545">
        <f>E89-(E89*Z13)</f>
        <v>0</v>
      </c>
      <c r="G89" s="546"/>
      <c r="H89" s="547">
        <f>IF(D89="Rəsmi gəlir",AA3,IF(D89="Qeyri rəsmi gəlir",AB3))</f>
        <v>7.0000000000000007E-2</v>
      </c>
      <c r="I89" s="547">
        <f>IF(D89="Rəsmi gəlir",AA4,IF(D89="Qeyri rəsmi gəlir",AB4))</f>
        <v>0.12</v>
      </c>
      <c r="J89" s="547">
        <f>IF(D89="Rəsmi gəlir",AA5,IF(D89="Qeyri rəsmi gəlir",AB5))</f>
        <v>0.16</v>
      </c>
      <c r="K89" s="547">
        <f>IF(D89="Rəsmi gəlir",AA6,IF(D89="Qeyri rəsmi gəlir",AB6))</f>
        <v>0.2</v>
      </c>
      <c r="L89" s="547">
        <f>IF(D89="Rəsmi gəlir",AA7,IF(D89="Qeyri rəsmi gəlir",AB7))</f>
        <v>0.23</v>
      </c>
      <c r="M89" s="547">
        <f>IF(D89="Rəsmi gəlir",AA8,IF(D89="Qeyri rəsmi gəlir",AB8))</f>
        <v>0.25600000000000001</v>
      </c>
      <c r="N89" s="547">
        <f>IF(D89="Rəsmi gəlir",AA9,IF(D89="Qeyri rəsmi gəlir",AB9))</f>
        <v>0.28550000000000003</v>
      </c>
      <c r="O89" s="547">
        <f>IF(D89="Rəsmi gəlir",AA10,IF(D89="Qeyri rəsmi gəlir",AB10))</f>
        <v>0</v>
      </c>
      <c r="P89" s="547" t="b">
        <f t="shared" si="6"/>
        <v>0</v>
      </c>
      <c r="Q89" s="548">
        <f t="shared" si="7"/>
        <v>0</v>
      </c>
      <c r="R89" s="543" t="str">
        <f t="shared" si="9"/>
        <v>-</v>
      </c>
      <c r="S89" s="549"/>
      <c r="T89" s="543" t="e">
        <f t="shared" si="10"/>
        <v>#VALUE!</v>
      </c>
      <c r="U89" s="548" t="e">
        <f t="shared" si="8"/>
        <v>#VALUE!</v>
      </c>
      <c r="V89" s="548" t="e">
        <f t="shared" si="11"/>
        <v>#VALUE!</v>
      </c>
      <c r="W89" s="544"/>
      <c r="X89" s="556"/>
    </row>
    <row r="90" spans="1:24">
      <c r="A90" s="552">
        <v>88</v>
      </c>
      <c r="B90" s="560"/>
      <c r="C90" s="554"/>
      <c r="D90" s="544" t="s">
        <v>799</v>
      </c>
      <c r="E90" s="555"/>
      <c r="F90" s="545">
        <f>E90-(E90*Z13)</f>
        <v>0</v>
      </c>
      <c r="G90" s="546"/>
      <c r="H90" s="547">
        <f>IF(D90="Rəsmi gəlir",AA3,IF(D90="Qeyri rəsmi gəlir",AB3))</f>
        <v>7.0000000000000007E-2</v>
      </c>
      <c r="I90" s="547">
        <f>IF(D90="Rəsmi gəlir",AA4,IF(D90="Qeyri rəsmi gəlir",AB4))</f>
        <v>0.12</v>
      </c>
      <c r="J90" s="547">
        <f>IF(D90="Rəsmi gəlir",AA5,IF(D90="Qeyri rəsmi gəlir",AB5))</f>
        <v>0.16</v>
      </c>
      <c r="K90" s="547">
        <f>IF(D90="Rəsmi gəlir",AA6,IF(D90="Qeyri rəsmi gəlir",AB6))</f>
        <v>0.2</v>
      </c>
      <c r="L90" s="547">
        <f>IF(D90="Rəsmi gəlir",AA7,IF(D90="Qeyri rəsmi gəlir",AB7))</f>
        <v>0.23</v>
      </c>
      <c r="M90" s="547">
        <f>IF(D90="Rəsmi gəlir",AA8,IF(D90="Qeyri rəsmi gəlir",AB8))</f>
        <v>0.25600000000000001</v>
      </c>
      <c r="N90" s="547">
        <f>IF(D90="Rəsmi gəlir",AA9,IF(D90="Qeyri rəsmi gəlir",AB9))</f>
        <v>0.28550000000000003</v>
      </c>
      <c r="O90" s="547">
        <f>IF(D90="Rəsmi gəlir",AA10,IF(D90="Qeyri rəsmi gəlir",AB10))</f>
        <v>0</v>
      </c>
      <c r="P90" s="547" t="b">
        <f t="shared" si="6"/>
        <v>0</v>
      </c>
      <c r="Q90" s="548">
        <f t="shared" si="7"/>
        <v>0</v>
      </c>
      <c r="R90" s="543" t="str">
        <f t="shared" si="9"/>
        <v>-</v>
      </c>
      <c r="S90" s="549"/>
      <c r="T90" s="543" t="e">
        <f t="shared" si="10"/>
        <v>#VALUE!</v>
      </c>
      <c r="U90" s="548" t="e">
        <f t="shared" si="8"/>
        <v>#VALUE!</v>
      </c>
      <c r="V90" s="548" t="e">
        <f t="shared" si="11"/>
        <v>#VALUE!</v>
      </c>
      <c r="W90" s="544"/>
      <c r="X90" s="556"/>
    </row>
    <row r="91" spans="1:24">
      <c r="A91" s="552">
        <v>89</v>
      </c>
      <c r="B91" s="560"/>
      <c r="C91" s="554"/>
      <c r="D91" s="544" t="s">
        <v>799</v>
      </c>
      <c r="E91" s="555"/>
      <c r="F91" s="545">
        <f>E91-(E91*Z13)</f>
        <v>0</v>
      </c>
      <c r="G91" s="546"/>
      <c r="H91" s="547">
        <f>IF(D91="Rəsmi gəlir",AA3,IF(D91="Qeyri rəsmi gəlir",AB3))</f>
        <v>7.0000000000000007E-2</v>
      </c>
      <c r="I91" s="547">
        <f>IF(D91="Rəsmi gəlir",AA4,IF(D91="Qeyri rəsmi gəlir",AB4))</f>
        <v>0.12</v>
      </c>
      <c r="J91" s="547">
        <f>IF(D91="Rəsmi gəlir",AA5,IF(D91="Qeyri rəsmi gəlir",AB5))</f>
        <v>0.16</v>
      </c>
      <c r="K91" s="547">
        <f>IF(D91="Rəsmi gəlir",AA6,IF(D91="Qeyri rəsmi gəlir",AB6))</f>
        <v>0.2</v>
      </c>
      <c r="L91" s="547">
        <f>IF(D91="Rəsmi gəlir",AA7,IF(D91="Qeyri rəsmi gəlir",AB7))</f>
        <v>0.23</v>
      </c>
      <c r="M91" s="547">
        <f>IF(D91="Rəsmi gəlir",AA8,IF(D91="Qeyri rəsmi gəlir",AB8))</f>
        <v>0.25600000000000001</v>
      </c>
      <c r="N91" s="547">
        <f>IF(D91="Rəsmi gəlir",AA9,IF(D91="Qeyri rəsmi gəlir",AB9))</f>
        <v>0.28550000000000003</v>
      </c>
      <c r="O91" s="547">
        <f>IF(D91="Rəsmi gəlir",AA10,IF(D91="Qeyri rəsmi gəlir",AB10))</f>
        <v>0</v>
      </c>
      <c r="P91" s="547" t="b">
        <f t="shared" si="6"/>
        <v>0</v>
      </c>
      <c r="Q91" s="548">
        <f t="shared" si="7"/>
        <v>0</v>
      </c>
      <c r="R91" s="543" t="str">
        <f t="shared" si="9"/>
        <v>-</v>
      </c>
      <c r="S91" s="549"/>
      <c r="T91" s="543" t="e">
        <f t="shared" si="10"/>
        <v>#VALUE!</v>
      </c>
      <c r="U91" s="548" t="e">
        <f t="shared" si="8"/>
        <v>#VALUE!</v>
      </c>
      <c r="V91" s="548" t="e">
        <f t="shared" si="11"/>
        <v>#VALUE!</v>
      </c>
      <c r="W91" s="544"/>
      <c r="X91" s="556"/>
    </row>
    <row r="92" spans="1:24">
      <c r="A92" s="552">
        <v>90</v>
      </c>
      <c r="B92" s="560"/>
      <c r="C92" s="554"/>
      <c r="D92" s="544" t="s">
        <v>799</v>
      </c>
      <c r="E92" s="555"/>
      <c r="F92" s="545">
        <f>E92-(E92*Z13)</f>
        <v>0</v>
      </c>
      <c r="G92" s="546"/>
      <c r="H92" s="547">
        <f>IF(D92="Rəsmi gəlir",AA3,IF(D92="Qeyri rəsmi gəlir",AB3))</f>
        <v>7.0000000000000007E-2</v>
      </c>
      <c r="I92" s="547">
        <f>IF(D92="Rəsmi gəlir",AA4,IF(D92="Qeyri rəsmi gəlir",AB4))</f>
        <v>0.12</v>
      </c>
      <c r="J92" s="547">
        <f>IF(D92="Rəsmi gəlir",AA5,IF(D92="Qeyri rəsmi gəlir",AB5))</f>
        <v>0.16</v>
      </c>
      <c r="K92" s="547">
        <f>IF(D92="Rəsmi gəlir",AA6,IF(D92="Qeyri rəsmi gəlir",AB6))</f>
        <v>0.2</v>
      </c>
      <c r="L92" s="547">
        <f>IF(D92="Rəsmi gəlir",AA7,IF(D92="Qeyri rəsmi gəlir",AB7))</f>
        <v>0.23</v>
      </c>
      <c r="M92" s="547">
        <f>IF(D92="Rəsmi gəlir",AA8,IF(D92="Qeyri rəsmi gəlir",AB8))</f>
        <v>0.25600000000000001</v>
      </c>
      <c r="N92" s="547">
        <f>IF(D92="Rəsmi gəlir",AA9,IF(D92="Qeyri rəsmi gəlir",AB9))</f>
        <v>0.28550000000000003</v>
      </c>
      <c r="O92" s="547">
        <f>IF(D92="Rəsmi gəlir",AA10,IF(D92="Qeyri rəsmi gəlir",AB10))</f>
        <v>0</v>
      </c>
      <c r="P92" s="547" t="b">
        <f t="shared" si="6"/>
        <v>0</v>
      </c>
      <c r="Q92" s="548">
        <f t="shared" si="7"/>
        <v>0</v>
      </c>
      <c r="R92" s="543" t="str">
        <f t="shared" si="9"/>
        <v>-</v>
      </c>
      <c r="S92" s="549"/>
      <c r="T92" s="543" t="e">
        <f t="shared" si="10"/>
        <v>#VALUE!</v>
      </c>
      <c r="U92" s="548" t="e">
        <f t="shared" si="8"/>
        <v>#VALUE!</v>
      </c>
      <c r="V92" s="548" t="e">
        <f t="shared" si="11"/>
        <v>#VALUE!</v>
      </c>
      <c r="W92" s="544"/>
      <c r="X92" s="556"/>
    </row>
    <row r="93" spans="1:24">
      <c r="A93" s="552">
        <v>91</v>
      </c>
      <c r="B93" s="560"/>
      <c r="C93" s="554"/>
      <c r="D93" s="544" t="s">
        <v>799</v>
      </c>
      <c r="E93" s="555"/>
      <c r="F93" s="545">
        <f>E93-(E93*Z13)</f>
        <v>0</v>
      </c>
      <c r="G93" s="546"/>
      <c r="H93" s="547">
        <f>IF(D93="Rəsmi gəlir",AA3,IF(D93="Qeyri rəsmi gəlir",AB3))</f>
        <v>7.0000000000000007E-2</v>
      </c>
      <c r="I93" s="547">
        <f>IF(D93="Rəsmi gəlir",AA4,IF(D93="Qeyri rəsmi gəlir",AB4))</f>
        <v>0.12</v>
      </c>
      <c r="J93" s="547">
        <f>IF(D93="Rəsmi gəlir",AA5,IF(D93="Qeyri rəsmi gəlir",AB5))</f>
        <v>0.16</v>
      </c>
      <c r="K93" s="547">
        <f>IF(D93="Rəsmi gəlir",AA6,IF(D93="Qeyri rəsmi gəlir",AB6))</f>
        <v>0.2</v>
      </c>
      <c r="L93" s="547">
        <f>IF(D93="Rəsmi gəlir",AA7,IF(D93="Qeyri rəsmi gəlir",AB7))</f>
        <v>0.23</v>
      </c>
      <c r="M93" s="547">
        <f>IF(D93="Rəsmi gəlir",AA8,IF(D93="Qeyri rəsmi gəlir",AB8))</f>
        <v>0.25600000000000001</v>
      </c>
      <c r="N93" s="547">
        <f>IF(D93="Rəsmi gəlir",AA9,IF(D93="Qeyri rəsmi gəlir",AB9))</f>
        <v>0.28550000000000003</v>
      </c>
      <c r="O93" s="547">
        <f>IF(D93="Rəsmi gəlir",AA10,IF(D93="Qeyri rəsmi gəlir",AB10))</f>
        <v>0</v>
      </c>
      <c r="P93" s="547" t="b">
        <f t="shared" si="6"/>
        <v>0</v>
      </c>
      <c r="Q93" s="548">
        <f t="shared" si="7"/>
        <v>0</v>
      </c>
      <c r="R93" s="543" t="str">
        <f t="shared" si="9"/>
        <v>-</v>
      </c>
      <c r="S93" s="549"/>
      <c r="T93" s="543" t="e">
        <f t="shared" si="10"/>
        <v>#VALUE!</v>
      </c>
      <c r="U93" s="548" t="e">
        <f t="shared" si="8"/>
        <v>#VALUE!</v>
      </c>
      <c r="V93" s="548" t="e">
        <f t="shared" si="11"/>
        <v>#VALUE!</v>
      </c>
      <c r="W93" s="544"/>
      <c r="X93" s="556"/>
    </row>
    <row r="94" spans="1:24">
      <c r="A94" s="552">
        <v>92</v>
      </c>
      <c r="B94" s="560"/>
      <c r="C94" s="554"/>
      <c r="D94" s="544" t="s">
        <v>799</v>
      </c>
      <c r="E94" s="555"/>
      <c r="F94" s="545">
        <f>E94-(E94*Z13)</f>
        <v>0</v>
      </c>
      <c r="G94" s="546"/>
      <c r="H94" s="547">
        <f>IF(D94="Rəsmi gəlir",AA3,IF(D94="Qeyri rəsmi gəlir",AB3))</f>
        <v>7.0000000000000007E-2</v>
      </c>
      <c r="I94" s="547">
        <f>IF(D94="Rəsmi gəlir",AA4,IF(D94="Qeyri rəsmi gəlir",AB4))</f>
        <v>0.12</v>
      </c>
      <c r="J94" s="547">
        <f>IF(D94="Rəsmi gəlir",AA5,IF(D94="Qeyri rəsmi gəlir",AB5))</f>
        <v>0.16</v>
      </c>
      <c r="K94" s="547">
        <f>IF(D94="Rəsmi gəlir",AA6,IF(D94="Qeyri rəsmi gəlir",AB6))</f>
        <v>0.2</v>
      </c>
      <c r="L94" s="547">
        <f>IF(D94="Rəsmi gəlir",AA7,IF(D94="Qeyri rəsmi gəlir",AB7))</f>
        <v>0.23</v>
      </c>
      <c r="M94" s="547">
        <f>IF(D94="Rəsmi gəlir",AA8,IF(D94="Qeyri rəsmi gəlir",AB8))</f>
        <v>0.25600000000000001</v>
      </c>
      <c r="N94" s="547">
        <f>IF(D94="Rəsmi gəlir",AA9,IF(D94="Qeyri rəsmi gəlir",AB9))</f>
        <v>0.28550000000000003</v>
      </c>
      <c r="O94" s="547">
        <f>IF(D94="Rəsmi gəlir",AA10,IF(D94="Qeyri rəsmi gəlir",AB10))</f>
        <v>0</v>
      </c>
      <c r="P94" s="547" t="b">
        <f t="shared" si="6"/>
        <v>0</v>
      </c>
      <c r="Q94" s="548">
        <f t="shared" si="7"/>
        <v>0</v>
      </c>
      <c r="R94" s="543" t="str">
        <f t="shared" si="9"/>
        <v>-</v>
      </c>
      <c r="S94" s="549"/>
      <c r="T94" s="543" t="e">
        <f t="shared" si="10"/>
        <v>#VALUE!</v>
      </c>
      <c r="U94" s="548" t="e">
        <f t="shared" si="8"/>
        <v>#VALUE!</v>
      </c>
      <c r="V94" s="548" t="e">
        <f t="shared" si="11"/>
        <v>#VALUE!</v>
      </c>
      <c r="W94" s="544"/>
      <c r="X94" s="556"/>
    </row>
    <row r="95" spans="1:24">
      <c r="A95" s="552">
        <v>93</v>
      </c>
      <c r="B95" s="560"/>
      <c r="C95" s="554"/>
      <c r="D95" s="544" t="s">
        <v>799</v>
      </c>
      <c r="E95" s="555"/>
      <c r="F95" s="545">
        <f>E95-(E95*Z13)</f>
        <v>0</v>
      </c>
      <c r="G95" s="546"/>
      <c r="H95" s="547">
        <f>IF(D95="Rəsmi gəlir",AA3,IF(D95="Qeyri rəsmi gəlir",AB3))</f>
        <v>7.0000000000000007E-2</v>
      </c>
      <c r="I95" s="547">
        <f>IF(D95="Rəsmi gəlir",AA4,IF(D95="Qeyri rəsmi gəlir",AB4))</f>
        <v>0.12</v>
      </c>
      <c r="J95" s="547">
        <f>IF(D95="Rəsmi gəlir",AA5,IF(D95="Qeyri rəsmi gəlir",AB5))</f>
        <v>0.16</v>
      </c>
      <c r="K95" s="547">
        <f>IF(D95="Rəsmi gəlir",AA6,IF(D95="Qeyri rəsmi gəlir",AB6))</f>
        <v>0.2</v>
      </c>
      <c r="L95" s="547">
        <f>IF(D95="Rəsmi gəlir",AA7,IF(D95="Qeyri rəsmi gəlir",AB7))</f>
        <v>0.23</v>
      </c>
      <c r="M95" s="547">
        <f>IF(D95="Rəsmi gəlir",AA8,IF(D95="Qeyri rəsmi gəlir",AB8))</f>
        <v>0.25600000000000001</v>
      </c>
      <c r="N95" s="547">
        <f>IF(D95="Rəsmi gəlir",AA9,IF(D95="Qeyri rəsmi gəlir",AB9))</f>
        <v>0.28550000000000003</v>
      </c>
      <c r="O95" s="547">
        <f>IF(D95="Rəsmi gəlir",AA10,IF(D95="Qeyri rəsmi gəlir",AB10))</f>
        <v>0</v>
      </c>
      <c r="P95" s="547" t="b">
        <f t="shared" si="6"/>
        <v>0</v>
      </c>
      <c r="Q95" s="548">
        <f t="shared" si="7"/>
        <v>0</v>
      </c>
      <c r="R95" s="543" t="str">
        <f t="shared" si="9"/>
        <v>-</v>
      </c>
      <c r="S95" s="549"/>
      <c r="T95" s="543" t="e">
        <f t="shared" si="10"/>
        <v>#VALUE!</v>
      </c>
      <c r="U95" s="548" t="e">
        <f t="shared" si="8"/>
        <v>#VALUE!</v>
      </c>
      <c r="V95" s="548" t="e">
        <f t="shared" si="11"/>
        <v>#VALUE!</v>
      </c>
      <c r="W95" s="544"/>
      <c r="X95" s="556"/>
    </row>
    <row r="96" spans="1:24">
      <c r="A96" s="552">
        <v>94</v>
      </c>
      <c r="B96" s="560"/>
      <c r="C96" s="554"/>
      <c r="D96" s="544" t="s">
        <v>799</v>
      </c>
      <c r="E96" s="555"/>
      <c r="F96" s="545">
        <f>E96-(E96*Z13)</f>
        <v>0</v>
      </c>
      <c r="G96" s="546"/>
      <c r="H96" s="547">
        <f>IF(D96="Rəsmi gəlir",AA3,IF(D96="Qeyri rəsmi gəlir",AB3))</f>
        <v>7.0000000000000007E-2</v>
      </c>
      <c r="I96" s="547">
        <f>IF(D96="Rəsmi gəlir",AA4,IF(D96="Qeyri rəsmi gəlir",AB4))</f>
        <v>0.12</v>
      </c>
      <c r="J96" s="547">
        <f>IF(D96="Rəsmi gəlir",AA5,IF(D96="Qeyri rəsmi gəlir",AB5))</f>
        <v>0.16</v>
      </c>
      <c r="K96" s="547">
        <f>IF(D96="Rəsmi gəlir",AA6,IF(D96="Qeyri rəsmi gəlir",AB6))</f>
        <v>0.2</v>
      </c>
      <c r="L96" s="547">
        <f>IF(D96="Rəsmi gəlir",AA7,IF(D96="Qeyri rəsmi gəlir",AB7))</f>
        <v>0.23</v>
      </c>
      <c r="M96" s="547">
        <f>IF(D96="Rəsmi gəlir",AA8,IF(D96="Qeyri rəsmi gəlir",AB8))</f>
        <v>0.25600000000000001</v>
      </c>
      <c r="N96" s="547">
        <f>IF(D96="Rəsmi gəlir",AA9,IF(D96="Qeyri rəsmi gəlir",AB9))</f>
        <v>0.28550000000000003</v>
      </c>
      <c r="O96" s="547">
        <f>IF(D96="Rəsmi gəlir",AA10,IF(D96="Qeyri rəsmi gəlir",AB10))</f>
        <v>0</v>
      </c>
      <c r="P96" s="547" t="b">
        <f t="shared" si="6"/>
        <v>0</v>
      </c>
      <c r="Q96" s="548">
        <f t="shared" si="7"/>
        <v>0</v>
      </c>
      <c r="R96" s="543" t="str">
        <f t="shared" si="9"/>
        <v>-</v>
      </c>
      <c r="S96" s="549"/>
      <c r="T96" s="543" t="e">
        <f t="shared" si="10"/>
        <v>#VALUE!</v>
      </c>
      <c r="U96" s="548" t="e">
        <f t="shared" si="8"/>
        <v>#VALUE!</v>
      </c>
      <c r="V96" s="548" t="e">
        <f t="shared" si="11"/>
        <v>#VALUE!</v>
      </c>
      <c r="W96" s="544"/>
      <c r="X96" s="556"/>
    </row>
    <row r="97" spans="1:24">
      <c r="A97" s="552">
        <v>95</v>
      </c>
      <c r="B97" s="560"/>
      <c r="C97" s="554"/>
      <c r="D97" s="544" t="s">
        <v>799</v>
      </c>
      <c r="E97" s="555"/>
      <c r="F97" s="545">
        <f>E97-(E97*Z13)</f>
        <v>0</v>
      </c>
      <c r="G97" s="546"/>
      <c r="H97" s="547">
        <f>IF(D97="Rəsmi gəlir",AA3,IF(D97="Qeyri rəsmi gəlir",AB3))</f>
        <v>7.0000000000000007E-2</v>
      </c>
      <c r="I97" s="547">
        <f>IF(D97="Rəsmi gəlir",AA4,IF(D97="Qeyri rəsmi gəlir",AB4))</f>
        <v>0.12</v>
      </c>
      <c r="J97" s="547">
        <f>IF(D97="Rəsmi gəlir",AA5,IF(D97="Qeyri rəsmi gəlir",AB5))</f>
        <v>0.16</v>
      </c>
      <c r="K97" s="547">
        <f>IF(D97="Rəsmi gəlir",AA6,IF(D97="Qeyri rəsmi gəlir",AB6))</f>
        <v>0.2</v>
      </c>
      <c r="L97" s="547">
        <f>IF(D97="Rəsmi gəlir",AA7,IF(D97="Qeyri rəsmi gəlir",AB7))</f>
        <v>0.23</v>
      </c>
      <c r="M97" s="547">
        <f>IF(D97="Rəsmi gəlir",AA8,IF(D97="Qeyri rəsmi gəlir",AB8))</f>
        <v>0.25600000000000001</v>
      </c>
      <c r="N97" s="547">
        <f>IF(D97="Rəsmi gəlir",AA9,IF(D97="Qeyri rəsmi gəlir",AB9))</f>
        <v>0.28550000000000003</v>
      </c>
      <c r="O97" s="547">
        <f>IF(D97="Rəsmi gəlir",AA10,IF(D97="Qeyri rəsmi gəlir",AB10))</f>
        <v>0</v>
      </c>
      <c r="P97" s="547" t="b">
        <f t="shared" si="6"/>
        <v>0</v>
      </c>
      <c r="Q97" s="548">
        <f t="shared" si="7"/>
        <v>0</v>
      </c>
      <c r="R97" s="543" t="str">
        <f t="shared" si="9"/>
        <v>-</v>
      </c>
      <c r="S97" s="549"/>
      <c r="T97" s="543" t="e">
        <f t="shared" si="10"/>
        <v>#VALUE!</v>
      </c>
      <c r="U97" s="548" t="e">
        <f t="shared" si="8"/>
        <v>#VALUE!</v>
      </c>
      <c r="V97" s="548" t="e">
        <f t="shared" si="11"/>
        <v>#VALUE!</v>
      </c>
      <c r="W97" s="544"/>
      <c r="X97" s="556"/>
    </row>
    <row r="98" spans="1:24">
      <c r="A98" s="552">
        <v>96</v>
      </c>
      <c r="B98" s="560"/>
      <c r="C98" s="554"/>
      <c r="D98" s="544" t="s">
        <v>799</v>
      </c>
      <c r="E98" s="555"/>
      <c r="F98" s="545">
        <f>E98-(E98*Z13)</f>
        <v>0</v>
      </c>
      <c r="G98" s="546"/>
      <c r="H98" s="547">
        <f>IF(D98="Rəsmi gəlir",AA3,IF(D98="Qeyri rəsmi gəlir",AB3))</f>
        <v>7.0000000000000007E-2</v>
      </c>
      <c r="I98" s="547">
        <f>IF(D98="Rəsmi gəlir",AA4,IF(D98="Qeyri rəsmi gəlir",AB4))</f>
        <v>0.12</v>
      </c>
      <c r="J98" s="547">
        <f>IF(D98="Rəsmi gəlir",AA5,IF(D98="Qeyri rəsmi gəlir",AB5))</f>
        <v>0.16</v>
      </c>
      <c r="K98" s="547">
        <f>IF(D98="Rəsmi gəlir",AA6,IF(D98="Qeyri rəsmi gəlir",AB6))</f>
        <v>0.2</v>
      </c>
      <c r="L98" s="547">
        <f>IF(D98="Rəsmi gəlir",AA7,IF(D98="Qeyri rəsmi gəlir",AB7))</f>
        <v>0.23</v>
      </c>
      <c r="M98" s="547">
        <f>IF(D98="Rəsmi gəlir",AA8,IF(D98="Qeyri rəsmi gəlir",AB8))</f>
        <v>0.25600000000000001</v>
      </c>
      <c r="N98" s="547">
        <f>IF(D98="Rəsmi gəlir",AA9,IF(D98="Qeyri rəsmi gəlir",AB9))</f>
        <v>0.28550000000000003</v>
      </c>
      <c r="O98" s="547">
        <f>IF(D98="Rəsmi gəlir",AA10,IF(D98="Qeyri rəsmi gəlir",AB10))</f>
        <v>0</v>
      </c>
      <c r="P98" s="547" t="b">
        <f t="shared" si="6"/>
        <v>0</v>
      </c>
      <c r="Q98" s="548">
        <f t="shared" si="7"/>
        <v>0</v>
      </c>
      <c r="R98" s="543" t="str">
        <f t="shared" si="9"/>
        <v>-</v>
      </c>
      <c r="S98" s="549"/>
      <c r="T98" s="543" t="e">
        <f t="shared" si="10"/>
        <v>#VALUE!</v>
      </c>
      <c r="U98" s="548" t="e">
        <f t="shared" si="8"/>
        <v>#VALUE!</v>
      </c>
      <c r="V98" s="548" t="e">
        <f t="shared" si="11"/>
        <v>#VALUE!</v>
      </c>
      <c r="W98" s="544"/>
      <c r="X98" s="556"/>
    </row>
    <row r="99" spans="1:24">
      <c r="A99" s="552">
        <v>97</v>
      </c>
      <c r="B99" s="560"/>
      <c r="C99" s="554"/>
      <c r="D99" s="544" t="s">
        <v>799</v>
      </c>
      <c r="E99" s="555"/>
      <c r="F99" s="545">
        <f>E99-(E99*Z13)</f>
        <v>0</v>
      </c>
      <c r="G99" s="546"/>
      <c r="H99" s="547">
        <f>IF(D99="Rəsmi gəlir",AA3,IF(D99="Qeyri rəsmi gəlir",AB3))</f>
        <v>7.0000000000000007E-2</v>
      </c>
      <c r="I99" s="547">
        <f>IF(D99="Rəsmi gəlir",AA4,IF(D99="Qeyri rəsmi gəlir",AB4))</f>
        <v>0.12</v>
      </c>
      <c r="J99" s="547">
        <f>IF(D99="Rəsmi gəlir",AA5,IF(D99="Qeyri rəsmi gəlir",AB5))</f>
        <v>0.16</v>
      </c>
      <c r="K99" s="547">
        <f>IF(D99="Rəsmi gəlir",AA6,IF(D99="Qeyri rəsmi gəlir",AB6))</f>
        <v>0.2</v>
      </c>
      <c r="L99" s="547">
        <f>IF(D99="Rəsmi gəlir",AA7,IF(D99="Qeyri rəsmi gəlir",AB7))</f>
        <v>0.23</v>
      </c>
      <c r="M99" s="547">
        <f>IF(D99="Rəsmi gəlir",AA8,IF(D99="Qeyri rəsmi gəlir",AB8))</f>
        <v>0.25600000000000001</v>
      </c>
      <c r="N99" s="547">
        <f>IF(D99="Rəsmi gəlir",AA9,IF(D99="Qeyri rəsmi gəlir",AB9))</f>
        <v>0.28550000000000003</v>
      </c>
      <c r="O99" s="547">
        <f>IF(D99="Rəsmi gəlir",AA10,IF(D99="Qeyri rəsmi gəlir",AB10))</f>
        <v>0</v>
      </c>
      <c r="P99" s="547" t="b">
        <f t="shared" si="6"/>
        <v>0</v>
      </c>
      <c r="Q99" s="548">
        <f t="shared" si="7"/>
        <v>0</v>
      </c>
      <c r="R99" s="543" t="str">
        <f t="shared" si="9"/>
        <v>-</v>
      </c>
      <c r="S99" s="549"/>
      <c r="T99" s="543" t="e">
        <f t="shared" si="10"/>
        <v>#VALUE!</v>
      </c>
      <c r="U99" s="548" t="e">
        <f t="shared" si="8"/>
        <v>#VALUE!</v>
      </c>
      <c r="V99" s="548" t="e">
        <f t="shared" si="11"/>
        <v>#VALUE!</v>
      </c>
      <c r="W99" s="544"/>
      <c r="X99" s="556"/>
    </row>
    <row r="100" spans="1:24">
      <c r="A100" s="552">
        <v>98</v>
      </c>
      <c r="B100" s="560"/>
      <c r="C100" s="554"/>
      <c r="D100" s="544" t="s">
        <v>799</v>
      </c>
      <c r="E100" s="555"/>
      <c r="F100" s="545">
        <f>E100-(E100*Z13)</f>
        <v>0</v>
      </c>
      <c r="G100" s="546"/>
      <c r="H100" s="547">
        <f>IF(D100="Rəsmi gəlir",AA3,IF(D100="Qeyri rəsmi gəlir",AB3))</f>
        <v>7.0000000000000007E-2</v>
      </c>
      <c r="I100" s="547">
        <f>IF(D100="Rəsmi gəlir",AA4,IF(D100="Qeyri rəsmi gəlir",AB4))</f>
        <v>0.12</v>
      </c>
      <c r="J100" s="547">
        <f>IF(D100="Rəsmi gəlir",AA5,IF(D100="Qeyri rəsmi gəlir",AB5))</f>
        <v>0.16</v>
      </c>
      <c r="K100" s="547">
        <f>IF(D100="Rəsmi gəlir",AA6,IF(D100="Qeyri rəsmi gəlir",AB6))</f>
        <v>0.2</v>
      </c>
      <c r="L100" s="547">
        <f>IF(D100="Rəsmi gəlir",AA7,IF(D100="Qeyri rəsmi gəlir",AB7))</f>
        <v>0.23</v>
      </c>
      <c r="M100" s="547">
        <f>IF(D100="Rəsmi gəlir",AA8,IF(D100="Qeyri rəsmi gəlir",AB8))</f>
        <v>0.25600000000000001</v>
      </c>
      <c r="N100" s="547">
        <f>IF(D100="Rəsmi gəlir",AA9,IF(D100="Qeyri rəsmi gəlir",AB9))</f>
        <v>0.28550000000000003</v>
      </c>
      <c r="O100" s="547">
        <f>IF(D100="Rəsmi gəlir",AA10,IF(D100="Qeyri rəsmi gəlir",AB10))</f>
        <v>0</v>
      </c>
      <c r="P100" s="547" t="b">
        <f t="shared" si="6"/>
        <v>0</v>
      </c>
      <c r="Q100" s="548">
        <f t="shared" si="7"/>
        <v>0</v>
      </c>
      <c r="R100" s="543" t="str">
        <f t="shared" si="9"/>
        <v>-</v>
      </c>
      <c r="S100" s="549"/>
      <c r="T100" s="543" t="e">
        <f t="shared" si="10"/>
        <v>#VALUE!</v>
      </c>
      <c r="U100" s="548" t="e">
        <f t="shared" si="8"/>
        <v>#VALUE!</v>
      </c>
      <c r="V100" s="548" t="e">
        <f t="shared" si="11"/>
        <v>#VALUE!</v>
      </c>
      <c r="W100" s="544"/>
      <c r="X100" s="556"/>
    </row>
    <row r="101" spans="1:24">
      <c r="A101" s="552">
        <v>99</v>
      </c>
      <c r="B101" s="560"/>
      <c r="C101" s="554"/>
      <c r="D101" s="544" t="s">
        <v>799</v>
      </c>
      <c r="E101" s="555"/>
      <c r="F101" s="545">
        <f>E101-(E101*Z13)</f>
        <v>0</v>
      </c>
      <c r="G101" s="546"/>
      <c r="H101" s="547">
        <f>IF(D101="Rəsmi gəlir",AA3,IF(D101="Qeyri rəsmi gəlir",AB3))</f>
        <v>7.0000000000000007E-2</v>
      </c>
      <c r="I101" s="547">
        <f>IF(D101="Rəsmi gəlir",AA4,IF(D101="Qeyri rəsmi gəlir",AB4))</f>
        <v>0.12</v>
      </c>
      <c r="J101" s="547">
        <f>IF(D101="Rəsmi gəlir",AA5,IF(D101="Qeyri rəsmi gəlir",AB5))</f>
        <v>0.16</v>
      </c>
      <c r="K101" s="547">
        <f>IF(D101="Rəsmi gəlir",AA6,IF(D101="Qeyri rəsmi gəlir",AB6))</f>
        <v>0.2</v>
      </c>
      <c r="L101" s="547">
        <f>IF(D101="Rəsmi gəlir",AA7,IF(D101="Qeyri rəsmi gəlir",AB7))</f>
        <v>0.23</v>
      </c>
      <c r="M101" s="547">
        <f>IF(D101="Rəsmi gəlir",AA8,IF(D101="Qeyri rəsmi gəlir",AB8))</f>
        <v>0.25600000000000001</v>
      </c>
      <c r="N101" s="547">
        <f>IF(D101="Rəsmi gəlir",AA9,IF(D101="Qeyri rəsmi gəlir",AB9))</f>
        <v>0.28550000000000003</v>
      </c>
      <c r="O101" s="547">
        <f>IF(D101="Rəsmi gəlir",AA10,IF(D101="Qeyri rəsmi gəlir",AB10))</f>
        <v>0</v>
      </c>
      <c r="P101" s="547" t="b">
        <f t="shared" si="6"/>
        <v>0</v>
      </c>
      <c r="Q101" s="548">
        <f t="shared" si="7"/>
        <v>0</v>
      </c>
      <c r="R101" s="543" t="str">
        <f t="shared" si="9"/>
        <v>-</v>
      </c>
      <c r="S101" s="549"/>
      <c r="T101" s="543" t="e">
        <f t="shared" si="10"/>
        <v>#VALUE!</v>
      </c>
      <c r="U101" s="548" t="e">
        <f t="shared" si="8"/>
        <v>#VALUE!</v>
      </c>
      <c r="V101" s="548" t="e">
        <f t="shared" si="11"/>
        <v>#VALUE!</v>
      </c>
      <c r="W101" s="544"/>
      <c r="X101" s="556"/>
    </row>
    <row r="102" spans="1:24">
      <c r="A102" s="552">
        <v>100</v>
      </c>
      <c r="B102" s="560"/>
      <c r="C102" s="554"/>
      <c r="D102" s="544" t="s">
        <v>799</v>
      </c>
      <c r="E102" s="555"/>
      <c r="F102" s="545">
        <f>E102-(E102*Z13)</f>
        <v>0</v>
      </c>
      <c r="G102" s="546"/>
      <c r="H102" s="547">
        <f>IF(D102="Rəsmi gəlir",AA3,IF(D102="Qeyri rəsmi gəlir",AB3))</f>
        <v>7.0000000000000007E-2</v>
      </c>
      <c r="I102" s="547">
        <f>IF(D102="Rəsmi gəlir",AA4,IF(D102="Qeyri rəsmi gəlir",AB4))</f>
        <v>0.12</v>
      </c>
      <c r="J102" s="547">
        <f>IF(D102="Rəsmi gəlir",AA5,IF(D102="Qeyri rəsmi gəlir",AB5))</f>
        <v>0.16</v>
      </c>
      <c r="K102" s="547">
        <f>IF(D102="Rəsmi gəlir",AA6,IF(D102="Qeyri rəsmi gəlir",AB6))</f>
        <v>0.2</v>
      </c>
      <c r="L102" s="547">
        <f>IF(D102="Rəsmi gəlir",AA7,IF(D102="Qeyri rəsmi gəlir",AB7))</f>
        <v>0.23</v>
      </c>
      <c r="M102" s="547">
        <f>IF(D102="Rəsmi gəlir",AA8,IF(D102="Qeyri rəsmi gəlir",AB8))</f>
        <v>0.25600000000000001</v>
      </c>
      <c r="N102" s="547">
        <f>IF(D102="Rəsmi gəlir",AA9,IF(D102="Qeyri rəsmi gəlir",AB9))</f>
        <v>0.28550000000000003</v>
      </c>
      <c r="O102" s="547">
        <f>IF(D102="Rəsmi gəlir",AA10,IF(D102="Qeyri rəsmi gəlir",AB10))</f>
        <v>0</v>
      </c>
      <c r="P102" s="547" t="b">
        <f t="shared" si="6"/>
        <v>0</v>
      </c>
      <c r="Q102" s="548">
        <f t="shared" si="7"/>
        <v>0</v>
      </c>
      <c r="R102" s="543" t="str">
        <f t="shared" si="9"/>
        <v>-</v>
      </c>
      <c r="S102" s="549"/>
      <c r="T102" s="543" t="e">
        <f t="shared" si="10"/>
        <v>#VALUE!</v>
      </c>
      <c r="U102" s="548" t="e">
        <f t="shared" si="8"/>
        <v>#VALUE!</v>
      </c>
      <c r="V102" s="548" t="e">
        <f t="shared" si="11"/>
        <v>#VALUE!</v>
      </c>
      <c r="W102" s="544"/>
      <c r="X102" s="556"/>
    </row>
    <row r="103" spans="1:24">
      <c r="A103" s="552">
        <v>101</v>
      </c>
      <c r="B103" s="560"/>
      <c r="C103" s="554"/>
      <c r="D103" s="544" t="s">
        <v>799</v>
      </c>
      <c r="E103" s="555"/>
      <c r="F103" s="545">
        <f>E103-(E103*Z13)</f>
        <v>0</v>
      </c>
      <c r="G103" s="546"/>
      <c r="H103" s="547">
        <f>IF(D103="Rəsmi gəlir",AA3,IF(D103="Qeyri rəsmi gəlir",AB3))</f>
        <v>7.0000000000000007E-2</v>
      </c>
      <c r="I103" s="547">
        <f>IF(D103="Rəsmi gəlir",AA4,IF(D103="Qeyri rəsmi gəlir",AB4))</f>
        <v>0.12</v>
      </c>
      <c r="J103" s="547">
        <f>IF(D103="Rəsmi gəlir",AA5,IF(D103="Qeyri rəsmi gəlir",AB5))</f>
        <v>0.16</v>
      </c>
      <c r="K103" s="547">
        <f>IF(D103="Rəsmi gəlir",AA6,IF(D103="Qeyri rəsmi gəlir",AB6))</f>
        <v>0.2</v>
      </c>
      <c r="L103" s="547">
        <f>IF(D103="Rəsmi gəlir",AA7,IF(D103="Qeyri rəsmi gəlir",AB7))</f>
        <v>0.23</v>
      </c>
      <c r="M103" s="547">
        <f>IF(D103="Rəsmi gəlir",AA8,IF(D103="Qeyri rəsmi gəlir",AB8))</f>
        <v>0.25600000000000001</v>
      </c>
      <c r="N103" s="547">
        <f>IF(D103="Rəsmi gəlir",AA9,IF(D103="Qeyri rəsmi gəlir",AB9))</f>
        <v>0.28550000000000003</v>
      </c>
      <c r="O103" s="547">
        <f>IF(D103="Rəsmi gəlir",AA10,IF(D103="Qeyri rəsmi gəlir",AB10))</f>
        <v>0</v>
      </c>
      <c r="P103" s="547" t="b">
        <f t="shared" si="6"/>
        <v>0</v>
      </c>
      <c r="Q103" s="548">
        <f t="shared" si="7"/>
        <v>0</v>
      </c>
      <c r="R103" s="543" t="str">
        <f t="shared" si="9"/>
        <v>-</v>
      </c>
      <c r="S103" s="549"/>
      <c r="T103" s="543" t="e">
        <f t="shared" si="10"/>
        <v>#VALUE!</v>
      </c>
      <c r="U103" s="548" t="e">
        <f t="shared" si="8"/>
        <v>#VALUE!</v>
      </c>
      <c r="V103" s="548" t="e">
        <f t="shared" si="11"/>
        <v>#VALUE!</v>
      </c>
      <c r="W103" s="544"/>
      <c r="X103" s="556"/>
    </row>
    <row r="104" spans="1:24">
      <c r="A104" s="552">
        <v>102</v>
      </c>
      <c r="B104" s="560"/>
      <c r="C104" s="554"/>
      <c r="D104" s="544" t="s">
        <v>799</v>
      </c>
      <c r="E104" s="555"/>
      <c r="F104" s="545">
        <f>E104-(E104*Z13)</f>
        <v>0</v>
      </c>
      <c r="G104" s="546"/>
      <c r="H104" s="547">
        <f>IF(D104="Rəsmi gəlir",AA3,IF(D104="Qeyri rəsmi gəlir",AB3))</f>
        <v>7.0000000000000007E-2</v>
      </c>
      <c r="I104" s="547">
        <f>IF(D104="Rəsmi gəlir",AA4,IF(D104="Qeyri rəsmi gəlir",AB4))</f>
        <v>0.12</v>
      </c>
      <c r="J104" s="547">
        <f>IF(D104="Rəsmi gəlir",AA5,IF(D104="Qeyri rəsmi gəlir",AB5))</f>
        <v>0.16</v>
      </c>
      <c r="K104" s="547">
        <f>IF(D104="Rəsmi gəlir",AA6,IF(D104="Qeyri rəsmi gəlir",AB6))</f>
        <v>0.2</v>
      </c>
      <c r="L104" s="547">
        <f>IF(D104="Rəsmi gəlir",AA7,IF(D104="Qeyri rəsmi gəlir",AB7))</f>
        <v>0.23</v>
      </c>
      <c r="M104" s="547">
        <f>IF(D104="Rəsmi gəlir",AA8,IF(D104="Qeyri rəsmi gəlir",AB8))</f>
        <v>0.25600000000000001</v>
      </c>
      <c r="N104" s="547">
        <f>IF(D104="Rəsmi gəlir",AA9,IF(D104="Qeyri rəsmi gəlir",AB9))</f>
        <v>0.28550000000000003</v>
      </c>
      <c r="O104" s="547">
        <f>IF(D104="Rəsmi gəlir",AA10,IF(D104="Qeyri rəsmi gəlir",AB10))</f>
        <v>0</v>
      </c>
      <c r="P104" s="547" t="b">
        <f t="shared" si="6"/>
        <v>0</v>
      </c>
      <c r="Q104" s="548">
        <f t="shared" si="7"/>
        <v>0</v>
      </c>
      <c r="R104" s="543" t="str">
        <f t="shared" si="9"/>
        <v>-</v>
      </c>
      <c r="S104" s="549"/>
      <c r="T104" s="543" t="e">
        <f t="shared" si="10"/>
        <v>#VALUE!</v>
      </c>
      <c r="U104" s="548" t="e">
        <f t="shared" si="8"/>
        <v>#VALUE!</v>
      </c>
      <c r="V104" s="548" t="e">
        <f t="shared" si="11"/>
        <v>#VALUE!</v>
      </c>
      <c r="W104" s="544"/>
      <c r="X104" s="556"/>
    </row>
    <row r="105" spans="1:24">
      <c r="A105" s="552">
        <v>103</v>
      </c>
      <c r="B105" s="560"/>
      <c r="C105" s="554"/>
      <c r="D105" s="544" t="s">
        <v>799</v>
      </c>
      <c r="E105" s="555"/>
      <c r="F105" s="545">
        <f>E105-(E105*Z13)</f>
        <v>0</v>
      </c>
      <c r="G105" s="546"/>
      <c r="H105" s="547">
        <f>IF(D105="Rəsmi gəlir",AA3,IF(D105="Qeyri rəsmi gəlir",AB3))</f>
        <v>7.0000000000000007E-2</v>
      </c>
      <c r="I105" s="547">
        <f>IF(D105="Rəsmi gəlir",AA4,IF(D105="Qeyri rəsmi gəlir",AB4))</f>
        <v>0.12</v>
      </c>
      <c r="J105" s="547">
        <f>IF(D105="Rəsmi gəlir",AA5,IF(D105="Qeyri rəsmi gəlir",AB5))</f>
        <v>0.16</v>
      </c>
      <c r="K105" s="547">
        <f>IF(D105="Rəsmi gəlir",AA6,IF(D105="Qeyri rəsmi gəlir",AB6))</f>
        <v>0.2</v>
      </c>
      <c r="L105" s="547">
        <f>IF(D105="Rəsmi gəlir",AA7,IF(D105="Qeyri rəsmi gəlir",AB7))</f>
        <v>0.23</v>
      </c>
      <c r="M105" s="547">
        <f>IF(D105="Rəsmi gəlir",AA8,IF(D105="Qeyri rəsmi gəlir",AB8))</f>
        <v>0.25600000000000001</v>
      </c>
      <c r="N105" s="547">
        <f>IF(D105="Rəsmi gəlir",AA9,IF(D105="Qeyri rəsmi gəlir",AB9))</f>
        <v>0.28550000000000003</v>
      </c>
      <c r="O105" s="547">
        <f>IF(D105="Rəsmi gəlir",AA10,IF(D105="Qeyri rəsmi gəlir",AB10))</f>
        <v>0</v>
      </c>
      <c r="P105" s="547" t="b">
        <f t="shared" si="6"/>
        <v>0</v>
      </c>
      <c r="Q105" s="548">
        <f t="shared" si="7"/>
        <v>0</v>
      </c>
      <c r="R105" s="543" t="str">
        <f t="shared" si="9"/>
        <v>-</v>
      </c>
      <c r="S105" s="549"/>
      <c r="T105" s="543" t="e">
        <f t="shared" si="10"/>
        <v>#VALUE!</v>
      </c>
      <c r="U105" s="548" t="e">
        <f t="shared" si="8"/>
        <v>#VALUE!</v>
      </c>
      <c r="V105" s="548" t="e">
        <f t="shared" si="11"/>
        <v>#VALUE!</v>
      </c>
      <c r="W105" s="544"/>
      <c r="X105" s="556"/>
    </row>
    <row r="106" spans="1:24">
      <c r="A106" s="552">
        <v>104</v>
      </c>
      <c r="B106" s="560"/>
      <c r="C106" s="554"/>
      <c r="D106" s="544" t="s">
        <v>799</v>
      </c>
      <c r="E106" s="555"/>
      <c r="F106" s="545">
        <f>E106-(E106*Z13)</f>
        <v>0</v>
      </c>
      <c r="G106" s="546"/>
      <c r="H106" s="547">
        <f>IF(D106="Rəsmi gəlir",AA3,IF(D106="Qeyri rəsmi gəlir",AB3))</f>
        <v>7.0000000000000007E-2</v>
      </c>
      <c r="I106" s="547">
        <f>IF(D106="Rəsmi gəlir",AA4,IF(D106="Qeyri rəsmi gəlir",AB4))</f>
        <v>0.12</v>
      </c>
      <c r="J106" s="547">
        <f>IF(D106="Rəsmi gəlir",AA5,IF(D106="Qeyri rəsmi gəlir",AB5))</f>
        <v>0.16</v>
      </c>
      <c r="K106" s="547">
        <f>IF(D106="Rəsmi gəlir",AA6,IF(D106="Qeyri rəsmi gəlir",AB6))</f>
        <v>0.2</v>
      </c>
      <c r="L106" s="547">
        <f>IF(D106="Rəsmi gəlir",AA7,IF(D106="Qeyri rəsmi gəlir",AB7))</f>
        <v>0.23</v>
      </c>
      <c r="M106" s="547">
        <f>IF(D106="Rəsmi gəlir",AA8,IF(D106="Qeyri rəsmi gəlir",AB8))</f>
        <v>0.25600000000000001</v>
      </c>
      <c r="N106" s="547">
        <f>IF(D106="Rəsmi gəlir",AA9,IF(D106="Qeyri rəsmi gəlir",AB9))</f>
        <v>0.28550000000000003</v>
      </c>
      <c r="O106" s="547">
        <f>IF(D106="Rəsmi gəlir",AA10,IF(D106="Qeyri rəsmi gəlir",AB10))</f>
        <v>0</v>
      </c>
      <c r="P106" s="547" t="b">
        <f t="shared" si="6"/>
        <v>0</v>
      </c>
      <c r="Q106" s="548">
        <f t="shared" si="7"/>
        <v>0</v>
      </c>
      <c r="R106" s="543" t="str">
        <f t="shared" si="9"/>
        <v>-</v>
      </c>
      <c r="S106" s="549"/>
      <c r="T106" s="543" t="e">
        <f t="shared" si="10"/>
        <v>#VALUE!</v>
      </c>
      <c r="U106" s="548" t="e">
        <f t="shared" si="8"/>
        <v>#VALUE!</v>
      </c>
      <c r="V106" s="548" t="e">
        <f t="shared" si="11"/>
        <v>#VALUE!</v>
      </c>
      <c r="W106" s="544"/>
      <c r="X106" s="556"/>
    </row>
    <row r="107" spans="1:24">
      <c r="A107" s="552">
        <v>105</v>
      </c>
      <c r="B107" s="560"/>
      <c r="C107" s="554"/>
      <c r="D107" s="544" t="s">
        <v>799</v>
      </c>
      <c r="E107" s="555"/>
      <c r="F107" s="545">
        <f>E107-(E107*Z13)</f>
        <v>0</v>
      </c>
      <c r="G107" s="546"/>
      <c r="H107" s="547">
        <f>IF(D107="Rəsmi gəlir",AA3,IF(D107="Qeyri rəsmi gəlir",AB3))</f>
        <v>7.0000000000000007E-2</v>
      </c>
      <c r="I107" s="547">
        <f>IF(D107="Rəsmi gəlir",AA4,IF(D107="Qeyri rəsmi gəlir",AB4))</f>
        <v>0.12</v>
      </c>
      <c r="J107" s="547">
        <f>IF(D107="Rəsmi gəlir",AA5,IF(D107="Qeyri rəsmi gəlir",AB5))</f>
        <v>0.16</v>
      </c>
      <c r="K107" s="547">
        <f>IF(D107="Rəsmi gəlir",AA6,IF(D107="Qeyri rəsmi gəlir",AB6))</f>
        <v>0.2</v>
      </c>
      <c r="L107" s="547">
        <f>IF(D107="Rəsmi gəlir",AA7,IF(D107="Qeyri rəsmi gəlir",AB7))</f>
        <v>0.23</v>
      </c>
      <c r="M107" s="547">
        <f>IF(D107="Rəsmi gəlir",AA8,IF(D107="Qeyri rəsmi gəlir",AB8))</f>
        <v>0.25600000000000001</v>
      </c>
      <c r="N107" s="547">
        <f>IF(D107="Rəsmi gəlir",AA9,IF(D107="Qeyri rəsmi gəlir",AB9))</f>
        <v>0.28550000000000003</v>
      </c>
      <c r="O107" s="547">
        <f>IF(D107="Rəsmi gəlir",AA10,IF(D107="Qeyri rəsmi gəlir",AB10))</f>
        <v>0</v>
      </c>
      <c r="P107" s="547" t="b">
        <f t="shared" si="6"/>
        <v>0</v>
      </c>
      <c r="Q107" s="548">
        <f t="shared" si="7"/>
        <v>0</v>
      </c>
      <c r="R107" s="543" t="str">
        <f t="shared" si="9"/>
        <v>-</v>
      </c>
      <c r="S107" s="549"/>
      <c r="T107" s="543" t="e">
        <f t="shared" si="10"/>
        <v>#VALUE!</v>
      </c>
      <c r="U107" s="548" t="e">
        <f t="shared" si="8"/>
        <v>#VALUE!</v>
      </c>
      <c r="V107" s="548" t="e">
        <f t="shared" si="11"/>
        <v>#VALUE!</v>
      </c>
      <c r="W107" s="544"/>
      <c r="X107" s="556"/>
    </row>
    <row r="108" spans="1:24">
      <c r="A108" s="552">
        <v>106</v>
      </c>
      <c r="B108" s="560"/>
      <c r="C108" s="554"/>
      <c r="D108" s="544" t="s">
        <v>799</v>
      </c>
      <c r="E108" s="555"/>
      <c r="F108" s="545">
        <f>E108-(E108*Z13)</f>
        <v>0</v>
      </c>
      <c r="G108" s="546"/>
      <c r="H108" s="547">
        <f>IF(D108="Rəsmi gəlir",AA3,IF(D108="Qeyri rəsmi gəlir",AB3))</f>
        <v>7.0000000000000007E-2</v>
      </c>
      <c r="I108" s="547">
        <f>IF(D108="Rəsmi gəlir",AA4,IF(D108="Qeyri rəsmi gəlir",AB4))</f>
        <v>0.12</v>
      </c>
      <c r="J108" s="547">
        <f>IF(D108="Rəsmi gəlir",AA5,IF(D108="Qeyri rəsmi gəlir",AB5))</f>
        <v>0.16</v>
      </c>
      <c r="K108" s="547">
        <f>IF(D108="Rəsmi gəlir",AA6,IF(D108="Qeyri rəsmi gəlir",AB6))</f>
        <v>0.2</v>
      </c>
      <c r="L108" s="547">
        <f>IF(D108="Rəsmi gəlir",AA7,IF(D108="Qeyri rəsmi gəlir",AB7))</f>
        <v>0.23</v>
      </c>
      <c r="M108" s="547">
        <f>IF(D108="Rəsmi gəlir",AA8,IF(D108="Qeyri rəsmi gəlir",AB8))</f>
        <v>0.25600000000000001</v>
      </c>
      <c r="N108" s="547">
        <f>IF(D108="Rəsmi gəlir",AA9,IF(D108="Qeyri rəsmi gəlir",AB9))</f>
        <v>0.28550000000000003</v>
      </c>
      <c r="O108" s="547">
        <f>IF(D108="Rəsmi gəlir",AA10,IF(D108="Qeyri rəsmi gəlir",AB10))</f>
        <v>0</v>
      </c>
      <c r="P108" s="547" t="b">
        <f t="shared" si="6"/>
        <v>0</v>
      </c>
      <c r="Q108" s="548">
        <f t="shared" si="7"/>
        <v>0</v>
      </c>
      <c r="R108" s="543" t="str">
        <f t="shared" si="9"/>
        <v>-</v>
      </c>
      <c r="S108" s="549"/>
      <c r="T108" s="543" t="e">
        <f t="shared" si="10"/>
        <v>#VALUE!</v>
      </c>
      <c r="U108" s="548" t="e">
        <f t="shared" si="8"/>
        <v>#VALUE!</v>
      </c>
      <c r="V108" s="548" t="e">
        <f t="shared" si="11"/>
        <v>#VALUE!</v>
      </c>
      <c r="W108" s="544"/>
      <c r="X108" s="556"/>
    </row>
    <row r="109" spans="1:24">
      <c r="A109" s="552">
        <v>107</v>
      </c>
      <c r="B109" s="560"/>
      <c r="C109" s="554"/>
      <c r="D109" s="544" t="s">
        <v>799</v>
      </c>
      <c r="E109" s="555"/>
      <c r="F109" s="545">
        <f>E109-(E109*Z13)</f>
        <v>0</v>
      </c>
      <c r="G109" s="546"/>
      <c r="H109" s="547">
        <f>IF(D109="Rəsmi gəlir",AA3,IF(D109="Qeyri rəsmi gəlir",AB3))</f>
        <v>7.0000000000000007E-2</v>
      </c>
      <c r="I109" s="547">
        <f>IF(D109="Rəsmi gəlir",AA4,IF(D109="Qeyri rəsmi gəlir",AB4))</f>
        <v>0.12</v>
      </c>
      <c r="J109" s="547">
        <f>IF(D109="Rəsmi gəlir",AA5,IF(D109="Qeyri rəsmi gəlir",AB5))</f>
        <v>0.16</v>
      </c>
      <c r="K109" s="547">
        <f>IF(D109="Rəsmi gəlir",AA6,IF(D109="Qeyri rəsmi gəlir",AB6))</f>
        <v>0.2</v>
      </c>
      <c r="L109" s="547">
        <f>IF(D109="Rəsmi gəlir",AA7,IF(D109="Qeyri rəsmi gəlir",AB7))</f>
        <v>0.23</v>
      </c>
      <c r="M109" s="547">
        <f>IF(D109="Rəsmi gəlir",AA8,IF(D109="Qeyri rəsmi gəlir",AB8))</f>
        <v>0.25600000000000001</v>
      </c>
      <c r="N109" s="547">
        <f>IF(D109="Rəsmi gəlir",AA9,IF(D109="Qeyri rəsmi gəlir",AB9))</f>
        <v>0.28550000000000003</v>
      </c>
      <c r="O109" s="547">
        <f>IF(D109="Rəsmi gəlir",AA10,IF(D109="Qeyri rəsmi gəlir",AB10))</f>
        <v>0</v>
      </c>
      <c r="P109" s="547" t="b">
        <f t="shared" si="6"/>
        <v>0</v>
      </c>
      <c r="Q109" s="548">
        <f t="shared" si="7"/>
        <v>0</v>
      </c>
      <c r="R109" s="543" t="str">
        <f t="shared" si="9"/>
        <v>-</v>
      </c>
      <c r="S109" s="549"/>
      <c r="T109" s="543" t="e">
        <f t="shared" si="10"/>
        <v>#VALUE!</v>
      </c>
      <c r="U109" s="548" t="e">
        <f t="shared" si="8"/>
        <v>#VALUE!</v>
      </c>
      <c r="V109" s="548" t="e">
        <f t="shared" si="11"/>
        <v>#VALUE!</v>
      </c>
      <c r="W109" s="544"/>
      <c r="X109" s="556"/>
    </row>
    <row r="110" spans="1:24">
      <c r="A110" s="552">
        <v>108</v>
      </c>
      <c r="B110" s="560"/>
      <c r="C110" s="554"/>
      <c r="D110" s="544" t="s">
        <v>799</v>
      </c>
      <c r="E110" s="555"/>
      <c r="F110" s="545">
        <f>E110-(E110*Z13)</f>
        <v>0</v>
      </c>
      <c r="G110" s="546"/>
      <c r="H110" s="547">
        <f>IF(D110="Rəsmi gəlir",AA3,IF(D110="Qeyri rəsmi gəlir",AB3))</f>
        <v>7.0000000000000007E-2</v>
      </c>
      <c r="I110" s="547">
        <f>IF(D110="Rəsmi gəlir",AA4,IF(D110="Qeyri rəsmi gəlir",AB4))</f>
        <v>0.12</v>
      </c>
      <c r="J110" s="547">
        <f>IF(D110="Rəsmi gəlir",AA5,IF(D110="Qeyri rəsmi gəlir",AB5))</f>
        <v>0.16</v>
      </c>
      <c r="K110" s="547">
        <f>IF(D110="Rəsmi gəlir",AA6,IF(D110="Qeyri rəsmi gəlir",AB6))</f>
        <v>0.2</v>
      </c>
      <c r="L110" s="547">
        <f>IF(D110="Rəsmi gəlir",AA7,IF(D110="Qeyri rəsmi gəlir",AB7))</f>
        <v>0.23</v>
      </c>
      <c r="M110" s="547">
        <f>IF(D110="Rəsmi gəlir",AA8,IF(D110="Qeyri rəsmi gəlir",AB8))</f>
        <v>0.25600000000000001</v>
      </c>
      <c r="N110" s="547">
        <f>IF(D110="Rəsmi gəlir",AA9,IF(D110="Qeyri rəsmi gəlir",AB9))</f>
        <v>0.28550000000000003</v>
      </c>
      <c r="O110" s="547">
        <f>IF(D110="Rəsmi gəlir",AA10,IF(D110="Qeyri rəsmi gəlir",AB10))</f>
        <v>0</v>
      </c>
      <c r="P110" s="547" t="b">
        <f t="shared" si="6"/>
        <v>0</v>
      </c>
      <c r="Q110" s="548">
        <f t="shared" si="7"/>
        <v>0</v>
      </c>
      <c r="R110" s="543" t="str">
        <f t="shared" si="9"/>
        <v>-</v>
      </c>
      <c r="S110" s="549"/>
      <c r="T110" s="543" t="e">
        <f t="shared" si="10"/>
        <v>#VALUE!</v>
      </c>
      <c r="U110" s="548" t="e">
        <f t="shared" si="8"/>
        <v>#VALUE!</v>
      </c>
      <c r="V110" s="548" t="e">
        <f t="shared" si="11"/>
        <v>#VALUE!</v>
      </c>
      <c r="W110" s="544"/>
      <c r="X110" s="556"/>
    </row>
    <row r="111" spans="1:24">
      <c r="A111" s="552">
        <v>109</v>
      </c>
      <c r="B111" s="560"/>
      <c r="C111" s="554"/>
      <c r="D111" s="544" t="s">
        <v>799</v>
      </c>
      <c r="E111" s="555"/>
      <c r="F111" s="545">
        <f>E111-(E111*Z13)</f>
        <v>0</v>
      </c>
      <c r="G111" s="546"/>
      <c r="H111" s="547">
        <f>IF(D111="Rəsmi gəlir",AA3,IF(D111="Qeyri rəsmi gəlir",AB3))</f>
        <v>7.0000000000000007E-2</v>
      </c>
      <c r="I111" s="547">
        <f>IF(D111="Rəsmi gəlir",AA4,IF(D111="Qeyri rəsmi gəlir",AB4))</f>
        <v>0.12</v>
      </c>
      <c r="J111" s="547">
        <f>IF(D111="Rəsmi gəlir",AA5,IF(D111="Qeyri rəsmi gəlir",AB5))</f>
        <v>0.16</v>
      </c>
      <c r="K111" s="547">
        <f>IF(D111="Rəsmi gəlir",AA6,IF(D111="Qeyri rəsmi gəlir",AB6))</f>
        <v>0.2</v>
      </c>
      <c r="L111" s="547">
        <f>IF(D111="Rəsmi gəlir",AA7,IF(D111="Qeyri rəsmi gəlir",AB7))</f>
        <v>0.23</v>
      </c>
      <c r="M111" s="547">
        <f>IF(D111="Rəsmi gəlir",AA8,IF(D111="Qeyri rəsmi gəlir",AB8))</f>
        <v>0.25600000000000001</v>
      </c>
      <c r="N111" s="547">
        <f>IF(D111="Rəsmi gəlir",AA9,IF(D111="Qeyri rəsmi gəlir",AB9))</f>
        <v>0.28550000000000003</v>
      </c>
      <c r="O111" s="547">
        <f>IF(D111="Rəsmi gəlir",AA10,IF(D111="Qeyri rəsmi gəlir",AB10))</f>
        <v>0</v>
      </c>
      <c r="P111" s="547" t="b">
        <f t="shared" si="6"/>
        <v>0</v>
      </c>
      <c r="Q111" s="548">
        <f t="shared" si="7"/>
        <v>0</v>
      </c>
      <c r="R111" s="543" t="str">
        <f t="shared" si="9"/>
        <v>-</v>
      </c>
      <c r="S111" s="549"/>
      <c r="T111" s="543" t="e">
        <f t="shared" si="10"/>
        <v>#VALUE!</v>
      </c>
      <c r="U111" s="548" t="e">
        <f t="shared" si="8"/>
        <v>#VALUE!</v>
      </c>
      <c r="V111" s="548" t="e">
        <f t="shared" si="11"/>
        <v>#VALUE!</v>
      </c>
      <c r="W111" s="544"/>
      <c r="X111" s="556"/>
    </row>
    <row r="112" spans="1:24">
      <c r="A112" s="552">
        <v>110</v>
      </c>
      <c r="B112" s="560"/>
      <c r="C112" s="554"/>
      <c r="D112" s="544" t="s">
        <v>799</v>
      </c>
      <c r="E112" s="555"/>
      <c r="F112" s="545">
        <f>E112-(E112*Z13)</f>
        <v>0</v>
      </c>
      <c r="G112" s="546"/>
      <c r="H112" s="547">
        <f>IF(D112="Rəsmi gəlir",AA3,IF(D112="Qeyri rəsmi gəlir",AB3))</f>
        <v>7.0000000000000007E-2</v>
      </c>
      <c r="I112" s="547">
        <f>IF(D112="Rəsmi gəlir",AA4,IF(D112="Qeyri rəsmi gəlir",AB4))</f>
        <v>0.12</v>
      </c>
      <c r="J112" s="547">
        <f>IF(D112="Rəsmi gəlir",AA5,IF(D112="Qeyri rəsmi gəlir",AB5))</f>
        <v>0.16</v>
      </c>
      <c r="K112" s="547">
        <f>IF(D112="Rəsmi gəlir",AA6,IF(D112="Qeyri rəsmi gəlir",AB6))</f>
        <v>0.2</v>
      </c>
      <c r="L112" s="547">
        <f>IF(D112="Rəsmi gəlir",AA7,IF(D112="Qeyri rəsmi gəlir",AB7))</f>
        <v>0.23</v>
      </c>
      <c r="M112" s="547">
        <f>IF(D112="Rəsmi gəlir",AA8,IF(D112="Qeyri rəsmi gəlir",AB8))</f>
        <v>0.25600000000000001</v>
      </c>
      <c r="N112" s="547">
        <f>IF(D112="Rəsmi gəlir",AA9,IF(D112="Qeyri rəsmi gəlir",AB9))</f>
        <v>0.28550000000000003</v>
      </c>
      <c r="O112" s="547">
        <f>IF(D112="Rəsmi gəlir",AA10,IF(D112="Qeyri rəsmi gəlir",AB10))</f>
        <v>0</v>
      </c>
      <c r="P112" s="547" t="b">
        <f t="shared" si="6"/>
        <v>0</v>
      </c>
      <c r="Q112" s="548">
        <f t="shared" si="7"/>
        <v>0</v>
      </c>
      <c r="R112" s="543" t="str">
        <f t="shared" si="9"/>
        <v>-</v>
      </c>
      <c r="S112" s="549"/>
      <c r="T112" s="543" t="e">
        <f t="shared" si="10"/>
        <v>#VALUE!</v>
      </c>
      <c r="U112" s="548" t="e">
        <f t="shared" si="8"/>
        <v>#VALUE!</v>
      </c>
      <c r="V112" s="548" t="e">
        <f t="shared" si="11"/>
        <v>#VALUE!</v>
      </c>
      <c r="W112" s="544"/>
      <c r="X112" s="556"/>
    </row>
    <row r="113" spans="1:24">
      <c r="A113" s="552">
        <v>111</v>
      </c>
      <c r="B113" s="560"/>
      <c r="C113" s="554"/>
      <c r="D113" s="544" t="s">
        <v>799</v>
      </c>
      <c r="E113" s="555"/>
      <c r="F113" s="545">
        <f>E113-(E113*Z13)</f>
        <v>0</v>
      </c>
      <c r="G113" s="546"/>
      <c r="H113" s="547">
        <f>IF(D113="Rəsmi gəlir",AA3,IF(D113="Qeyri rəsmi gəlir",AB3))</f>
        <v>7.0000000000000007E-2</v>
      </c>
      <c r="I113" s="547">
        <f>IF(D113="Rəsmi gəlir",AA4,IF(D113="Qeyri rəsmi gəlir",AB4))</f>
        <v>0.12</v>
      </c>
      <c r="J113" s="547">
        <f>IF(D113="Rəsmi gəlir",AA5,IF(D113="Qeyri rəsmi gəlir",AB5))</f>
        <v>0.16</v>
      </c>
      <c r="K113" s="547">
        <f>IF(D113="Rəsmi gəlir",AA6,IF(D113="Qeyri rəsmi gəlir",AB6))</f>
        <v>0.2</v>
      </c>
      <c r="L113" s="547">
        <f>IF(D113="Rəsmi gəlir",AA7,IF(D113="Qeyri rəsmi gəlir",AB7))</f>
        <v>0.23</v>
      </c>
      <c r="M113" s="547">
        <f>IF(D113="Rəsmi gəlir",AA8,IF(D113="Qeyri rəsmi gəlir",AB8))</f>
        <v>0.25600000000000001</v>
      </c>
      <c r="N113" s="547">
        <f>IF(D113="Rəsmi gəlir",AA9,IF(D113="Qeyri rəsmi gəlir",AB9))</f>
        <v>0.28550000000000003</v>
      </c>
      <c r="O113" s="547">
        <f>IF(D113="Rəsmi gəlir",AA10,IF(D113="Qeyri rəsmi gəlir",AB10))</f>
        <v>0</v>
      </c>
      <c r="P113" s="547" t="b">
        <f t="shared" si="6"/>
        <v>0</v>
      </c>
      <c r="Q113" s="548">
        <f t="shared" si="7"/>
        <v>0</v>
      </c>
      <c r="R113" s="543" t="str">
        <f t="shared" si="9"/>
        <v>-</v>
      </c>
      <c r="S113" s="549"/>
      <c r="T113" s="543" t="e">
        <f t="shared" si="10"/>
        <v>#VALUE!</v>
      </c>
      <c r="U113" s="548" t="e">
        <f t="shared" si="8"/>
        <v>#VALUE!</v>
      </c>
      <c r="V113" s="548" t="e">
        <f t="shared" si="11"/>
        <v>#VALUE!</v>
      </c>
      <c r="W113" s="544"/>
      <c r="X113" s="556"/>
    </row>
    <row r="114" spans="1:24">
      <c r="A114" s="552">
        <v>112</v>
      </c>
      <c r="B114" s="560"/>
      <c r="C114" s="554"/>
      <c r="D114" s="544" t="s">
        <v>799</v>
      </c>
      <c r="E114" s="555"/>
      <c r="F114" s="545">
        <f>E114-(E114*Z13)</f>
        <v>0</v>
      </c>
      <c r="G114" s="546"/>
      <c r="H114" s="547">
        <f>IF(D114="Rəsmi gəlir",AA3,IF(D114="Qeyri rəsmi gəlir",AB3))</f>
        <v>7.0000000000000007E-2</v>
      </c>
      <c r="I114" s="547">
        <f>IF(D114="Rəsmi gəlir",AA4,IF(D114="Qeyri rəsmi gəlir",AB4))</f>
        <v>0.12</v>
      </c>
      <c r="J114" s="547">
        <f>IF(D114="Rəsmi gəlir",AA5,IF(D114="Qeyri rəsmi gəlir",AB5))</f>
        <v>0.16</v>
      </c>
      <c r="K114" s="547">
        <f>IF(D114="Rəsmi gəlir",AA6,IF(D114="Qeyri rəsmi gəlir",AB6))</f>
        <v>0.2</v>
      </c>
      <c r="L114" s="547">
        <f>IF(D114="Rəsmi gəlir",AA7,IF(D114="Qeyri rəsmi gəlir",AB7))</f>
        <v>0.23</v>
      </c>
      <c r="M114" s="547">
        <f>IF(D114="Rəsmi gəlir",AA8,IF(D114="Qeyri rəsmi gəlir",AB8))</f>
        <v>0.25600000000000001</v>
      </c>
      <c r="N114" s="547">
        <f>IF(D114="Rəsmi gəlir",AA9,IF(D114="Qeyri rəsmi gəlir",AB9))</f>
        <v>0.28550000000000003</v>
      </c>
      <c r="O114" s="547">
        <f>IF(D114="Rəsmi gəlir",AA10,IF(D114="Qeyri rəsmi gəlir",AB10))</f>
        <v>0</v>
      </c>
      <c r="P114" s="547" t="b">
        <f t="shared" si="6"/>
        <v>0</v>
      </c>
      <c r="Q114" s="548">
        <f t="shared" si="7"/>
        <v>0</v>
      </c>
      <c r="R114" s="543" t="str">
        <f t="shared" si="9"/>
        <v>-</v>
      </c>
      <c r="S114" s="549"/>
      <c r="T114" s="543" t="e">
        <f t="shared" si="10"/>
        <v>#VALUE!</v>
      </c>
      <c r="U114" s="548" t="e">
        <f t="shared" si="8"/>
        <v>#VALUE!</v>
      </c>
      <c r="V114" s="548" t="e">
        <f t="shared" si="11"/>
        <v>#VALUE!</v>
      </c>
      <c r="W114" s="544"/>
      <c r="X114" s="556"/>
    </row>
    <row r="115" spans="1:24">
      <c r="A115" s="552">
        <v>113</v>
      </c>
      <c r="B115" s="560"/>
      <c r="C115" s="554"/>
      <c r="D115" s="544" t="s">
        <v>799</v>
      </c>
      <c r="E115" s="555"/>
      <c r="F115" s="545">
        <f>E115-(E115*Z13)</f>
        <v>0</v>
      </c>
      <c r="G115" s="546"/>
      <c r="H115" s="547">
        <f>IF(D115="Rəsmi gəlir",AA3,IF(D115="Qeyri rəsmi gəlir",AB3))</f>
        <v>7.0000000000000007E-2</v>
      </c>
      <c r="I115" s="547">
        <f>IF(D115="Rəsmi gəlir",AA4,IF(D115="Qeyri rəsmi gəlir",AB4))</f>
        <v>0.12</v>
      </c>
      <c r="J115" s="547">
        <f>IF(D115="Rəsmi gəlir",AA5,IF(D115="Qeyri rəsmi gəlir",AB5))</f>
        <v>0.16</v>
      </c>
      <c r="K115" s="547">
        <f>IF(D115="Rəsmi gəlir",AA6,IF(D115="Qeyri rəsmi gəlir",AB6))</f>
        <v>0.2</v>
      </c>
      <c r="L115" s="547">
        <f>IF(D115="Rəsmi gəlir",AA7,IF(D115="Qeyri rəsmi gəlir",AB7))</f>
        <v>0.23</v>
      </c>
      <c r="M115" s="547">
        <f>IF(D115="Rəsmi gəlir",AA8,IF(D115="Qeyri rəsmi gəlir",AB8))</f>
        <v>0.25600000000000001</v>
      </c>
      <c r="N115" s="547">
        <f>IF(D115="Rəsmi gəlir",AA9,IF(D115="Qeyri rəsmi gəlir",AB9))</f>
        <v>0.28550000000000003</v>
      </c>
      <c r="O115" s="547">
        <f>IF(D115="Rəsmi gəlir",AA10,IF(D115="Qeyri rəsmi gəlir",AB10))</f>
        <v>0</v>
      </c>
      <c r="P115" s="547" t="b">
        <f t="shared" si="6"/>
        <v>0</v>
      </c>
      <c r="Q115" s="548">
        <f t="shared" si="7"/>
        <v>0</v>
      </c>
      <c r="R115" s="543" t="str">
        <f t="shared" si="9"/>
        <v>-</v>
      </c>
      <c r="S115" s="549"/>
      <c r="T115" s="543" t="e">
        <f t="shared" si="10"/>
        <v>#VALUE!</v>
      </c>
      <c r="U115" s="548" t="e">
        <f t="shared" si="8"/>
        <v>#VALUE!</v>
      </c>
      <c r="V115" s="548" t="e">
        <f t="shared" si="11"/>
        <v>#VALUE!</v>
      </c>
      <c r="W115" s="544"/>
      <c r="X115" s="556"/>
    </row>
    <row r="116" spans="1:24">
      <c r="A116" s="552">
        <v>114</v>
      </c>
      <c r="B116" s="560"/>
      <c r="C116" s="554"/>
      <c r="D116" s="544" t="s">
        <v>799</v>
      </c>
      <c r="E116" s="555"/>
      <c r="F116" s="545">
        <f>E116-(E116*Z13)</f>
        <v>0</v>
      </c>
      <c r="G116" s="546"/>
      <c r="H116" s="547">
        <f>IF(D116="Rəsmi gəlir",AA3,IF(D116="Qeyri rəsmi gəlir",AB3))</f>
        <v>7.0000000000000007E-2</v>
      </c>
      <c r="I116" s="547">
        <f>IF(D116="Rəsmi gəlir",AA4,IF(D116="Qeyri rəsmi gəlir",AB4))</f>
        <v>0.12</v>
      </c>
      <c r="J116" s="547">
        <f>IF(D116="Rəsmi gəlir",AA5,IF(D116="Qeyri rəsmi gəlir",AB5))</f>
        <v>0.16</v>
      </c>
      <c r="K116" s="547">
        <f>IF(D116="Rəsmi gəlir",AA6,IF(D116="Qeyri rəsmi gəlir",AB6))</f>
        <v>0.2</v>
      </c>
      <c r="L116" s="547">
        <f>IF(D116="Rəsmi gəlir",AA7,IF(D116="Qeyri rəsmi gəlir",AB7))</f>
        <v>0.23</v>
      </c>
      <c r="M116" s="547">
        <f>IF(D116="Rəsmi gəlir",AA8,IF(D116="Qeyri rəsmi gəlir",AB8))</f>
        <v>0.25600000000000001</v>
      </c>
      <c r="N116" s="547">
        <f>IF(D116="Rəsmi gəlir",AA9,IF(D116="Qeyri rəsmi gəlir",AB9))</f>
        <v>0.28550000000000003</v>
      </c>
      <c r="O116" s="547">
        <f>IF(D116="Rəsmi gəlir",AA10,IF(D116="Qeyri rəsmi gəlir",AB10))</f>
        <v>0</v>
      </c>
      <c r="P116" s="547" t="b">
        <f t="shared" si="6"/>
        <v>0</v>
      </c>
      <c r="Q116" s="548">
        <f t="shared" si="7"/>
        <v>0</v>
      </c>
      <c r="R116" s="543" t="str">
        <f t="shared" si="9"/>
        <v>-</v>
      </c>
      <c r="S116" s="549"/>
      <c r="T116" s="543" t="e">
        <f t="shared" si="10"/>
        <v>#VALUE!</v>
      </c>
      <c r="U116" s="548" t="e">
        <f t="shared" si="8"/>
        <v>#VALUE!</v>
      </c>
      <c r="V116" s="548" t="e">
        <f t="shared" si="11"/>
        <v>#VALUE!</v>
      </c>
      <c r="W116" s="544"/>
      <c r="X116" s="556"/>
    </row>
    <row r="117" spans="1:24">
      <c r="A117" s="552">
        <v>115</v>
      </c>
      <c r="B117" s="560"/>
      <c r="C117" s="554"/>
      <c r="D117" s="544" t="s">
        <v>799</v>
      </c>
      <c r="E117" s="555"/>
      <c r="F117" s="545">
        <f>E117-(E117*Z13)</f>
        <v>0</v>
      </c>
      <c r="G117" s="546"/>
      <c r="H117" s="547">
        <f>IF(D117="Rəsmi gəlir",AA3,IF(D117="Qeyri rəsmi gəlir",AB3))</f>
        <v>7.0000000000000007E-2</v>
      </c>
      <c r="I117" s="547">
        <f>IF(D117="Rəsmi gəlir",AA4,IF(D117="Qeyri rəsmi gəlir",AB4))</f>
        <v>0.12</v>
      </c>
      <c r="J117" s="547">
        <f>IF(D117="Rəsmi gəlir",AA5,IF(D117="Qeyri rəsmi gəlir",AB5))</f>
        <v>0.16</v>
      </c>
      <c r="K117" s="547">
        <f>IF(D117="Rəsmi gəlir",AA6,IF(D117="Qeyri rəsmi gəlir",AB6))</f>
        <v>0.2</v>
      </c>
      <c r="L117" s="547">
        <f>IF(D117="Rəsmi gəlir",AA7,IF(D117="Qeyri rəsmi gəlir",AB7))</f>
        <v>0.23</v>
      </c>
      <c r="M117" s="547">
        <f>IF(D117="Rəsmi gəlir",AA8,IF(D117="Qeyri rəsmi gəlir",AB8))</f>
        <v>0.25600000000000001</v>
      </c>
      <c r="N117" s="547">
        <f>IF(D117="Rəsmi gəlir",AA9,IF(D117="Qeyri rəsmi gəlir",AB9))</f>
        <v>0.28550000000000003</v>
      </c>
      <c r="O117" s="547">
        <f>IF(D117="Rəsmi gəlir",AA10,IF(D117="Qeyri rəsmi gəlir",AB10))</f>
        <v>0</v>
      </c>
      <c r="P117" s="547" t="b">
        <f t="shared" si="6"/>
        <v>0</v>
      </c>
      <c r="Q117" s="548">
        <f t="shared" si="7"/>
        <v>0</v>
      </c>
      <c r="R117" s="543" t="str">
        <f t="shared" si="9"/>
        <v>-</v>
      </c>
      <c r="S117" s="549"/>
      <c r="T117" s="543" t="e">
        <f t="shared" si="10"/>
        <v>#VALUE!</v>
      </c>
      <c r="U117" s="548" t="e">
        <f t="shared" si="8"/>
        <v>#VALUE!</v>
      </c>
      <c r="V117" s="548" t="e">
        <f t="shared" si="11"/>
        <v>#VALUE!</v>
      </c>
      <c r="W117" s="544"/>
      <c r="X117" s="556"/>
    </row>
    <row r="118" spans="1:24">
      <c r="A118" s="552">
        <v>116</v>
      </c>
      <c r="B118" s="560"/>
      <c r="C118" s="554"/>
      <c r="D118" s="544" t="s">
        <v>799</v>
      </c>
      <c r="E118" s="555"/>
      <c r="F118" s="545">
        <f>E118-(E118*Z13)</f>
        <v>0</v>
      </c>
      <c r="G118" s="546"/>
      <c r="H118" s="547">
        <f>IF(D118="Rəsmi gəlir",AA3,IF(D118="Qeyri rəsmi gəlir",AB3))</f>
        <v>7.0000000000000007E-2</v>
      </c>
      <c r="I118" s="547">
        <f>IF(D118="Rəsmi gəlir",AA4,IF(D118="Qeyri rəsmi gəlir",AB4))</f>
        <v>0.12</v>
      </c>
      <c r="J118" s="547">
        <f>IF(D118="Rəsmi gəlir",AA5,IF(D118="Qeyri rəsmi gəlir",AB5))</f>
        <v>0.16</v>
      </c>
      <c r="K118" s="547">
        <f>IF(D118="Rəsmi gəlir",AA6,IF(D118="Qeyri rəsmi gəlir",AB6))</f>
        <v>0.2</v>
      </c>
      <c r="L118" s="547">
        <f>IF(D118="Rəsmi gəlir",AA7,IF(D118="Qeyri rəsmi gəlir",AB7))</f>
        <v>0.23</v>
      </c>
      <c r="M118" s="547">
        <f>IF(D118="Rəsmi gəlir",AA8,IF(D118="Qeyri rəsmi gəlir",AB8))</f>
        <v>0.25600000000000001</v>
      </c>
      <c r="N118" s="547">
        <f>IF(D118="Rəsmi gəlir",AA9,IF(D118="Qeyri rəsmi gəlir",AB9))</f>
        <v>0.28550000000000003</v>
      </c>
      <c r="O118" s="547">
        <f>IF(D118="Rəsmi gəlir",AA10,IF(D118="Qeyri rəsmi gəlir",AB10))</f>
        <v>0</v>
      </c>
      <c r="P118" s="547" t="b">
        <f t="shared" si="6"/>
        <v>0</v>
      </c>
      <c r="Q118" s="548">
        <f t="shared" si="7"/>
        <v>0</v>
      </c>
      <c r="R118" s="543" t="str">
        <f t="shared" si="9"/>
        <v>-</v>
      </c>
      <c r="S118" s="549"/>
      <c r="T118" s="543" t="e">
        <f t="shared" si="10"/>
        <v>#VALUE!</v>
      </c>
      <c r="U118" s="548" t="e">
        <f t="shared" si="8"/>
        <v>#VALUE!</v>
      </c>
      <c r="V118" s="548" t="e">
        <f t="shared" si="11"/>
        <v>#VALUE!</v>
      </c>
      <c r="W118" s="544"/>
      <c r="X118" s="556"/>
    </row>
    <row r="119" spans="1:24">
      <c r="A119" s="552">
        <v>117</v>
      </c>
      <c r="B119" s="560"/>
      <c r="C119" s="554"/>
      <c r="D119" s="544" t="s">
        <v>799</v>
      </c>
      <c r="E119" s="555"/>
      <c r="F119" s="545">
        <f>E119-(E119*Z13)</f>
        <v>0</v>
      </c>
      <c r="G119" s="546"/>
      <c r="H119" s="547">
        <f>IF(D119="Rəsmi gəlir",AA3,IF(D119="Qeyri rəsmi gəlir",AB3))</f>
        <v>7.0000000000000007E-2</v>
      </c>
      <c r="I119" s="547">
        <f>IF(D119="Rəsmi gəlir",AA4,IF(D119="Qeyri rəsmi gəlir",AB4))</f>
        <v>0.12</v>
      </c>
      <c r="J119" s="547">
        <f>IF(D119="Rəsmi gəlir",AA5,IF(D119="Qeyri rəsmi gəlir",AB5))</f>
        <v>0.16</v>
      </c>
      <c r="K119" s="547">
        <f>IF(D119="Rəsmi gəlir",AA6,IF(D119="Qeyri rəsmi gəlir",AB6))</f>
        <v>0.2</v>
      </c>
      <c r="L119" s="547">
        <f>IF(D119="Rəsmi gəlir",AA7,IF(D119="Qeyri rəsmi gəlir",AB7))</f>
        <v>0.23</v>
      </c>
      <c r="M119" s="547">
        <f>IF(D119="Rəsmi gəlir",AA8,IF(D119="Qeyri rəsmi gəlir",AB8))</f>
        <v>0.25600000000000001</v>
      </c>
      <c r="N119" s="547">
        <f>IF(D119="Rəsmi gəlir",AA9,IF(D119="Qeyri rəsmi gəlir",AB9))</f>
        <v>0.28550000000000003</v>
      </c>
      <c r="O119" s="547">
        <f>IF(D119="Rəsmi gəlir",AA10,IF(D119="Qeyri rəsmi gəlir",AB10))</f>
        <v>0</v>
      </c>
      <c r="P119" s="547" t="b">
        <f t="shared" si="6"/>
        <v>0</v>
      </c>
      <c r="Q119" s="548">
        <f t="shared" si="7"/>
        <v>0</v>
      </c>
      <c r="R119" s="543" t="str">
        <f t="shared" si="9"/>
        <v>-</v>
      </c>
      <c r="S119" s="549"/>
      <c r="T119" s="543" t="e">
        <f t="shared" si="10"/>
        <v>#VALUE!</v>
      </c>
      <c r="U119" s="548" t="e">
        <f t="shared" si="8"/>
        <v>#VALUE!</v>
      </c>
      <c r="V119" s="548" t="e">
        <f t="shared" si="11"/>
        <v>#VALUE!</v>
      </c>
      <c r="W119" s="544"/>
      <c r="X119" s="556"/>
    </row>
    <row r="120" spans="1:24">
      <c r="A120" s="552">
        <v>118</v>
      </c>
      <c r="B120" s="560"/>
      <c r="C120" s="554"/>
      <c r="D120" s="544" t="s">
        <v>799</v>
      </c>
      <c r="E120" s="555"/>
      <c r="F120" s="545">
        <f>E120-(E120*Z13)</f>
        <v>0</v>
      </c>
      <c r="G120" s="546"/>
      <c r="H120" s="547">
        <f>IF(D120="Rəsmi gəlir",AA3,IF(D120="Qeyri rəsmi gəlir",AB3))</f>
        <v>7.0000000000000007E-2</v>
      </c>
      <c r="I120" s="547">
        <f>IF(D120="Rəsmi gəlir",AA4,IF(D120="Qeyri rəsmi gəlir",AB4))</f>
        <v>0.12</v>
      </c>
      <c r="J120" s="547">
        <f>IF(D120="Rəsmi gəlir",AA5,IF(D120="Qeyri rəsmi gəlir",AB5))</f>
        <v>0.16</v>
      </c>
      <c r="K120" s="547">
        <f>IF(D120="Rəsmi gəlir",AA6,IF(D120="Qeyri rəsmi gəlir",AB6))</f>
        <v>0.2</v>
      </c>
      <c r="L120" s="547">
        <f>IF(D120="Rəsmi gəlir",AA7,IF(D120="Qeyri rəsmi gəlir",AB7))</f>
        <v>0.23</v>
      </c>
      <c r="M120" s="547">
        <f>IF(D120="Rəsmi gəlir",AA8,IF(D120="Qeyri rəsmi gəlir",AB8))</f>
        <v>0.25600000000000001</v>
      </c>
      <c r="N120" s="547">
        <f>IF(D120="Rəsmi gəlir",AA9,IF(D120="Qeyri rəsmi gəlir",AB9))</f>
        <v>0.28550000000000003</v>
      </c>
      <c r="O120" s="547">
        <f>IF(D120="Rəsmi gəlir",AA10,IF(D120="Qeyri rəsmi gəlir",AB10))</f>
        <v>0</v>
      </c>
      <c r="P120" s="547" t="b">
        <f t="shared" si="6"/>
        <v>0</v>
      </c>
      <c r="Q120" s="548">
        <f t="shared" si="7"/>
        <v>0</v>
      </c>
      <c r="R120" s="543" t="str">
        <f t="shared" si="9"/>
        <v>-</v>
      </c>
      <c r="S120" s="549"/>
      <c r="T120" s="543" t="e">
        <f t="shared" si="10"/>
        <v>#VALUE!</v>
      </c>
      <c r="U120" s="548" t="e">
        <f t="shared" si="8"/>
        <v>#VALUE!</v>
      </c>
      <c r="V120" s="548" t="e">
        <f t="shared" si="11"/>
        <v>#VALUE!</v>
      </c>
      <c r="W120" s="544"/>
      <c r="X120" s="556"/>
    </row>
    <row r="121" spans="1:24">
      <c r="A121" s="552">
        <v>119</v>
      </c>
      <c r="B121" s="560"/>
      <c r="C121" s="554"/>
      <c r="D121" s="544" t="s">
        <v>799</v>
      </c>
      <c r="E121" s="555"/>
      <c r="F121" s="545">
        <f>E121-(E121*Z13)</f>
        <v>0</v>
      </c>
      <c r="G121" s="546"/>
      <c r="H121" s="547">
        <f>IF(D121="Rəsmi gəlir",AA3,IF(D121="Qeyri rəsmi gəlir",AB3))</f>
        <v>7.0000000000000007E-2</v>
      </c>
      <c r="I121" s="547">
        <f>IF(D121="Rəsmi gəlir",AA4,IF(D121="Qeyri rəsmi gəlir",AB4))</f>
        <v>0.12</v>
      </c>
      <c r="J121" s="547">
        <f>IF(D121="Rəsmi gəlir",AA5,IF(D121="Qeyri rəsmi gəlir",AB5))</f>
        <v>0.16</v>
      </c>
      <c r="K121" s="547">
        <f>IF(D121="Rəsmi gəlir",AA6,IF(D121="Qeyri rəsmi gəlir",AB6))</f>
        <v>0.2</v>
      </c>
      <c r="L121" s="547">
        <f>IF(D121="Rəsmi gəlir",AA7,IF(D121="Qeyri rəsmi gəlir",AB7))</f>
        <v>0.23</v>
      </c>
      <c r="M121" s="547">
        <f>IF(D121="Rəsmi gəlir",AA8,IF(D121="Qeyri rəsmi gəlir",AB8))</f>
        <v>0.25600000000000001</v>
      </c>
      <c r="N121" s="547">
        <f>IF(D121="Rəsmi gəlir",AA9,IF(D121="Qeyri rəsmi gəlir",AB9))</f>
        <v>0.28550000000000003</v>
      </c>
      <c r="O121" s="547">
        <f>IF(D121="Rəsmi gəlir",AA10,IF(D121="Qeyri rəsmi gəlir",AB10))</f>
        <v>0</v>
      </c>
      <c r="P121" s="547" t="b">
        <f t="shared" si="6"/>
        <v>0</v>
      </c>
      <c r="Q121" s="548">
        <f t="shared" si="7"/>
        <v>0</v>
      </c>
      <c r="R121" s="543" t="str">
        <f t="shared" si="9"/>
        <v>-</v>
      </c>
      <c r="S121" s="549"/>
      <c r="T121" s="543" t="e">
        <f t="shared" si="10"/>
        <v>#VALUE!</v>
      </c>
      <c r="U121" s="548" t="e">
        <f t="shared" si="8"/>
        <v>#VALUE!</v>
      </c>
      <c r="V121" s="548" t="e">
        <f t="shared" si="11"/>
        <v>#VALUE!</v>
      </c>
      <c r="W121" s="544"/>
      <c r="X121" s="556"/>
    </row>
    <row r="122" spans="1:24">
      <c r="A122" s="552">
        <v>120</v>
      </c>
      <c r="B122" s="560"/>
      <c r="C122" s="554"/>
      <c r="D122" s="544" t="s">
        <v>799</v>
      </c>
      <c r="E122" s="555"/>
      <c r="F122" s="545">
        <f>E122-(E122*Z13)</f>
        <v>0</v>
      </c>
      <c r="G122" s="546"/>
      <c r="H122" s="547">
        <f>IF(D122="Rəsmi gəlir",AA3,IF(D122="Qeyri rəsmi gəlir",AB3))</f>
        <v>7.0000000000000007E-2</v>
      </c>
      <c r="I122" s="547">
        <f>IF(D122="Rəsmi gəlir",AA4,IF(D122="Qeyri rəsmi gəlir",AB4))</f>
        <v>0.12</v>
      </c>
      <c r="J122" s="547">
        <f>IF(D122="Rəsmi gəlir",AA5,IF(D122="Qeyri rəsmi gəlir",AB5))</f>
        <v>0.16</v>
      </c>
      <c r="K122" s="547">
        <f>IF(D122="Rəsmi gəlir",AA6,IF(D122="Qeyri rəsmi gəlir",AB6))</f>
        <v>0.2</v>
      </c>
      <c r="L122" s="547">
        <f>IF(D122="Rəsmi gəlir",AA7,IF(D122="Qeyri rəsmi gəlir",AB7))</f>
        <v>0.23</v>
      </c>
      <c r="M122" s="547">
        <f>IF(D122="Rəsmi gəlir",AA8,IF(D122="Qeyri rəsmi gəlir",AB8))</f>
        <v>0.25600000000000001</v>
      </c>
      <c r="N122" s="547">
        <f>IF(D122="Rəsmi gəlir",AA9,IF(D122="Qeyri rəsmi gəlir",AB9))</f>
        <v>0.28550000000000003</v>
      </c>
      <c r="O122" s="547">
        <f>IF(D122="Rəsmi gəlir",AA10,IF(D122="Qeyri rəsmi gəlir",AB10))</f>
        <v>0</v>
      </c>
      <c r="P122" s="547" t="b">
        <f t="shared" si="6"/>
        <v>0</v>
      </c>
      <c r="Q122" s="548">
        <f t="shared" si="7"/>
        <v>0</v>
      </c>
      <c r="R122" s="543" t="str">
        <f t="shared" si="9"/>
        <v>-</v>
      </c>
      <c r="S122" s="549"/>
      <c r="T122" s="543" t="e">
        <f t="shared" si="10"/>
        <v>#VALUE!</v>
      </c>
      <c r="U122" s="548" t="e">
        <f t="shared" si="8"/>
        <v>#VALUE!</v>
      </c>
      <c r="V122" s="548" t="e">
        <f t="shared" si="11"/>
        <v>#VALUE!</v>
      </c>
      <c r="W122" s="544"/>
      <c r="X122" s="556"/>
    </row>
    <row r="123" spans="1:24">
      <c r="A123" s="552">
        <v>121</v>
      </c>
      <c r="B123" s="560"/>
      <c r="C123" s="554"/>
      <c r="D123" s="544" t="s">
        <v>799</v>
      </c>
      <c r="E123" s="555"/>
      <c r="F123" s="545">
        <f>E123-(E123*Z13)</f>
        <v>0</v>
      </c>
      <c r="G123" s="546"/>
      <c r="H123" s="547">
        <f>IF(D123="Rəsmi gəlir",AA3,IF(D123="Qeyri rəsmi gəlir",AB3))</f>
        <v>7.0000000000000007E-2</v>
      </c>
      <c r="I123" s="547">
        <f>IF(D123="Rəsmi gəlir",AA4,IF(D123="Qeyri rəsmi gəlir",AB4))</f>
        <v>0.12</v>
      </c>
      <c r="J123" s="547">
        <f>IF(D123="Rəsmi gəlir",AA5,IF(D123="Qeyri rəsmi gəlir",AB5))</f>
        <v>0.16</v>
      </c>
      <c r="K123" s="547">
        <f>IF(D123="Rəsmi gəlir",AA6,IF(D123="Qeyri rəsmi gəlir",AB6))</f>
        <v>0.2</v>
      </c>
      <c r="L123" s="547">
        <f>IF(D123="Rəsmi gəlir",AA7,IF(D123="Qeyri rəsmi gəlir",AB7))</f>
        <v>0.23</v>
      </c>
      <c r="M123" s="547">
        <f>IF(D123="Rəsmi gəlir",AA8,IF(D123="Qeyri rəsmi gəlir",AB8))</f>
        <v>0.25600000000000001</v>
      </c>
      <c r="N123" s="547">
        <f>IF(D123="Rəsmi gəlir",AA9,IF(D123="Qeyri rəsmi gəlir",AB9))</f>
        <v>0.28550000000000003</v>
      </c>
      <c r="O123" s="547">
        <f>IF(D123="Rəsmi gəlir",AA10,IF(D123="Qeyri rəsmi gəlir",AB10))</f>
        <v>0</v>
      </c>
      <c r="P123" s="547" t="b">
        <f t="shared" si="6"/>
        <v>0</v>
      </c>
      <c r="Q123" s="548">
        <f t="shared" si="7"/>
        <v>0</v>
      </c>
      <c r="R123" s="543" t="str">
        <f t="shared" si="9"/>
        <v>-</v>
      </c>
      <c r="S123" s="549"/>
      <c r="T123" s="543" t="e">
        <f t="shared" si="10"/>
        <v>#VALUE!</v>
      </c>
      <c r="U123" s="548" t="e">
        <f t="shared" si="8"/>
        <v>#VALUE!</v>
      </c>
      <c r="V123" s="548" t="e">
        <f t="shared" si="11"/>
        <v>#VALUE!</v>
      </c>
      <c r="W123" s="544"/>
      <c r="X123" s="556"/>
    </row>
    <row r="124" spans="1:24">
      <c r="A124" s="552">
        <v>122</v>
      </c>
      <c r="B124" s="560"/>
      <c r="C124" s="554"/>
      <c r="D124" s="544" t="s">
        <v>799</v>
      </c>
      <c r="E124" s="555"/>
      <c r="F124" s="545">
        <f>E124-(E124*Z13)</f>
        <v>0</v>
      </c>
      <c r="G124" s="546"/>
      <c r="H124" s="547">
        <f>IF(D124="Rəsmi gəlir",AA3,IF(D124="Qeyri rəsmi gəlir",AB3))</f>
        <v>7.0000000000000007E-2</v>
      </c>
      <c r="I124" s="547">
        <f>IF(D124="Rəsmi gəlir",AA4,IF(D124="Qeyri rəsmi gəlir",AB4))</f>
        <v>0.12</v>
      </c>
      <c r="J124" s="547">
        <f>IF(D124="Rəsmi gəlir",AA5,IF(D124="Qeyri rəsmi gəlir",AB5))</f>
        <v>0.16</v>
      </c>
      <c r="K124" s="547">
        <f>IF(D124="Rəsmi gəlir",AA6,IF(D124="Qeyri rəsmi gəlir",AB6))</f>
        <v>0.2</v>
      </c>
      <c r="L124" s="547">
        <f>IF(D124="Rəsmi gəlir",AA7,IF(D124="Qeyri rəsmi gəlir",AB7))</f>
        <v>0.23</v>
      </c>
      <c r="M124" s="547">
        <f>IF(D124="Rəsmi gəlir",AA8,IF(D124="Qeyri rəsmi gəlir",AB8))</f>
        <v>0.25600000000000001</v>
      </c>
      <c r="N124" s="547">
        <f>IF(D124="Rəsmi gəlir",AA9,IF(D124="Qeyri rəsmi gəlir",AB9))</f>
        <v>0.28550000000000003</v>
      </c>
      <c r="O124" s="547">
        <f>IF(D124="Rəsmi gəlir",AA10,IF(D124="Qeyri rəsmi gəlir",AB10))</f>
        <v>0</v>
      </c>
      <c r="P124" s="547" t="b">
        <f t="shared" si="6"/>
        <v>0</v>
      </c>
      <c r="Q124" s="548">
        <f t="shared" si="7"/>
        <v>0</v>
      </c>
      <c r="R124" s="543" t="str">
        <f t="shared" si="9"/>
        <v>-</v>
      </c>
      <c r="S124" s="549"/>
      <c r="T124" s="543" t="e">
        <f t="shared" si="10"/>
        <v>#VALUE!</v>
      </c>
      <c r="U124" s="548" t="e">
        <f t="shared" si="8"/>
        <v>#VALUE!</v>
      </c>
      <c r="V124" s="548" t="e">
        <f t="shared" si="11"/>
        <v>#VALUE!</v>
      </c>
      <c r="W124" s="544"/>
      <c r="X124" s="556"/>
    </row>
    <row r="125" spans="1:24">
      <c r="A125" s="552">
        <v>123</v>
      </c>
      <c r="B125" s="560"/>
      <c r="C125" s="554"/>
      <c r="D125" s="544" t="s">
        <v>799</v>
      </c>
      <c r="E125" s="555"/>
      <c r="F125" s="545">
        <f>E125-(E125*Z13)</f>
        <v>0</v>
      </c>
      <c r="G125" s="546"/>
      <c r="H125" s="547">
        <f>IF(D125="Rəsmi gəlir",AA3,IF(D125="Qeyri rəsmi gəlir",AB3))</f>
        <v>7.0000000000000007E-2</v>
      </c>
      <c r="I125" s="547">
        <f>IF(D125="Rəsmi gəlir",AA4,IF(D125="Qeyri rəsmi gəlir",AB4))</f>
        <v>0.12</v>
      </c>
      <c r="J125" s="547">
        <f>IF(D125="Rəsmi gəlir",AA5,IF(D125="Qeyri rəsmi gəlir",AB5))</f>
        <v>0.16</v>
      </c>
      <c r="K125" s="547">
        <f>IF(D125="Rəsmi gəlir",AA6,IF(D125="Qeyri rəsmi gəlir",AB6))</f>
        <v>0.2</v>
      </c>
      <c r="L125" s="547">
        <f>IF(D125="Rəsmi gəlir",AA7,IF(D125="Qeyri rəsmi gəlir",AB7))</f>
        <v>0.23</v>
      </c>
      <c r="M125" s="547">
        <f>IF(D125="Rəsmi gəlir",AA8,IF(D125="Qeyri rəsmi gəlir",AB8))</f>
        <v>0.25600000000000001</v>
      </c>
      <c r="N125" s="547">
        <f>IF(D125="Rəsmi gəlir",AA9,IF(D125="Qeyri rəsmi gəlir",AB9))</f>
        <v>0.28550000000000003</v>
      </c>
      <c r="O125" s="547">
        <f>IF(D125="Rəsmi gəlir",AA10,IF(D125="Qeyri rəsmi gəlir",AB10))</f>
        <v>0</v>
      </c>
      <c r="P125" s="547" t="b">
        <f t="shared" si="6"/>
        <v>0</v>
      </c>
      <c r="Q125" s="548">
        <f t="shared" si="7"/>
        <v>0</v>
      </c>
      <c r="R125" s="543" t="str">
        <f t="shared" si="9"/>
        <v>-</v>
      </c>
      <c r="S125" s="549"/>
      <c r="T125" s="543" t="e">
        <f t="shared" si="10"/>
        <v>#VALUE!</v>
      </c>
      <c r="U125" s="548" t="e">
        <f t="shared" si="8"/>
        <v>#VALUE!</v>
      </c>
      <c r="V125" s="548" t="e">
        <f t="shared" si="11"/>
        <v>#VALUE!</v>
      </c>
      <c r="W125" s="544"/>
      <c r="X125" s="556"/>
    </row>
    <row r="126" spans="1:24">
      <c r="A126" s="552">
        <v>124</v>
      </c>
      <c r="B126" s="560"/>
      <c r="C126" s="554"/>
      <c r="D126" s="544" t="s">
        <v>799</v>
      </c>
      <c r="E126" s="555"/>
      <c r="F126" s="545">
        <f>E126-(E126*Z13)</f>
        <v>0</v>
      </c>
      <c r="G126" s="546"/>
      <c r="H126" s="547">
        <f>IF(D126="Rəsmi gəlir",AA3,IF(D126="Qeyri rəsmi gəlir",AB3))</f>
        <v>7.0000000000000007E-2</v>
      </c>
      <c r="I126" s="547">
        <f>IF(D126="Rəsmi gəlir",AA4,IF(D126="Qeyri rəsmi gəlir",AB4))</f>
        <v>0.12</v>
      </c>
      <c r="J126" s="547">
        <f>IF(D126="Rəsmi gəlir",AA5,IF(D126="Qeyri rəsmi gəlir",AB5))</f>
        <v>0.16</v>
      </c>
      <c r="K126" s="547">
        <f>IF(D126="Rəsmi gəlir",AA6,IF(D126="Qeyri rəsmi gəlir",AB6))</f>
        <v>0.2</v>
      </c>
      <c r="L126" s="547">
        <f>IF(D126="Rəsmi gəlir",AA7,IF(D126="Qeyri rəsmi gəlir",AB7))</f>
        <v>0.23</v>
      </c>
      <c r="M126" s="547">
        <f>IF(D126="Rəsmi gəlir",AA8,IF(D126="Qeyri rəsmi gəlir",AB8))</f>
        <v>0.25600000000000001</v>
      </c>
      <c r="N126" s="547">
        <f>IF(D126="Rəsmi gəlir",AA9,IF(D126="Qeyri rəsmi gəlir",AB9))</f>
        <v>0.28550000000000003</v>
      </c>
      <c r="O126" s="547">
        <f>IF(D126="Rəsmi gəlir",AA10,IF(D126="Qeyri rəsmi gəlir",AB10))</f>
        <v>0</v>
      </c>
      <c r="P126" s="547" t="b">
        <f t="shared" si="6"/>
        <v>0</v>
      </c>
      <c r="Q126" s="548">
        <f t="shared" si="7"/>
        <v>0</v>
      </c>
      <c r="R126" s="543" t="str">
        <f t="shared" si="9"/>
        <v>-</v>
      </c>
      <c r="S126" s="549"/>
      <c r="T126" s="543" t="e">
        <f t="shared" si="10"/>
        <v>#VALUE!</v>
      </c>
      <c r="U126" s="548" t="e">
        <f t="shared" si="8"/>
        <v>#VALUE!</v>
      </c>
      <c r="V126" s="548" t="e">
        <f t="shared" si="11"/>
        <v>#VALUE!</v>
      </c>
      <c r="W126" s="544"/>
      <c r="X126" s="556"/>
    </row>
    <row r="127" spans="1:24">
      <c r="A127" s="552">
        <v>125</v>
      </c>
      <c r="B127" s="560"/>
      <c r="C127" s="554"/>
      <c r="D127" s="544" t="s">
        <v>799</v>
      </c>
      <c r="E127" s="555"/>
      <c r="F127" s="545">
        <f>E127-(E127*Z13)</f>
        <v>0</v>
      </c>
      <c r="G127" s="546"/>
      <c r="H127" s="547">
        <f>IF(D127="Rəsmi gəlir",AA3,IF(D127="Qeyri rəsmi gəlir",AB3))</f>
        <v>7.0000000000000007E-2</v>
      </c>
      <c r="I127" s="547">
        <f>IF(D127="Rəsmi gəlir",AA4,IF(D127="Qeyri rəsmi gəlir",AB4))</f>
        <v>0.12</v>
      </c>
      <c r="J127" s="547">
        <f>IF(D127="Rəsmi gəlir",AA5,IF(D127="Qeyri rəsmi gəlir",AB5))</f>
        <v>0.16</v>
      </c>
      <c r="K127" s="547">
        <f>IF(D127="Rəsmi gəlir",AA6,IF(D127="Qeyri rəsmi gəlir",AB6))</f>
        <v>0.2</v>
      </c>
      <c r="L127" s="547">
        <f>IF(D127="Rəsmi gəlir",AA7,IF(D127="Qeyri rəsmi gəlir",AB7))</f>
        <v>0.23</v>
      </c>
      <c r="M127" s="547">
        <f>IF(D127="Rəsmi gəlir",AA8,IF(D127="Qeyri rəsmi gəlir",AB8))</f>
        <v>0.25600000000000001</v>
      </c>
      <c r="N127" s="547">
        <f>IF(D127="Rəsmi gəlir",AA9,IF(D127="Qeyri rəsmi gəlir",AB9))</f>
        <v>0.28550000000000003</v>
      </c>
      <c r="O127" s="547">
        <f>IF(D127="Rəsmi gəlir",AA10,IF(D127="Qeyri rəsmi gəlir",AB10))</f>
        <v>0</v>
      </c>
      <c r="P127" s="547" t="b">
        <f t="shared" si="6"/>
        <v>0</v>
      </c>
      <c r="Q127" s="548">
        <f t="shared" si="7"/>
        <v>0</v>
      </c>
      <c r="R127" s="543" t="str">
        <f t="shared" si="9"/>
        <v>-</v>
      </c>
      <c r="S127" s="549"/>
      <c r="T127" s="543" t="e">
        <f t="shared" si="10"/>
        <v>#VALUE!</v>
      </c>
      <c r="U127" s="548" t="e">
        <f t="shared" si="8"/>
        <v>#VALUE!</v>
      </c>
      <c r="V127" s="548" t="e">
        <f t="shared" si="11"/>
        <v>#VALUE!</v>
      </c>
      <c r="W127" s="544"/>
      <c r="X127" s="556"/>
    </row>
    <row r="128" spans="1:24">
      <c r="A128" s="552">
        <v>126</v>
      </c>
      <c r="B128" s="560"/>
      <c r="C128" s="554"/>
      <c r="D128" s="544" t="s">
        <v>799</v>
      </c>
      <c r="E128" s="555"/>
      <c r="F128" s="545">
        <f>E128-(E128*Z13)</f>
        <v>0</v>
      </c>
      <c r="G128" s="546"/>
      <c r="H128" s="547">
        <f>IF(D128="Rəsmi gəlir",AA3,IF(D128="Qeyri rəsmi gəlir",AB3))</f>
        <v>7.0000000000000007E-2</v>
      </c>
      <c r="I128" s="547">
        <f>IF(D128="Rəsmi gəlir",AA4,IF(D128="Qeyri rəsmi gəlir",AB4))</f>
        <v>0.12</v>
      </c>
      <c r="J128" s="547">
        <f>IF(D128="Rəsmi gəlir",AA5,IF(D128="Qeyri rəsmi gəlir",AB5))</f>
        <v>0.16</v>
      </c>
      <c r="K128" s="547">
        <f>IF(D128="Rəsmi gəlir",AA6,IF(D128="Qeyri rəsmi gəlir",AB6))</f>
        <v>0.2</v>
      </c>
      <c r="L128" s="547">
        <f>IF(D128="Rəsmi gəlir",AA7,IF(D128="Qeyri rəsmi gəlir",AB7))</f>
        <v>0.23</v>
      </c>
      <c r="M128" s="547">
        <f>IF(D128="Rəsmi gəlir",AA8,IF(D128="Qeyri rəsmi gəlir",AB8))</f>
        <v>0.25600000000000001</v>
      </c>
      <c r="N128" s="547">
        <f>IF(D128="Rəsmi gəlir",AA9,IF(D128="Qeyri rəsmi gəlir",AB9))</f>
        <v>0.28550000000000003</v>
      </c>
      <c r="O128" s="547">
        <f>IF(D128="Rəsmi gəlir",AA10,IF(D128="Qeyri rəsmi gəlir",AB10))</f>
        <v>0</v>
      </c>
      <c r="P128" s="547" t="b">
        <f t="shared" si="6"/>
        <v>0</v>
      </c>
      <c r="Q128" s="548">
        <f t="shared" si="7"/>
        <v>0</v>
      </c>
      <c r="R128" s="543" t="str">
        <f t="shared" si="9"/>
        <v>-</v>
      </c>
      <c r="S128" s="549"/>
      <c r="T128" s="543" t="e">
        <f t="shared" si="10"/>
        <v>#VALUE!</v>
      </c>
      <c r="U128" s="548" t="e">
        <f t="shared" si="8"/>
        <v>#VALUE!</v>
      </c>
      <c r="V128" s="548" t="e">
        <f t="shared" si="11"/>
        <v>#VALUE!</v>
      </c>
      <c r="W128" s="544"/>
      <c r="X128" s="556"/>
    </row>
    <row r="129" spans="1:24">
      <c r="A129" s="552">
        <v>127</v>
      </c>
      <c r="B129" s="560"/>
      <c r="C129" s="554"/>
      <c r="D129" s="544" t="s">
        <v>799</v>
      </c>
      <c r="E129" s="555"/>
      <c r="F129" s="545">
        <f>E129-(E129*Z13)</f>
        <v>0</v>
      </c>
      <c r="G129" s="546"/>
      <c r="H129" s="547">
        <f>IF(D129="Rəsmi gəlir",AA3,IF(D129="Qeyri rəsmi gəlir",AB3))</f>
        <v>7.0000000000000007E-2</v>
      </c>
      <c r="I129" s="547">
        <f>IF(D129="Rəsmi gəlir",AA4,IF(D129="Qeyri rəsmi gəlir",AB4))</f>
        <v>0.12</v>
      </c>
      <c r="J129" s="547">
        <f>IF(D129="Rəsmi gəlir",AA5,IF(D129="Qeyri rəsmi gəlir",AB5))</f>
        <v>0.16</v>
      </c>
      <c r="K129" s="547">
        <f>IF(D129="Rəsmi gəlir",AA6,IF(D129="Qeyri rəsmi gəlir",AB6))</f>
        <v>0.2</v>
      </c>
      <c r="L129" s="547">
        <f>IF(D129="Rəsmi gəlir",AA7,IF(D129="Qeyri rəsmi gəlir",AB7))</f>
        <v>0.23</v>
      </c>
      <c r="M129" s="547">
        <f>IF(D129="Rəsmi gəlir",AA8,IF(D129="Qeyri rəsmi gəlir",AB8))</f>
        <v>0.25600000000000001</v>
      </c>
      <c r="N129" s="547">
        <f>IF(D129="Rəsmi gəlir",AA9,IF(D129="Qeyri rəsmi gəlir",AB9))</f>
        <v>0.28550000000000003</v>
      </c>
      <c r="O129" s="547">
        <f>IF(D129="Rəsmi gəlir",AA10,IF(D129="Qeyri rəsmi gəlir",AB10))</f>
        <v>0</v>
      </c>
      <c r="P129" s="547" t="b">
        <f t="shared" si="6"/>
        <v>0</v>
      </c>
      <c r="Q129" s="548">
        <f t="shared" si="7"/>
        <v>0</v>
      </c>
      <c r="R129" s="543" t="str">
        <f t="shared" si="9"/>
        <v>-</v>
      </c>
      <c r="S129" s="549"/>
      <c r="T129" s="543" t="e">
        <f t="shared" si="10"/>
        <v>#VALUE!</v>
      </c>
      <c r="U129" s="548" t="e">
        <f t="shared" si="8"/>
        <v>#VALUE!</v>
      </c>
      <c r="V129" s="548" t="e">
        <f t="shared" si="11"/>
        <v>#VALUE!</v>
      </c>
      <c r="W129" s="544"/>
      <c r="X129" s="556"/>
    </row>
    <row r="130" spans="1:24">
      <c r="A130" s="552">
        <v>128</v>
      </c>
      <c r="B130" s="560"/>
      <c r="C130" s="554"/>
      <c r="D130" s="544" t="s">
        <v>799</v>
      </c>
      <c r="E130" s="555"/>
      <c r="F130" s="545">
        <f>E130-(E130*Z13)</f>
        <v>0</v>
      </c>
      <c r="G130" s="546"/>
      <c r="H130" s="547">
        <f>IF(D130="Rəsmi gəlir",AA3,IF(D130="Qeyri rəsmi gəlir",AB3))</f>
        <v>7.0000000000000007E-2</v>
      </c>
      <c r="I130" s="547">
        <f>IF(D130="Rəsmi gəlir",AA4,IF(D130="Qeyri rəsmi gəlir",AB4))</f>
        <v>0.12</v>
      </c>
      <c r="J130" s="547">
        <f>IF(D130="Rəsmi gəlir",AA5,IF(D130="Qeyri rəsmi gəlir",AB5))</f>
        <v>0.16</v>
      </c>
      <c r="K130" s="547">
        <f>IF(D130="Rəsmi gəlir",AA6,IF(D130="Qeyri rəsmi gəlir",AB6))</f>
        <v>0.2</v>
      </c>
      <c r="L130" s="547">
        <f>IF(D130="Rəsmi gəlir",AA7,IF(D130="Qeyri rəsmi gəlir",AB7))</f>
        <v>0.23</v>
      </c>
      <c r="M130" s="547">
        <f>IF(D130="Rəsmi gəlir",AA8,IF(D130="Qeyri rəsmi gəlir",AB8))</f>
        <v>0.25600000000000001</v>
      </c>
      <c r="N130" s="547">
        <f>IF(D130="Rəsmi gəlir",AA9,IF(D130="Qeyri rəsmi gəlir",AB9))</f>
        <v>0.28550000000000003</v>
      </c>
      <c r="O130" s="547">
        <f>IF(D130="Rəsmi gəlir",AA10,IF(D130="Qeyri rəsmi gəlir",AB10))</f>
        <v>0</v>
      </c>
      <c r="P130" s="547" t="b">
        <f t="shared" si="6"/>
        <v>0</v>
      </c>
      <c r="Q130" s="548">
        <f t="shared" si="7"/>
        <v>0</v>
      </c>
      <c r="R130" s="543" t="str">
        <f t="shared" si="9"/>
        <v>-</v>
      </c>
      <c r="S130" s="549"/>
      <c r="T130" s="543" t="e">
        <f t="shared" si="10"/>
        <v>#VALUE!</v>
      </c>
      <c r="U130" s="548" t="e">
        <f t="shared" si="8"/>
        <v>#VALUE!</v>
      </c>
      <c r="V130" s="548" t="e">
        <f t="shared" si="11"/>
        <v>#VALUE!</v>
      </c>
      <c r="W130" s="544"/>
      <c r="X130" s="556"/>
    </row>
    <row r="131" spans="1:24">
      <c r="A131" s="552">
        <v>129</v>
      </c>
      <c r="B131" s="560"/>
      <c r="C131" s="554"/>
      <c r="D131" s="544" t="s">
        <v>799</v>
      </c>
      <c r="E131" s="555"/>
      <c r="F131" s="545">
        <f>E131-(E131*Z13)</f>
        <v>0</v>
      </c>
      <c r="G131" s="546"/>
      <c r="H131" s="547">
        <f>IF(D131="Rəsmi gəlir",AA3,IF(D131="Qeyri rəsmi gəlir",AB3))</f>
        <v>7.0000000000000007E-2</v>
      </c>
      <c r="I131" s="547">
        <f>IF(D131="Rəsmi gəlir",AA4,IF(D131="Qeyri rəsmi gəlir",AB4))</f>
        <v>0.12</v>
      </c>
      <c r="J131" s="547">
        <f>IF(D131="Rəsmi gəlir",AA5,IF(D131="Qeyri rəsmi gəlir",AB5))</f>
        <v>0.16</v>
      </c>
      <c r="K131" s="547">
        <f>IF(D131="Rəsmi gəlir",AA6,IF(D131="Qeyri rəsmi gəlir",AB6))</f>
        <v>0.2</v>
      </c>
      <c r="L131" s="547">
        <f>IF(D131="Rəsmi gəlir",AA7,IF(D131="Qeyri rəsmi gəlir",AB7))</f>
        <v>0.23</v>
      </c>
      <c r="M131" s="547">
        <f>IF(D131="Rəsmi gəlir",AA8,IF(D131="Qeyri rəsmi gəlir",AB8))</f>
        <v>0.25600000000000001</v>
      </c>
      <c r="N131" s="547">
        <f>IF(D131="Rəsmi gəlir",AA9,IF(D131="Qeyri rəsmi gəlir",AB9))</f>
        <v>0.28550000000000003</v>
      </c>
      <c r="O131" s="547">
        <f>IF(D131="Rəsmi gəlir",AA10,IF(D131="Qeyri rəsmi gəlir",AB10))</f>
        <v>0</v>
      </c>
      <c r="P131" s="547" t="b">
        <f t="shared" ref="P131:P194" si="12">IF(G131="2",H131,IF(G131="3",H131,IF(G131="4",I131,IF(G131="5",I131,IF(G131="6",I131,IF(G131="7",J131,IF(G131="8",J131,IF(G131="9",J131,IF(G131="10",K131,IF(G131="11",K131,IF(G131="12",K131,IF(G131="13",L131,IF(G131="14",L131,IF(G131="15",L131,IF(G131="16",M131,IF(G131="17",M131,IF(G131="18",M131,IF(G131="19",N131,IF(G131="20",N131,IF(G131="21",N131,IF(G131="22",O131,IF(G131="23",O131,IF(G131="24",O131)))))))))))))))))))))))</f>
        <v>0</v>
      </c>
      <c r="Q131" s="548">
        <f t="shared" ref="Q131:Q194" si="13">F131*P131</f>
        <v>0</v>
      </c>
      <c r="R131" s="543" t="str">
        <f t="shared" si="9"/>
        <v>-</v>
      </c>
      <c r="S131" s="549"/>
      <c r="T131" s="543" t="e">
        <f t="shared" si="10"/>
        <v>#VALUE!</v>
      </c>
      <c r="U131" s="548" t="e">
        <f t="shared" ref="U131:U194" si="14">F131-(F131*P131)-R131</f>
        <v>#VALUE!</v>
      </c>
      <c r="V131" s="548" t="e">
        <f t="shared" si="11"/>
        <v>#VALUE!</v>
      </c>
      <c r="W131" s="544"/>
      <c r="X131" s="556"/>
    </row>
    <row r="132" spans="1:24">
      <c r="A132" s="552">
        <v>130</v>
      </c>
      <c r="B132" s="560"/>
      <c r="C132" s="554"/>
      <c r="D132" s="544" t="s">
        <v>799</v>
      </c>
      <c r="E132" s="555"/>
      <c r="F132" s="545">
        <f>E132-(E132*Z13)</f>
        <v>0</v>
      </c>
      <c r="G132" s="546"/>
      <c r="H132" s="547">
        <f>IF(D132="Rəsmi gəlir",AA3,IF(D132="Qeyri rəsmi gəlir",AB3))</f>
        <v>7.0000000000000007E-2</v>
      </c>
      <c r="I132" s="547">
        <f>IF(D132="Rəsmi gəlir",AA4,IF(D132="Qeyri rəsmi gəlir",AB4))</f>
        <v>0.12</v>
      </c>
      <c r="J132" s="547">
        <f>IF(D132="Rəsmi gəlir",AA5,IF(D132="Qeyri rəsmi gəlir",AB5))</f>
        <v>0.16</v>
      </c>
      <c r="K132" s="547">
        <f>IF(D132="Rəsmi gəlir",AA6,IF(D132="Qeyri rəsmi gəlir",AB6))</f>
        <v>0.2</v>
      </c>
      <c r="L132" s="547">
        <f>IF(D132="Rəsmi gəlir",AA7,IF(D132="Qeyri rəsmi gəlir",AB7))</f>
        <v>0.23</v>
      </c>
      <c r="M132" s="547">
        <f>IF(D132="Rəsmi gəlir",AA8,IF(D132="Qeyri rəsmi gəlir",AB8))</f>
        <v>0.25600000000000001</v>
      </c>
      <c r="N132" s="547">
        <f>IF(D132="Rəsmi gəlir",AA9,IF(D132="Qeyri rəsmi gəlir",AB9))</f>
        <v>0.28550000000000003</v>
      </c>
      <c r="O132" s="547">
        <f>IF(D132="Rəsmi gəlir",AA10,IF(D132="Qeyri rəsmi gəlir",AB10))</f>
        <v>0</v>
      </c>
      <c r="P132" s="547" t="b">
        <f t="shared" si="12"/>
        <v>0</v>
      </c>
      <c r="Q132" s="548">
        <f t="shared" si="13"/>
        <v>0</v>
      </c>
      <c r="R132" s="543" t="str">
        <f t="shared" ref="R132:R195" si="15">IF(Q132&lt;=0,"-",IF(Q132&gt;0,9))</f>
        <v>-</v>
      </c>
      <c r="S132" s="549"/>
      <c r="T132" s="543" t="e">
        <f t="shared" ref="T132:T195" si="16">U132*S132</f>
        <v>#VALUE!</v>
      </c>
      <c r="U132" s="548" t="e">
        <f t="shared" si="14"/>
        <v>#VALUE!</v>
      </c>
      <c r="V132" s="548" t="e">
        <f t="shared" ref="V132:V195" si="17">U132-T132</f>
        <v>#VALUE!</v>
      </c>
      <c r="W132" s="544"/>
      <c r="X132" s="556"/>
    </row>
    <row r="133" spans="1:24">
      <c r="A133" s="552">
        <v>131</v>
      </c>
      <c r="B133" s="560"/>
      <c r="C133" s="554"/>
      <c r="D133" s="544" t="s">
        <v>799</v>
      </c>
      <c r="E133" s="555"/>
      <c r="F133" s="545">
        <f>E133-(E133*Z13)</f>
        <v>0</v>
      </c>
      <c r="G133" s="546"/>
      <c r="H133" s="547">
        <f>IF(D133="Rəsmi gəlir",AA3,IF(D133="Qeyri rəsmi gəlir",AB3))</f>
        <v>7.0000000000000007E-2</v>
      </c>
      <c r="I133" s="547">
        <f>IF(D133="Rəsmi gəlir",AA4,IF(D133="Qeyri rəsmi gəlir",AB4))</f>
        <v>0.12</v>
      </c>
      <c r="J133" s="547">
        <f>IF(D133="Rəsmi gəlir",AA5,IF(D133="Qeyri rəsmi gəlir",AB5))</f>
        <v>0.16</v>
      </c>
      <c r="K133" s="547">
        <f>IF(D133="Rəsmi gəlir",AA6,IF(D133="Qeyri rəsmi gəlir",AB6))</f>
        <v>0.2</v>
      </c>
      <c r="L133" s="547">
        <f>IF(D133="Rəsmi gəlir",AA7,IF(D133="Qeyri rəsmi gəlir",AB7))</f>
        <v>0.23</v>
      </c>
      <c r="M133" s="547">
        <f>IF(D133="Rəsmi gəlir",AA8,IF(D133="Qeyri rəsmi gəlir",AB8))</f>
        <v>0.25600000000000001</v>
      </c>
      <c r="N133" s="547">
        <f>IF(D133="Rəsmi gəlir",AA9,IF(D133="Qeyri rəsmi gəlir",AB9))</f>
        <v>0.28550000000000003</v>
      </c>
      <c r="O133" s="547">
        <f>IF(D133="Rəsmi gəlir",AA10,IF(D133="Qeyri rəsmi gəlir",AB10))</f>
        <v>0</v>
      </c>
      <c r="P133" s="547" t="b">
        <f t="shared" si="12"/>
        <v>0</v>
      </c>
      <c r="Q133" s="548">
        <f t="shared" si="13"/>
        <v>0</v>
      </c>
      <c r="R133" s="543" t="str">
        <f t="shared" si="15"/>
        <v>-</v>
      </c>
      <c r="S133" s="549"/>
      <c r="T133" s="543" t="e">
        <f t="shared" si="16"/>
        <v>#VALUE!</v>
      </c>
      <c r="U133" s="548" t="e">
        <f t="shared" si="14"/>
        <v>#VALUE!</v>
      </c>
      <c r="V133" s="548" t="e">
        <f t="shared" si="17"/>
        <v>#VALUE!</v>
      </c>
      <c r="W133" s="544"/>
      <c r="X133" s="556"/>
    </row>
    <row r="134" spans="1:24">
      <c r="A134" s="552">
        <v>132</v>
      </c>
      <c r="B134" s="560"/>
      <c r="C134" s="554"/>
      <c r="D134" s="544" t="s">
        <v>799</v>
      </c>
      <c r="E134" s="555"/>
      <c r="F134" s="545">
        <f>E134-(E134*Z13)</f>
        <v>0</v>
      </c>
      <c r="G134" s="546"/>
      <c r="H134" s="547">
        <f>IF(D134="Rəsmi gəlir",AA3,IF(D134="Qeyri rəsmi gəlir",AB3))</f>
        <v>7.0000000000000007E-2</v>
      </c>
      <c r="I134" s="547">
        <f>IF(D134="Rəsmi gəlir",AA4,IF(D134="Qeyri rəsmi gəlir",AB4))</f>
        <v>0.12</v>
      </c>
      <c r="J134" s="547">
        <f>IF(D134="Rəsmi gəlir",AA5,IF(D134="Qeyri rəsmi gəlir",AB5))</f>
        <v>0.16</v>
      </c>
      <c r="K134" s="547">
        <f>IF(D134="Rəsmi gəlir",AA6,IF(D134="Qeyri rəsmi gəlir",AB6))</f>
        <v>0.2</v>
      </c>
      <c r="L134" s="547">
        <f>IF(D134="Rəsmi gəlir",AA7,IF(D134="Qeyri rəsmi gəlir",AB7))</f>
        <v>0.23</v>
      </c>
      <c r="M134" s="547">
        <f>IF(D134="Rəsmi gəlir",AA8,IF(D134="Qeyri rəsmi gəlir",AB8))</f>
        <v>0.25600000000000001</v>
      </c>
      <c r="N134" s="547">
        <f>IF(D134="Rəsmi gəlir",AA9,IF(D134="Qeyri rəsmi gəlir",AB9))</f>
        <v>0.28550000000000003</v>
      </c>
      <c r="O134" s="547">
        <f>IF(D134="Rəsmi gəlir",AA10,IF(D134="Qeyri rəsmi gəlir",AB10))</f>
        <v>0</v>
      </c>
      <c r="P134" s="547" t="b">
        <f t="shared" si="12"/>
        <v>0</v>
      </c>
      <c r="Q134" s="548">
        <f t="shared" si="13"/>
        <v>0</v>
      </c>
      <c r="R134" s="543" t="str">
        <f t="shared" si="15"/>
        <v>-</v>
      </c>
      <c r="S134" s="549"/>
      <c r="T134" s="543" t="e">
        <f t="shared" si="16"/>
        <v>#VALUE!</v>
      </c>
      <c r="U134" s="548" t="e">
        <f t="shared" si="14"/>
        <v>#VALUE!</v>
      </c>
      <c r="V134" s="548" t="e">
        <f t="shared" si="17"/>
        <v>#VALUE!</v>
      </c>
      <c r="W134" s="544"/>
      <c r="X134" s="556"/>
    </row>
    <row r="135" spans="1:24">
      <c r="A135" s="552">
        <v>133</v>
      </c>
      <c r="B135" s="560"/>
      <c r="C135" s="554"/>
      <c r="D135" s="544" t="s">
        <v>799</v>
      </c>
      <c r="E135" s="555"/>
      <c r="F135" s="545">
        <f>E135-(E135*Z13)</f>
        <v>0</v>
      </c>
      <c r="G135" s="546"/>
      <c r="H135" s="547">
        <f>IF(D135="Rəsmi gəlir",AA3,IF(D135="Qeyri rəsmi gəlir",AB3))</f>
        <v>7.0000000000000007E-2</v>
      </c>
      <c r="I135" s="547">
        <f>IF(D135="Rəsmi gəlir",AA4,IF(D135="Qeyri rəsmi gəlir",AB4))</f>
        <v>0.12</v>
      </c>
      <c r="J135" s="547">
        <f>IF(D135="Rəsmi gəlir",AA5,IF(D135="Qeyri rəsmi gəlir",AB5))</f>
        <v>0.16</v>
      </c>
      <c r="K135" s="547">
        <f>IF(D135="Rəsmi gəlir",AA6,IF(D135="Qeyri rəsmi gəlir",AB6))</f>
        <v>0.2</v>
      </c>
      <c r="L135" s="547">
        <f>IF(D135="Rəsmi gəlir",AA7,IF(D135="Qeyri rəsmi gəlir",AB7))</f>
        <v>0.23</v>
      </c>
      <c r="M135" s="547">
        <f>IF(D135="Rəsmi gəlir",AA8,IF(D135="Qeyri rəsmi gəlir",AB8))</f>
        <v>0.25600000000000001</v>
      </c>
      <c r="N135" s="547">
        <f>IF(D135="Rəsmi gəlir",AA9,IF(D135="Qeyri rəsmi gəlir",AB9))</f>
        <v>0.28550000000000003</v>
      </c>
      <c r="O135" s="547">
        <f>IF(D135="Rəsmi gəlir",AA10,IF(D135="Qeyri rəsmi gəlir",AB10))</f>
        <v>0</v>
      </c>
      <c r="P135" s="547" t="b">
        <f t="shared" si="12"/>
        <v>0</v>
      </c>
      <c r="Q135" s="548">
        <f t="shared" si="13"/>
        <v>0</v>
      </c>
      <c r="R135" s="543" t="str">
        <f t="shared" si="15"/>
        <v>-</v>
      </c>
      <c r="S135" s="549"/>
      <c r="T135" s="543" t="e">
        <f t="shared" si="16"/>
        <v>#VALUE!</v>
      </c>
      <c r="U135" s="548" t="e">
        <f t="shared" si="14"/>
        <v>#VALUE!</v>
      </c>
      <c r="V135" s="548" t="e">
        <f t="shared" si="17"/>
        <v>#VALUE!</v>
      </c>
      <c r="W135" s="544"/>
      <c r="X135" s="556"/>
    </row>
    <row r="136" spans="1:24">
      <c r="A136" s="552">
        <v>134</v>
      </c>
      <c r="B136" s="560"/>
      <c r="C136" s="554"/>
      <c r="D136" s="544" t="s">
        <v>799</v>
      </c>
      <c r="E136" s="555"/>
      <c r="F136" s="545">
        <f>E136-(E136*Z13)</f>
        <v>0</v>
      </c>
      <c r="G136" s="546"/>
      <c r="H136" s="547">
        <f>IF(D136="Rəsmi gəlir",AA3,IF(D136="Qeyri rəsmi gəlir",AB3))</f>
        <v>7.0000000000000007E-2</v>
      </c>
      <c r="I136" s="547">
        <f>IF(D136="Rəsmi gəlir",AA4,IF(D136="Qeyri rəsmi gəlir",AB4))</f>
        <v>0.12</v>
      </c>
      <c r="J136" s="547">
        <f>IF(D136="Rəsmi gəlir",AA5,IF(D136="Qeyri rəsmi gəlir",AB5))</f>
        <v>0.16</v>
      </c>
      <c r="K136" s="547">
        <f>IF(D136="Rəsmi gəlir",AA6,IF(D136="Qeyri rəsmi gəlir",AB6))</f>
        <v>0.2</v>
      </c>
      <c r="L136" s="547">
        <f>IF(D136="Rəsmi gəlir",AA7,IF(D136="Qeyri rəsmi gəlir",AB7))</f>
        <v>0.23</v>
      </c>
      <c r="M136" s="547">
        <f>IF(D136="Rəsmi gəlir",AA8,IF(D136="Qeyri rəsmi gəlir",AB8))</f>
        <v>0.25600000000000001</v>
      </c>
      <c r="N136" s="547">
        <f>IF(D136="Rəsmi gəlir",AA9,IF(D136="Qeyri rəsmi gəlir",AB9))</f>
        <v>0.28550000000000003</v>
      </c>
      <c r="O136" s="547">
        <f>IF(D136="Rəsmi gəlir",AA10,IF(D136="Qeyri rəsmi gəlir",AB10))</f>
        <v>0</v>
      </c>
      <c r="P136" s="547" t="b">
        <f t="shared" si="12"/>
        <v>0</v>
      </c>
      <c r="Q136" s="548">
        <f t="shared" si="13"/>
        <v>0</v>
      </c>
      <c r="R136" s="543" t="str">
        <f t="shared" si="15"/>
        <v>-</v>
      </c>
      <c r="S136" s="549"/>
      <c r="T136" s="543" t="e">
        <f t="shared" si="16"/>
        <v>#VALUE!</v>
      </c>
      <c r="U136" s="548" t="e">
        <f t="shared" si="14"/>
        <v>#VALUE!</v>
      </c>
      <c r="V136" s="548" t="e">
        <f t="shared" si="17"/>
        <v>#VALUE!</v>
      </c>
      <c r="W136" s="544"/>
      <c r="X136" s="556"/>
    </row>
    <row r="137" spans="1:24">
      <c r="A137" s="552">
        <v>135</v>
      </c>
      <c r="B137" s="560"/>
      <c r="C137" s="554"/>
      <c r="D137" s="544" t="s">
        <v>799</v>
      </c>
      <c r="E137" s="555"/>
      <c r="F137" s="545">
        <f>E137-(E137*Z13)</f>
        <v>0</v>
      </c>
      <c r="G137" s="546"/>
      <c r="H137" s="547">
        <f>IF(D137="Rəsmi gəlir",AA3,IF(D137="Qeyri rəsmi gəlir",AB3))</f>
        <v>7.0000000000000007E-2</v>
      </c>
      <c r="I137" s="547">
        <f>IF(D137="Rəsmi gəlir",AA4,IF(D137="Qeyri rəsmi gəlir",AB4))</f>
        <v>0.12</v>
      </c>
      <c r="J137" s="547">
        <f>IF(D137="Rəsmi gəlir",AA5,IF(D137="Qeyri rəsmi gəlir",AB5))</f>
        <v>0.16</v>
      </c>
      <c r="K137" s="547">
        <f>IF(D137="Rəsmi gəlir",AA6,IF(D137="Qeyri rəsmi gəlir",AB6))</f>
        <v>0.2</v>
      </c>
      <c r="L137" s="547">
        <f>IF(D137="Rəsmi gəlir",AA7,IF(D137="Qeyri rəsmi gəlir",AB7))</f>
        <v>0.23</v>
      </c>
      <c r="M137" s="547">
        <f>IF(D137="Rəsmi gəlir",AA8,IF(D137="Qeyri rəsmi gəlir",AB8))</f>
        <v>0.25600000000000001</v>
      </c>
      <c r="N137" s="547">
        <f>IF(D137="Rəsmi gəlir",AA9,IF(D137="Qeyri rəsmi gəlir",AB9))</f>
        <v>0.28550000000000003</v>
      </c>
      <c r="O137" s="547">
        <f>IF(D137="Rəsmi gəlir",AA10,IF(D137="Qeyri rəsmi gəlir",AB10))</f>
        <v>0</v>
      </c>
      <c r="P137" s="547" t="b">
        <f t="shared" si="12"/>
        <v>0</v>
      </c>
      <c r="Q137" s="548">
        <f t="shared" si="13"/>
        <v>0</v>
      </c>
      <c r="R137" s="543" t="str">
        <f t="shared" si="15"/>
        <v>-</v>
      </c>
      <c r="S137" s="549"/>
      <c r="T137" s="543" t="e">
        <f t="shared" si="16"/>
        <v>#VALUE!</v>
      </c>
      <c r="U137" s="548" t="e">
        <f t="shared" si="14"/>
        <v>#VALUE!</v>
      </c>
      <c r="V137" s="548" t="e">
        <f t="shared" si="17"/>
        <v>#VALUE!</v>
      </c>
      <c r="W137" s="544"/>
      <c r="X137" s="556"/>
    </row>
    <row r="138" spans="1:24">
      <c r="A138" s="552">
        <v>136</v>
      </c>
      <c r="B138" s="560"/>
      <c r="C138" s="554"/>
      <c r="D138" s="544" t="s">
        <v>799</v>
      </c>
      <c r="E138" s="555"/>
      <c r="F138" s="545">
        <f>E138-(E138*Z13)</f>
        <v>0</v>
      </c>
      <c r="G138" s="546"/>
      <c r="H138" s="547">
        <f>IF(D138="Rəsmi gəlir",AA3,IF(D138="Qeyri rəsmi gəlir",AB3))</f>
        <v>7.0000000000000007E-2</v>
      </c>
      <c r="I138" s="547">
        <f>IF(D138="Rəsmi gəlir",AA4,IF(D138="Qeyri rəsmi gəlir",AB4))</f>
        <v>0.12</v>
      </c>
      <c r="J138" s="547">
        <f>IF(D138="Rəsmi gəlir",AA5,IF(D138="Qeyri rəsmi gəlir",AB5))</f>
        <v>0.16</v>
      </c>
      <c r="K138" s="547">
        <f>IF(D138="Rəsmi gəlir",AA6,IF(D138="Qeyri rəsmi gəlir",AB6))</f>
        <v>0.2</v>
      </c>
      <c r="L138" s="547">
        <f>IF(D138="Rəsmi gəlir",AA7,IF(D138="Qeyri rəsmi gəlir",AB7))</f>
        <v>0.23</v>
      </c>
      <c r="M138" s="547">
        <f>IF(D138="Rəsmi gəlir",AA8,IF(D138="Qeyri rəsmi gəlir",AB8))</f>
        <v>0.25600000000000001</v>
      </c>
      <c r="N138" s="547">
        <f>IF(D138="Rəsmi gəlir",AA9,IF(D138="Qeyri rəsmi gəlir",AB9))</f>
        <v>0.28550000000000003</v>
      </c>
      <c r="O138" s="547">
        <f>IF(D138="Rəsmi gəlir",AA10,IF(D138="Qeyri rəsmi gəlir",AB10))</f>
        <v>0</v>
      </c>
      <c r="P138" s="547" t="b">
        <f t="shared" si="12"/>
        <v>0</v>
      </c>
      <c r="Q138" s="548">
        <f t="shared" si="13"/>
        <v>0</v>
      </c>
      <c r="R138" s="543" t="str">
        <f t="shared" si="15"/>
        <v>-</v>
      </c>
      <c r="S138" s="549"/>
      <c r="T138" s="543" t="e">
        <f t="shared" si="16"/>
        <v>#VALUE!</v>
      </c>
      <c r="U138" s="548" t="e">
        <f t="shared" si="14"/>
        <v>#VALUE!</v>
      </c>
      <c r="V138" s="548" t="e">
        <f t="shared" si="17"/>
        <v>#VALUE!</v>
      </c>
      <c r="W138" s="544"/>
      <c r="X138" s="556"/>
    </row>
    <row r="139" spans="1:24">
      <c r="A139" s="552">
        <v>137</v>
      </c>
      <c r="B139" s="560"/>
      <c r="C139" s="554"/>
      <c r="D139" s="544" t="s">
        <v>799</v>
      </c>
      <c r="E139" s="555"/>
      <c r="F139" s="545">
        <f>E139-(E139*Z13)</f>
        <v>0</v>
      </c>
      <c r="G139" s="546"/>
      <c r="H139" s="547">
        <f>IF(D139="Rəsmi gəlir",AA3,IF(D139="Qeyri rəsmi gəlir",AB3))</f>
        <v>7.0000000000000007E-2</v>
      </c>
      <c r="I139" s="547">
        <f>IF(D139="Rəsmi gəlir",AA4,IF(D139="Qeyri rəsmi gəlir",AB4))</f>
        <v>0.12</v>
      </c>
      <c r="J139" s="547">
        <f>IF(D139="Rəsmi gəlir",AA5,IF(D139="Qeyri rəsmi gəlir",AB5))</f>
        <v>0.16</v>
      </c>
      <c r="K139" s="547">
        <f>IF(D139="Rəsmi gəlir",AA6,IF(D139="Qeyri rəsmi gəlir",AB6))</f>
        <v>0.2</v>
      </c>
      <c r="L139" s="547">
        <f>IF(D139="Rəsmi gəlir",AA7,IF(D139="Qeyri rəsmi gəlir",AB7))</f>
        <v>0.23</v>
      </c>
      <c r="M139" s="547">
        <f>IF(D139="Rəsmi gəlir",AA8,IF(D139="Qeyri rəsmi gəlir",AB8))</f>
        <v>0.25600000000000001</v>
      </c>
      <c r="N139" s="547">
        <f>IF(D139="Rəsmi gəlir",AA9,IF(D139="Qeyri rəsmi gəlir",AB9))</f>
        <v>0.28550000000000003</v>
      </c>
      <c r="O139" s="547">
        <f>IF(D139="Rəsmi gəlir",AA10,IF(D139="Qeyri rəsmi gəlir",AB10))</f>
        <v>0</v>
      </c>
      <c r="P139" s="547" t="b">
        <f t="shared" si="12"/>
        <v>0</v>
      </c>
      <c r="Q139" s="548">
        <f t="shared" si="13"/>
        <v>0</v>
      </c>
      <c r="R139" s="543" t="str">
        <f t="shared" si="15"/>
        <v>-</v>
      </c>
      <c r="S139" s="549"/>
      <c r="T139" s="543" t="e">
        <f t="shared" si="16"/>
        <v>#VALUE!</v>
      </c>
      <c r="U139" s="548" t="e">
        <f t="shared" si="14"/>
        <v>#VALUE!</v>
      </c>
      <c r="V139" s="548" t="e">
        <f t="shared" si="17"/>
        <v>#VALUE!</v>
      </c>
      <c r="W139" s="544"/>
      <c r="X139" s="556"/>
    </row>
    <row r="140" spans="1:24">
      <c r="A140" s="552">
        <v>138</v>
      </c>
      <c r="B140" s="560"/>
      <c r="C140" s="554"/>
      <c r="D140" s="544" t="s">
        <v>799</v>
      </c>
      <c r="E140" s="555"/>
      <c r="F140" s="545">
        <f>E140-(E140*Z13)</f>
        <v>0</v>
      </c>
      <c r="G140" s="546"/>
      <c r="H140" s="547">
        <f>IF(D140="Rəsmi gəlir",AA3,IF(D140="Qeyri rəsmi gəlir",AB3))</f>
        <v>7.0000000000000007E-2</v>
      </c>
      <c r="I140" s="547">
        <f>IF(D140="Rəsmi gəlir",AA4,IF(D140="Qeyri rəsmi gəlir",AB4))</f>
        <v>0.12</v>
      </c>
      <c r="J140" s="547">
        <f>IF(D140="Rəsmi gəlir",AA5,IF(D140="Qeyri rəsmi gəlir",AB5))</f>
        <v>0.16</v>
      </c>
      <c r="K140" s="547">
        <f>IF(D140="Rəsmi gəlir",AA6,IF(D140="Qeyri rəsmi gəlir",AB6))</f>
        <v>0.2</v>
      </c>
      <c r="L140" s="547">
        <f>IF(D140="Rəsmi gəlir",AA7,IF(D140="Qeyri rəsmi gəlir",AB7))</f>
        <v>0.23</v>
      </c>
      <c r="M140" s="547">
        <f>IF(D140="Rəsmi gəlir",AA8,IF(D140="Qeyri rəsmi gəlir",AB8))</f>
        <v>0.25600000000000001</v>
      </c>
      <c r="N140" s="547">
        <f>IF(D140="Rəsmi gəlir",AA9,IF(D140="Qeyri rəsmi gəlir",AB9))</f>
        <v>0.28550000000000003</v>
      </c>
      <c r="O140" s="547">
        <f>IF(D140="Rəsmi gəlir",AA10,IF(D140="Qeyri rəsmi gəlir",AB10))</f>
        <v>0</v>
      </c>
      <c r="P140" s="547" t="b">
        <f t="shared" si="12"/>
        <v>0</v>
      </c>
      <c r="Q140" s="548">
        <f t="shared" si="13"/>
        <v>0</v>
      </c>
      <c r="R140" s="543" t="str">
        <f t="shared" si="15"/>
        <v>-</v>
      </c>
      <c r="S140" s="549"/>
      <c r="T140" s="543" t="e">
        <f t="shared" si="16"/>
        <v>#VALUE!</v>
      </c>
      <c r="U140" s="548" t="e">
        <f t="shared" si="14"/>
        <v>#VALUE!</v>
      </c>
      <c r="V140" s="548" t="e">
        <f t="shared" si="17"/>
        <v>#VALUE!</v>
      </c>
      <c r="W140" s="544"/>
      <c r="X140" s="556"/>
    </row>
    <row r="141" spans="1:24">
      <c r="A141" s="552">
        <v>139</v>
      </c>
      <c r="B141" s="560"/>
      <c r="C141" s="554"/>
      <c r="D141" s="544" t="s">
        <v>799</v>
      </c>
      <c r="E141" s="555"/>
      <c r="F141" s="545">
        <f>E141-(E141*Z13)</f>
        <v>0</v>
      </c>
      <c r="G141" s="546"/>
      <c r="H141" s="547">
        <f>IF(D141="Rəsmi gəlir",AA3,IF(D141="Qeyri rəsmi gəlir",AB3))</f>
        <v>7.0000000000000007E-2</v>
      </c>
      <c r="I141" s="547">
        <f>IF(D141="Rəsmi gəlir",AA4,IF(D141="Qeyri rəsmi gəlir",AB4))</f>
        <v>0.12</v>
      </c>
      <c r="J141" s="547">
        <f>IF(D141="Rəsmi gəlir",AA5,IF(D141="Qeyri rəsmi gəlir",AB5))</f>
        <v>0.16</v>
      </c>
      <c r="K141" s="547">
        <f>IF(D141="Rəsmi gəlir",AA6,IF(D141="Qeyri rəsmi gəlir",AB6))</f>
        <v>0.2</v>
      </c>
      <c r="L141" s="547">
        <f>IF(D141="Rəsmi gəlir",AA7,IF(D141="Qeyri rəsmi gəlir",AB7))</f>
        <v>0.23</v>
      </c>
      <c r="M141" s="547">
        <f>IF(D141="Rəsmi gəlir",AA8,IF(D141="Qeyri rəsmi gəlir",AB8))</f>
        <v>0.25600000000000001</v>
      </c>
      <c r="N141" s="547">
        <f>IF(D141="Rəsmi gəlir",AA9,IF(D141="Qeyri rəsmi gəlir",AB9))</f>
        <v>0.28550000000000003</v>
      </c>
      <c r="O141" s="547">
        <f>IF(D141="Rəsmi gəlir",AA10,IF(D141="Qeyri rəsmi gəlir",AB10))</f>
        <v>0</v>
      </c>
      <c r="P141" s="547" t="b">
        <f t="shared" si="12"/>
        <v>0</v>
      </c>
      <c r="Q141" s="548">
        <f t="shared" si="13"/>
        <v>0</v>
      </c>
      <c r="R141" s="543" t="str">
        <f t="shared" si="15"/>
        <v>-</v>
      </c>
      <c r="S141" s="549"/>
      <c r="T141" s="543" t="e">
        <f t="shared" si="16"/>
        <v>#VALUE!</v>
      </c>
      <c r="U141" s="548" t="e">
        <f t="shared" si="14"/>
        <v>#VALUE!</v>
      </c>
      <c r="V141" s="548" t="e">
        <f t="shared" si="17"/>
        <v>#VALUE!</v>
      </c>
      <c r="W141" s="544"/>
      <c r="X141" s="556"/>
    </row>
    <row r="142" spans="1:24">
      <c r="A142" s="552">
        <v>140</v>
      </c>
      <c r="B142" s="560"/>
      <c r="C142" s="554"/>
      <c r="D142" s="544" t="s">
        <v>799</v>
      </c>
      <c r="E142" s="555"/>
      <c r="F142" s="545">
        <f>E142-(E142*Z13)</f>
        <v>0</v>
      </c>
      <c r="G142" s="546"/>
      <c r="H142" s="547">
        <f>IF(D142="Rəsmi gəlir",AA3,IF(D142="Qeyri rəsmi gəlir",AB3))</f>
        <v>7.0000000000000007E-2</v>
      </c>
      <c r="I142" s="547">
        <f>IF(D142="Rəsmi gəlir",AA4,IF(D142="Qeyri rəsmi gəlir",AB4))</f>
        <v>0.12</v>
      </c>
      <c r="J142" s="547">
        <f>IF(D142="Rəsmi gəlir",AA5,IF(D142="Qeyri rəsmi gəlir",AB5))</f>
        <v>0.16</v>
      </c>
      <c r="K142" s="547">
        <f>IF(D142="Rəsmi gəlir",AA6,IF(D142="Qeyri rəsmi gəlir",AB6))</f>
        <v>0.2</v>
      </c>
      <c r="L142" s="547">
        <f>IF(D142="Rəsmi gəlir",AA7,IF(D142="Qeyri rəsmi gəlir",AB7))</f>
        <v>0.23</v>
      </c>
      <c r="M142" s="547">
        <f>IF(D142="Rəsmi gəlir",AA8,IF(D142="Qeyri rəsmi gəlir",AB8))</f>
        <v>0.25600000000000001</v>
      </c>
      <c r="N142" s="547">
        <f>IF(D142="Rəsmi gəlir",AA9,IF(D142="Qeyri rəsmi gəlir",AB9))</f>
        <v>0.28550000000000003</v>
      </c>
      <c r="O142" s="547">
        <f>IF(D142="Rəsmi gəlir",AA10,IF(D142="Qeyri rəsmi gəlir",AB10))</f>
        <v>0</v>
      </c>
      <c r="P142" s="547" t="b">
        <f t="shared" si="12"/>
        <v>0</v>
      </c>
      <c r="Q142" s="548">
        <f t="shared" si="13"/>
        <v>0</v>
      </c>
      <c r="R142" s="543" t="str">
        <f t="shared" si="15"/>
        <v>-</v>
      </c>
      <c r="S142" s="549"/>
      <c r="T142" s="543" t="e">
        <f t="shared" si="16"/>
        <v>#VALUE!</v>
      </c>
      <c r="U142" s="548" t="e">
        <f t="shared" si="14"/>
        <v>#VALUE!</v>
      </c>
      <c r="V142" s="548" t="e">
        <f t="shared" si="17"/>
        <v>#VALUE!</v>
      </c>
      <c r="W142" s="544"/>
      <c r="X142" s="556"/>
    </row>
    <row r="143" spans="1:24">
      <c r="A143" s="552">
        <v>141</v>
      </c>
      <c r="B143" s="560"/>
      <c r="C143" s="554"/>
      <c r="D143" s="544" t="s">
        <v>799</v>
      </c>
      <c r="E143" s="555"/>
      <c r="F143" s="545">
        <f>E143-(E143*Z13)</f>
        <v>0</v>
      </c>
      <c r="G143" s="546"/>
      <c r="H143" s="547">
        <f>IF(D143="Rəsmi gəlir",AA3,IF(D143="Qeyri rəsmi gəlir",AB3))</f>
        <v>7.0000000000000007E-2</v>
      </c>
      <c r="I143" s="547">
        <f>IF(D143="Rəsmi gəlir",AA4,IF(D143="Qeyri rəsmi gəlir",AB4))</f>
        <v>0.12</v>
      </c>
      <c r="J143" s="547">
        <f>IF(D143="Rəsmi gəlir",AA5,IF(D143="Qeyri rəsmi gəlir",AB5))</f>
        <v>0.16</v>
      </c>
      <c r="K143" s="547">
        <f>IF(D143="Rəsmi gəlir",AA6,IF(D143="Qeyri rəsmi gəlir",AB6))</f>
        <v>0.2</v>
      </c>
      <c r="L143" s="547">
        <f>IF(D143="Rəsmi gəlir",AA7,IF(D143="Qeyri rəsmi gəlir",AB7))</f>
        <v>0.23</v>
      </c>
      <c r="M143" s="547">
        <f>IF(D143="Rəsmi gəlir",AA8,IF(D143="Qeyri rəsmi gəlir",AB8))</f>
        <v>0.25600000000000001</v>
      </c>
      <c r="N143" s="547">
        <f>IF(D143="Rəsmi gəlir",AA9,IF(D143="Qeyri rəsmi gəlir",AB9))</f>
        <v>0.28550000000000003</v>
      </c>
      <c r="O143" s="547">
        <f>IF(D143="Rəsmi gəlir",AA10,IF(D143="Qeyri rəsmi gəlir",AB10))</f>
        <v>0</v>
      </c>
      <c r="P143" s="547" t="b">
        <f t="shared" si="12"/>
        <v>0</v>
      </c>
      <c r="Q143" s="548">
        <f t="shared" si="13"/>
        <v>0</v>
      </c>
      <c r="R143" s="543" t="str">
        <f t="shared" si="15"/>
        <v>-</v>
      </c>
      <c r="S143" s="549"/>
      <c r="T143" s="543" t="e">
        <f t="shared" si="16"/>
        <v>#VALUE!</v>
      </c>
      <c r="U143" s="548" t="e">
        <f t="shared" si="14"/>
        <v>#VALUE!</v>
      </c>
      <c r="V143" s="548" t="e">
        <f t="shared" si="17"/>
        <v>#VALUE!</v>
      </c>
      <c r="W143" s="544"/>
      <c r="X143" s="556"/>
    </row>
    <row r="144" spans="1:24">
      <c r="A144" s="552">
        <v>142</v>
      </c>
      <c r="B144" s="560"/>
      <c r="C144" s="554"/>
      <c r="D144" s="544" t="s">
        <v>799</v>
      </c>
      <c r="E144" s="555"/>
      <c r="F144" s="545">
        <f>E144-(E144*Z13)</f>
        <v>0</v>
      </c>
      <c r="G144" s="546"/>
      <c r="H144" s="547">
        <f>IF(D144="Rəsmi gəlir",AA3,IF(D144="Qeyri rəsmi gəlir",AB3))</f>
        <v>7.0000000000000007E-2</v>
      </c>
      <c r="I144" s="547">
        <f>IF(D144="Rəsmi gəlir",AA4,IF(D144="Qeyri rəsmi gəlir",AB4))</f>
        <v>0.12</v>
      </c>
      <c r="J144" s="547">
        <f>IF(D144="Rəsmi gəlir",AA5,IF(D144="Qeyri rəsmi gəlir",AB5))</f>
        <v>0.16</v>
      </c>
      <c r="K144" s="547">
        <f>IF(D144="Rəsmi gəlir",AA6,IF(D144="Qeyri rəsmi gəlir",AB6))</f>
        <v>0.2</v>
      </c>
      <c r="L144" s="547">
        <f>IF(D144="Rəsmi gəlir",AA7,IF(D144="Qeyri rəsmi gəlir",AB7))</f>
        <v>0.23</v>
      </c>
      <c r="M144" s="547">
        <f>IF(D144="Rəsmi gəlir",AA8,IF(D144="Qeyri rəsmi gəlir",AB8))</f>
        <v>0.25600000000000001</v>
      </c>
      <c r="N144" s="547">
        <f>IF(D144="Rəsmi gəlir",AA9,IF(D144="Qeyri rəsmi gəlir",AB9))</f>
        <v>0.28550000000000003</v>
      </c>
      <c r="O144" s="547">
        <f>IF(D144="Rəsmi gəlir",AA10,IF(D144="Qeyri rəsmi gəlir",AB10))</f>
        <v>0</v>
      </c>
      <c r="P144" s="547" t="b">
        <f t="shared" si="12"/>
        <v>0</v>
      </c>
      <c r="Q144" s="548">
        <f t="shared" si="13"/>
        <v>0</v>
      </c>
      <c r="R144" s="543" t="str">
        <f t="shared" si="15"/>
        <v>-</v>
      </c>
      <c r="S144" s="549"/>
      <c r="T144" s="543" t="e">
        <f t="shared" si="16"/>
        <v>#VALUE!</v>
      </c>
      <c r="U144" s="548" t="e">
        <f t="shared" si="14"/>
        <v>#VALUE!</v>
      </c>
      <c r="V144" s="548" t="e">
        <f t="shared" si="17"/>
        <v>#VALUE!</v>
      </c>
      <c r="W144" s="544"/>
      <c r="X144" s="556"/>
    </row>
    <row r="145" spans="1:24">
      <c r="A145" s="552">
        <v>143</v>
      </c>
      <c r="B145" s="560"/>
      <c r="C145" s="554"/>
      <c r="D145" s="544" t="s">
        <v>799</v>
      </c>
      <c r="E145" s="555"/>
      <c r="F145" s="545">
        <f>E145-(E145*Z13)</f>
        <v>0</v>
      </c>
      <c r="G145" s="546"/>
      <c r="H145" s="547">
        <f>IF(D145="Rəsmi gəlir",AA3,IF(D145="Qeyri rəsmi gəlir",AB3))</f>
        <v>7.0000000000000007E-2</v>
      </c>
      <c r="I145" s="547">
        <f>IF(D145="Rəsmi gəlir",AA4,IF(D145="Qeyri rəsmi gəlir",AB4))</f>
        <v>0.12</v>
      </c>
      <c r="J145" s="547">
        <f>IF(D145="Rəsmi gəlir",AA5,IF(D145="Qeyri rəsmi gəlir",AB5))</f>
        <v>0.16</v>
      </c>
      <c r="K145" s="547">
        <f>IF(D145="Rəsmi gəlir",AA6,IF(D145="Qeyri rəsmi gəlir",AB6))</f>
        <v>0.2</v>
      </c>
      <c r="L145" s="547">
        <f>IF(D145="Rəsmi gəlir",AA7,IF(D145="Qeyri rəsmi gəlir",AB7))</f>
        <v>0.23</v>
      </c>
      <c r="M145" s="547">
        <f>IF(D145="Rəsmi gəlir",AA8,IF(D145="Qeyri rəsmi gəlir",AB8))</f>
        <v>0.25600000000000001</v>
      </c>
      <c r="N145" s="547">
        <f>IF(D145="Rəsmi gəlir",AA9,IF(D145="Qeyri rəsmi gəlir",AB9))</f>
        <v>0.28550000000000003</v>
      </c>
      <c r="O145" s="547">
        <f>IF(D145="Rəsmi gəlir",AA10,IF(D145="Qeyri rəsmi gəlir",AB10))</f>
        <v>0</v>
      </c>
      <c r="P145" s="547" t="b">
        <f t="shared" si="12"/>
        <v>0</v>
      </c>
      <c r="Q145" s="548">
        <f t="shared" si="13"/>
        <v>0</v>
      </c>
      <c r="R145" s="543" t="str">
        <f t="shared" si="15"/>
        <v>-</v>
      </c>
      <c r="S145" s="549"/>
      <c r="T145" s="543" t="e">
        <f t="shared" si="16"/>
        <v>#VALUE!</v>
      </c>
      <c r="U145" s="548" t="e">
        <f t="shared" si="14"/>
        <v>#VALUE!</v>
      </c>
      <c r="V145" s="548" t="e">
        <f t="shared" si="17"/>
        <v>#VALUE!</v>
      </c>
      <c r="W145" s="544"/>
      <c r="X145" s="556"/>
    </row>
    <row r="146" spans="1:24">
      <c r="A146" s="552">
        <v>144</v>
      </c>
      <c r="B146" s="560"/>
      <c r="C146" s="554"/>
      <c r="D146" s="544" t="s">
        <v>799</v>
      </c>
      <c r="E146" s="555"/>
      <c r="F146" s="545">
        <f>E146-(E146*Z13)</f>
        <v>0</v>
      </c>
      <c r="G146" s="546"/>
      <c r="H146" s="547">
        <f>IF(D146="Rəsmi gəlir",AA3,IF(D146="Qeyri rəsmi gəlir",AB3))</f>
        <v>7.0000000000000007E-2</v>
      </c>
      <c r="I146" s="547">
        <f>IF(D146="Rəsmi gəlir",AA4,IF(D146="Qeyri rəsmi gəlir",AB4))</f>
        <v>0.12</v>
      </c>
      <c r="J146" s="547">
        <f>IF(D146="Rəsmi gəlir",AA5,IF(D146="Qeyri rəsmi gəlir",AB5))</f>
        <v>0.16</v>
      </c>
      <c r="K146" s="547">
        <f>IF(D146="Rəsmi gəlir",AA6,IF(D146="Qeyri rəsmi gəlir",AB6))</f>
        <v>0.2</v>
      </c>
      <c r="L146" s="547">
        <f>IF(D146="Rəsmi gəlir",AA7,IF(D146="Qeyri rəsmi gəlir",AB7))</f>
        <v>0.23</v>
      </c>
      <c r="M146" s="547">
        <f>IF(D146="Rəsmi gəlir",AA8,IF(D146="Qeyri rəsmi gəlir",AB8))</f>
        <v>0.25600000000000001</v>
      </c>
      <c r="N146" s="547">
        <f>IF(D146="Rəsmi gəlir",AA9,IF(D146="Qeyri rəsmi gəlir",AB9))</f>
        <v>0.28550000000000003</v>
      </c>
      <c r="O146" s="547">
        <f>IF(D146="Rəsmi gəlir",AA10,IF(D146="Qeyri rəsmi gəlir",AB10))</f>
        <v>0</v>
      </c>
      <c r="P146" s="547" t="b">
        <f t="shared" si="12"/>
        <v>0</v>
      </c>
      <c r="Q146" s="548">
        <f t="shared" si="13"/>
        <v>0</v>
      </c>
      <c r="R146" s="543" t="str">
        <f t="shared" si="15"/>
        <v>-</v>
      </c>
      <c r="S146" s="549"/>
      <c r="T146" s="543" t="e">
        <f t="shared" si="16"/>
        <v>#VALUE!</v>
      </c>
      <c r="U146" s="548" t="e">
        <f t="shared" si="14"/>
        <v>#VALUE!</v>
      </c>
      <c r="V146" s="548" t="e">
        <f t="shared" si="17"/>
        <v>#VALUE!</v>
      </c>
      <c r="W146" s="544"/>
      <c r="X146" s="556"/>
    </row>
    <row r="147" spans="1:24">
      <c r="A147" s="552">
        <v>145</v>
      </c>
      <c r="B147" s="560"/>
      <c r="C147" s="554"/>
      <c r="D147" s="544" t="s">
        <v>799</v>
      </c>
      <c r="E147" s="555"/>
      <c r="F147" s="545">
        <f>E147-(E147*Z13)</f>
        <v>0</v>
      </c>
      <c r="G147" s="546"/>
      <c r="H147" s="547">
        <f>IF(D147="Rəsmi gəlir",AA3,IF(D147="Qeyri rəsmi gəlir",AB3))</f>
        <v>7.0000000000000007E-2</v>
      </c>
      <c r="I147" s="547">
        <f>IF(D147="Rəsmi gəlir",AA4,IF(D147="Qeyri rəsmi gəlir",AB4))</f>
        <v>0.12</v>
      </c>
      <c r="J147" s="547">
        <f>IF(D147="Rəsmi gəlir",AA5,IF(D147="Qeyri rəsmi gəlir",AB5))</f>
        <v>0.16</v>
      </c>
      <c r="K147" s="547">
        <f>IF(D147="Rəsmi gəlir",AA6,IF(D147="Qeyri rəsmi gəlir",AB6))</f>
        <v>0.2</v>
      </c>
      <c r="L147" s="547">
        <f>IF(D147="Rəsmi gəlir",AA7,IF(D147="Qeyri rəsmi gəlir",AB7))</f>
        <v>0.23</v>
      </c>
      <c r="M147" s="547">
        <f>IF(D147="Rəsmi gəlir",AA8,IF(D147="Qeyri rəsmi gəlir",AB8))</f>
        <v>0.25600000000000001</v>
      </c>
      <c r="N147" s="547">
        <f>IF(D147="Rəsmi gəlir",AA9,IF(D147="Qeyri rəsmi gəlir",AB9))</f>
        <v>0.28550000000000003</v>
      </c>
      <c r="O147" s="547">
        <f>IF(D147="Rəsmi gəlir",AA10,IF(D147="Qeyri rəsmi gəlir",AB10))</f>
        <v>0</v>
      </c>
      <c r="P147" s="547" t="b">
        <f t="shared" si="12"/>
        <v>0</v>
      </c>
      <c r="Q147" s="548">
        <f t="shared" si="13"/>
        <v>0</v>
      </c>
      <c r="R147" s="543" t="str">
        <f t="shared" si="15"/>
        <v>-</v>
      </c>
      <c r="S147" s="549"/>
      <c r="T147" s="543" t="e">
        <f t="shared" si="16"/>
        <v>#VALUE!</v>
      </c>
      <c r="U147" s="548" t="e">
        <f t="shared" si="14"/>
        <v>#VALUE!</v>
      </c>
      <c r="V147" s="548" t="e">
        <f t="shared" si="17"/>
        <v>#VALUE!</v>
      </c>
      <c r="W147" s="544"/>
      <c r="X147" s="556"/>
    </row>
    <row r="148" spans="1:24">
      <c r="A148" s="552">
        <v>146</v>
      </c>
      <c r="B148" s="560"/>
      <c r="C148" s="554"/>
      <c r="D148" s="544" t="s">
        <v>799</v>
      </c>
      <c r="E148" s="555"/>
      <c r="F148" s="545">
        <f>E148-(E148*Z13)</f>
        <v>0</v>
      </c>
      <c r="G148" s="546"/>
      <c r="H148" s="547">
        <f>IF(D148="Rəsmi gəlir",AA3,IF(D148="Qeyri rəsmi gəlir",AB3))</f>
        <v>7.0000000000000007E-2</v>
      </c>
      <c r="I148" s="547">
        <f>IF(D148="Rəsmi gəlir",AA4,IF(D148="Qeyri rəsmi gəlir",AB4))</f>
        <v>0.12</v>
      </c>
      <c r="J148" s="547">
        <f>IF(D148="Rəsmi gəlir",AA5,IF(D148="Qeyri rəsmi gəlir",AB5))</f>
        <v>0.16</v>
      </c>
      <c r="K148" s="547">
        <f>IF(D148="Rəsmi gəlir",AA6,IF(D148="Qeyri rəsmi gəlir",AB6))</f>
        <v>0.2</v>
      </c>
      <c r="L148" s="547">
        <f>IF(D148="Rəsmi gəlir",AA7,IF(D148="Qeyri rəsmi gəlir",AB7))</f>
        <v>0.23</v>
      </c>
      <c r="M148" s="547">
        <f>IF(D148="Rəsmi gəlir",AA8,IF(D148="Qeyri rəsmi gəlir",AB8))</f>
        <v>0.25600000000000001</v>
      </c>
      <c r="N148" s="547">
        <f>IF(D148="Rəsmi gəlir",AA9,IF(D148="Qeyri rəsmi gəlir",AB9))</f>
        <v>0.28550000000000003</v>
      </c>
      <c r="O148" s="547">
        <f>IF(D148="Rəsmi gəlir",AA10,IF(D148="Qeyri rəsmi gəlir",AB10))</f>
        <v>0</v>
      </c>
      <c r="P148" s="547" t="b">
        <f t="shared" si="12"/>
        <v>0</v>
      </c>
      <c r="Q148" s="548">
        <f t="shared" si="13"/>
        <v>0</v>
      </c>
      <c r="R148" s="543" t="str">
        <f t="shared" si="15"/>
        <v>-</v>
      </c>
      <c r="S148" s="549"/>
      <c r="T148" s="543" t="e">
        <f t="shared" si="16"/>
        <v>#VALUE!</v>
      </c>
      <c r="U148" s="548" t="e">
        <f t="shared" si="14"/>
        <v>#VALUE!</v>
      </c>
      <c r="V148" s="548" t="e">
        <f t="shared" si="17"/>
        <v>#VALUE!</v>
      </c>
      <c r="W148" s="544"/>
      <c r="X148" s="556"/>
    </row>
    <row r="149" spans="1:24">
      <c r="A149" s="552">
        <v>147</v>
      </c>
      <c r="B149" s="560"/>
      <c r="C149" s="554"/>
      <c r="D149" s="544" t="s">
        <v>799</v>
      </c>
      <c r="E149" s="555"/>
      <c r="F149" s="545">
        <f>E149-(E149*Z13)</f>
        <v>0</v>
      </c>
      <c r="G149" s="546"/>
      <c r="H149" s="547">
        <f>IF(D149="Rəsmi gəlir",AA3,IF(D149="Qeyri rəsmi gəlir",AB3))</f>
        <v>7.0000000000000007E-2</v>
      </c>
      <c r="I149" s="547">
        <f>IF(D149="Rəsmi gəlir",AA4,IF(D149="Qeyri rəsmi gəlir",AB4))</f>
        <v>0.12</v>
      </c>
      <c r="J149" s="547">
        <f>IF(D149="Rəsmi gəlir",AA5,IF(D149="Qeyri rəsmi gəlir",AB5))</f>
        <v>0.16</v>
      </c>
      <c r="K149" s="547">
        <f>IF(D149="Rəsmi gəlir",AA6,IF(D149="Qeyri rəsmi gəlir",AB6))</f>
        <v>0.2</v>
      </c>
      <c r="L149" s="547">
        <f>IF(D149="Rəsmi gəlir",AA7,IF(D149="Qeyri rəsmi gəlir",AB7))</f>
        <v>0.23</v>
      </c>
      <c r="M149" s="547">
        <f>IF(D149="Rəsmi gəlir",AA8,IF(D149="Qeyri rəsmi gəlir",AB8))</f>
        <v>0.25600000000000001</v>
      </c>
      <c r="N149" s="547">
        <f>IF(D149="Rəsmi gəlir",AA9,IF(D149="Qeyri rəsmi gəlir",AB9))</f>
        <v>0.28550000000000003</v>
      </c>
      <c r="O149" s="547">
        <f>IF(D149="Rəsmi gəlir",AA10,IF(D149="Qeyri rəsmi gəlir",AB10))</f>
        <v>0</v>
      </c>
      <c r="P149" s="547" t="b">
        <f t="shared" si="12"/>
        <v>0</v>
      </c>
      <c r="Q149" s="548">
        <f t="shared" si="13"/>
        <v>0</v>
      </c>
      <c r="R149" s="543" t="str">
        <f t="shared" si="15"/>
        <v>-</v>
      </c>
      <c r="S149" s="549"/>
      <c r="T149" s="543" t="e">
        <f t="shared" si="16"/>
        <v>#VALUE!</v>
      </c>
      <c r="U149" s="548" t="e">
        <f t="shared" si="14"/>
        <v>#VALUE!</v>
      </c>
      <c r="V149" s="548" t="e">
        <f t="shared" si="17"/>
        <v>#VALUE!</v>
      </c>
      <c r="W149" s="544"/>
      <c r="X149" s="556"/>
    </row>
    <row r="150" spans="1:24">
      <c r="A150" s="552">
        <v>148</v>
      </c>
      <c r="B150" s="560"/>
      <c r="C150" s="554"/>
      <c r="D150" s="544" t="s">
        <v>799</v>
      </c>
      <c r="E150" s="555"/>
      <c r="F150" s="545">
        <f>E150-(E150*Z13)</f>
        <v>0</v>
      </c>
      <c r="G150" s="546"/>
      <c r="H150" s="547">
        <f>IF(D150="Rəsmi gəlir",AA3,IF(D150="Qeyri rəsmi gəlir",AB3))</f>
        <v>7.0000000000000007E-2</v>
      </c>
      <c r="I150" s="547">
        <f>IF(D150="Rəsmi gəlir",AA4,IF(D150="Qeyri rəsmi gəlir",AB4))</f>
        <v>0.12</v>
      </c>
      <c r="J150" s="547">
        <f>IF(D150="Rəsmi gəlir",AA5,IF(D150="Qeyri rəsmi gəlir",AB5))</f>
        <v>0.16</v>
      </c>
      <c r="K150" s="547">
        <f>IF(D150="Rəsmi gəlir",AA6,IF(D150="Qeyri rəsmi gəlir",AB6))</f>
        <v>0.2</v>
      </c>
      <c r="L150" s="547">
        <f>IF(D150="Rəsmi gəlir",AA7,IF(D150="Qeyri rəsmi gəlir",AB7))</f>
        <v>0.23</v>
      </c>
      <c r="M150" s="547">
        <f>IF(D150="Rəsmi gəlir",AA8,IF(D150="Qeyri rəsmi gəlir",AB8))</f>
        <v>0.25600000000000001</v>
      </c>
      <c r="N150" s="547">
        <f>IF(D150="Rəsmi gəlir",AA9,IF(D150="Qeyri rəsmi gəlir",AB9))</f>
        <v>0.28550000000000003</v>
      </c>
      <c r="O150" s="547">
        <f>IF(D150="Rəsmi gəlir",AA10,IF(D150="Qeyri rəsmi gəlir",AB10))</f>
        <v>0</v>
      </c>
      <c r="P150" s="547" t="b">
        <f t="shared" si="12"/>
        <v>0</v>
      </c>
      <c r="Q150" s="548">
        <f t="shared" si="13"/>
        <v>0</v>
      </c>
      <c r="R150" s="543" t="str">
        <f t="shared" si="15"/>
        <v>-</v>
      </c>
      <c r="S150" s="549"/>
      <c r="T150" s="543" t="e">
        <f t="shared" si="16"/>
        <v>#VALUE!</v>
      </c>
      <c r="U150" s="548" t="e">
        <f t="shared" si="14"/>
        <v>#VALUE!</v>
      </c>
      <c r="V150" s="548" t="e">
        <f t="shared" si="17"/>
        <v>#VALUE!</v>
      </c>
      <c r="W150" s="544"/>
      <c r="X150" s="556"/>
    </row>
    <row r="151" spans="1:24">
      <c r="A151" s="552">
        <v>149</v>
      </c>
      <c r="B151" s="560"/>
      <c r="C151" s="554"/>
      <c r="D151" s="544" t="s">
        <v>799</v>
      </c>
      <c r="E151" s="555"/>
      <c r="F151" s="545">
        <f>E151-(E151*Z13)</f>
        <v>0</v>
      </c>
      <c r="G151" s="546"/>
      <c r="H151" s="547">
        <f>IF(D151="Rəsmi gəlir",AA3,IF(D151="Qeyri rəsmi gəlir",AB3))</f>
        <v>7.0000000000000007E-2</v>
      </c>
      <c r="I151" s="547">
        <f>IF(D151="Rəsmi gəlir",AA4,IF(D151="Qeyri rəsmi gəlir",AB4))</f>
        <v>0.12</v>
      </c>
      <c r="J151" s="547">
        <f>IF(D151="Rəsmi gəlir",AA5,IF(D151="Qeyri rəsmi gəlir",AB5))</f>
        <v>0.16</v>
      </c>
      <c r="K151" s="547">
        <f>IF(D151="Rəsmi gəlir",AA6,IF(D151="Qeyri rəsmi gəlir",AB6))</f>
        <v>0.2</v>
      </c>
      <c r="L151" s="547">
        <f>IF(D151="Rəsmi gəlir",AA7,IF(D151="Qeyri rəsmi gəlir",AB7))</f>
        <v>0.23</v>
      </c>
      <c r="M151" s="547">
        <f>IF(D151="Rəsmi gəlir",AA8,IF(D151="Qeyri rəsmi gəlir",AB8))</f>
        <v>0.25600000000000001</v>
      </c>
      <c r="N151" s="547">
        <f>IF(D151="Rəsmi gəlir",AA9,IF(D151="Qeyri rəsmi gəlir",AB9))</f>
        <v>0.28550000000000003</v>
      </c>
      <c r="O151" s="547">
        <f>IF(D151="Rəsmi gəlir",AA10,IF(D151="Qeyri rəsmi gəlir",AB10))</f>
        <v>0</v>
      </c>
      <c r="P151" s="547" t="b">
        <f t="shared" si="12"/>
        <v>0</v>
      </c>
      <c r="Q151" s="548">
        <f t="shared" si="13"/>
        <v>0</v>
      </c>
      <c r="R151" s="543" t="str">
        <f t="shared" si="15"/>
        <v>-</v>
      </c>
      <c r="S151" s="549"/>
      <c r="T151" s="543" t="e">
        <f t="shared" si="16"/>
        <v>#VALUE!</v>
      </c>
      <c r="U151" s="548" t="e">
        <f t="shared" si="14"/>
        <v>#VALUE!</v>
      </c>
      <c r="V151" s="548" t="e">
        <f t="shared" si="17"/>
        <v>#VALUE!</v>
      </c>
      <c r="W151" s="544"/>
      <c r="X151" s="556"/>
    </row>
    <row r="152" spans="1:24">
      <c r="A152" s="552">
        <v>150</v>
      </c>
      <c r="B152" s="560"/>
      <c r="C152" s="554"/>
      <c r="D152" s="544" t="s">
        <v>799</v>
      </c>
      <c r="E152" s="555"/>
      <c r="F152" s="545">
        <f>E152-(E152*Z13)</f>
        <v>0</v>
      </c>
      <c r="G152" s="546"/>
      <c r="H152" s="547">
        <f>IF(D152="Rəsmi gəlir",AA3,IF(D152="Qeyri rəsmi gəlir",AB3))</f>
        <v>7.0000000000000007E-2</v>
      </c>
      <c r="I152" s="547">
        <f>IF(D152="Rəsmi gəlir",AA4,IF(D152="Qeyri rəsmi gəlir",AB4))</f>
        <v>0.12</v>
      </c>
      <c r="J152" s="547">
        <f>IF(D152="Rəsmi gəlir",AA5,IF(D152="Qeyri rəsmi gəlir",AB5))</f>
        <v>0.16</v>
      </c>
      <c r="K152" s="547">
        <f>IF(D152="Rəsmi gəlir",AA6,IF(D152="Qeyri rəsmi gəlir",AB6))</f>
        <v>0.2</v>
      </c>
      <c r="L152" s="547">
        <f>IF(D152="Rəsmi gəlir",AA7,IF(D152="Qeyri rəsmi gəlir",AB7))</f>
        <v>0.23</v>
      </c>
      <c r="M152" s="547">
        <f>IF(D152="Rəsmi gəlir",AA8,IF(D152="Qeyri rəsmi gəlir",AB8))</f>
        <v>0.25600000000000001</v>
      </c>
      <c r="N152" s="547">
        <f>IF(D152="Rəsmi gəlir",AA9,IF(D152="Qeyri rəsmi gəlir",AB9))</f>
        <v>0.28550000000000003</v>
      </c>
      <c r="O152" s="547">
        <f>IF(D152="Rəsmi gəlir",AA10,IF(D152="Qeyri rəsmi gəlir",AB10))</f>
        <v>0</v>
      </c>
      <c r="P152" s="547" t="b">
        <f t="shared" si="12"/>
        <v>0</v>
      </c>
      <c r="Q152" s="548">
        <f t="shared" si="13"/>
        <v>0</v>
      </c>
      <c r="R152" s="543" t="str">
        <f t="shared" si="15"/>
        <v>-</v>
      </c>
      <c r="S152" s="549"/>
      <c r="T152" s="543" t="e">
        <f t="shared" si="16"/>
        <v>#VALUE!</v>
      </c>
      <c r="U152" s="548" t="e">
        <f t="shared" si="14"/>
        <v>#VALUE!</v>
      </c>
      <c r="V152" s="548" t="e">
        <f t="shared" si="17"/>
        <v>#VALUE!</v>
      </c>
      <c r="W152" s="544"/>
      <c r="X152" s="556"/>
    </row>
    <row r="153" spans="1:24">
      <c r="A153" s="552">
        <v>151</v>
      </c>
      <c r="B153" s="560"/>
      <c r="C153" s="554"/>
      <c r="D153" s="544" t="s">
        <v>799</v>
      </c>
      <c r="E153" s="555"/>
      <c r="F153" s="545">
        <f>E153-(E153*Z13)</f>
        <v>0</v>
      </c>
      <c r="G153" s="546"/>
      <c r="H153" s="547">
        <f>IF(D153="Rəsmi gəlir",AA3,IF(D153="Qeyri rəsmi gəlir",AB3))</f>
        <v>7.0000000000000007E-2</v>
      </c>
      <c r="I153" s="547">
        <f>IF(D153="Rəsmi gəlir",AA4,IF(D153="Qeyri rəsmi gəlir",AB4))</f>
        <v>0.12</v>
      </c>
      <c r="J153" s="547">
        <f>IF(D153="Rəsmi gəlir",AA5,IF(D153="Qeyri rəsmi gəlir",AB5))</f>
        <v>0.16</v>
      </c>
      <c r="K153" s="547">
        <f>IF(D153="Rəsmi gəlir",AA6,IF(D153="Qeyri rəsmi gəlir",AB6))</f>
        <v>0.2</v>
      </c>
      <c r="L153" s="547">
        <f>IF(D153="Rəsmi gəlir",AA7,IF(D153="Qeyri rəsmi gəlir",AB7))</f>
        <v>0.23</v>
      </c>
      <c r="M153" s="547">
        <f>IF(D153="Rəsmi gəlir",AA8,IF(D153="Qeyri rəsmi gəlir",AB8))</f>
        <v>0.25600000000000001</v>
      </c>
      <c r="N153" s="547">
        <f>IF(D153="Rəsmi gəlir",AA9,IF(D153="Qeyri rəsmi gəlir",AB9))</f>
        <v>0.28550000000000003</v>
      </c>
      <c r="O153" s="547">
        <f>IF(D153="Rəsmi gəlir",AA10,IF(D153="Qeyri rəsmi gəlir",AB10))</f>
        <v>0</v>
      </c>
      <c r="P153" s="547" t="b">
        <f t="shared" si="12"/>
        <v>0</v>
      </c>
      <c r="Q153" s="548">
        <f t="shared" si="13"/>
        <v>0</v>
      </c>
      <c r="R153" s="543" t="str">
        <f t="shared" si="15"/>
        <v>-</v>
      </c>
      <c r="S153" s="549"/>
      <c r="T153" s="543" t="e">
        <f t="shared" si="16"/>
        <v>#VALUE!</v>
      </c>
      <c r="U153" s="548" t="e">
        <f t="shared" si="14"/>
        <v>#VALUE!</v>
      </c>
      <c r="V153" s="548" t="e">
        <f t="shared" si="17"/>
        <v>#VALUE!</v>
      </c>
      <c r="W153" s="544"/>
      <c r="X153" s="556"/>
    </row>
    <row r="154" spans="1:24">
      <c r="A154" s="552">
        <v>152</v>
      </c>
      <c r="B154" s="560"/>
      <c r="C154" s="554"/>
      <c r="D154" s="544" t="s">
        <v>799</v>
      </c>
      <c r="E154" s="555"/>
      <c r="F154" s="545">
        <f>E154-(E154*Z13)</f>
        <v>0</v>
      </c>
      <c r="G154" s="546"/>
      <c r="H154" s="547">
        <f>IF(D154="Rəsmi gəlir",AA3,IF(D154="Qeyri rəsmi gəlir",AB3))</f>
        <v>7.0000000000000007E-2</v>
      </c>
      <c r="I154" s="547">
        <f>IF(D154="Rəsmi gəlir",AA4,IF(D154="Qeyri rəsmi gəlir",AB4))</f>
        <v>0.12</v>
      </c>
      <c r="J154" s="547">
        <f>IF(D154="Rəsmi gəlir",AA5,IF(D154="Qeyri rəsmi gəlir",AB5))</f>
        <v>0.16</v>
      </c>
      <c r="K154" s="547">
        <f>IF(D154="Rəsmi gəlir",AA6,IF(D154="Qeyri rəsmi gəlir",AB6))</f>
        <v>0.2</v>
      </c>
      <c r="L154" s="547">
        <f>IF(D154="Rəsmi gəlir",AA7,IF(D154="Qeyri rəsmi gəlir",AB7))</f>
        <v>0.23</v>
      </c>
      <c r="M154" s="547">
        <f>IF(D154="Rəsmi gəlir",AA8,IF(D154="Qeyri rəsmi gəlir",AB8))</f>
        <v>0.25600000000000001</v>
      </c>
      <c r="N154" s="547">
        <f>IF(D154="Rəsmi gəlir",AA9,IF(D154="Qeyri rəsmi gəlir",AB9))</f>
        <v>0.28550000000000003</v>
      </c>
      <c r="O154" s="547">
        <f>IF(D154="Rəsmi gəlir",AA10,IF(D154="Qeyri rəsmi gəlir",AB10))</f>
        <v>0</v>
      </c>
      <c r="P154" s="547" t="b">
        <f t="shared" si="12"/>
        <v>0</v>
      </c>
      <c r="Q154" s="548">
        <f t="shared" si="13"/>
        <v>0</v>
      </c>
      <c r="R154" s="543" t="str">
        <f t="shared" si="15"/>
        <v>-</v>
      </c>
      <c r="S154" s="549"/>
      <c r="T154" s="543" t="e">
        <f t="shared" si="16"/>
        <v>#VALUE!</v>
      </c>
      <c r="U154" s="548" t="e">
        <f t="shared" si="14"/>
        <v>#VALUE!</v>
      </c>
      <c r="V154" s="548" t="e">
        <f t="shared" si="17"/>
        <v>#VALUE!</v>
      </c>
      <c r="W154" s="544"/>
      <c r="X154" s="556"/>
    </row>
    <row r="155" spans="1:24">
      <c r="A155" s="552">
        <v>153</v>
      </c>
      <c r="B155" s="560"/>
      <c r="C155" s="554"/>
      <c r="D155" s="544" t="s">
        <v>799</v>
      </c>
      <c r="E155" s="555"/>
      <c r="F155" s="545">
        <f>E155-(E155*Z13)</f>
        <v>0</v>
      </c>
      <c r="G155" s="546"/>
      <c r="H155" s="547">
        <f>IF(D155="Rəsmi gəlir",AA3,IF(D155="Qeyri rəsmi gəlir",AB3))</f>
        <v>7.0000000000000007E-2</v>
      </c>
      <c r="I155" s="547">
        <f>IF(D155="Rəsmi gəlir",AA4,IF(D155="Qeyri rəsmi gəlir",AB4))</f>
        <v>0.12</v>
      </c>
      <c r="J155" s="547">
        <f>IF(D155="Rəsmi gəlir",AA5,IF(D155="Qeyri rəsmi gəlir",AB5))</f>
        <v>0.16</v>
      </c>
      <c r="K155" s="547">
        <f>IF(D155="Rəsmi gəlir",AA6,IF(D155="Qeyri rəsmi gəlir",AB6))</f>
        <v>0.2</v>
      </c>
      <c r="L155" s="547">
        <f>IF(D155="Rəsmi gəlir",AA7,IF(D155="Qeyri rəsmi gəlir",AB7))</f>
        <v>0.23</v>
      </c>
      <c r="M155" s="547">
        <f>IF(D155="Rəsmi gəlir",AA8,IF(D155="Qeyri rəsmi gəlir",AB8))</f>
        <v>0.25600000000000001</v>
      </c>
      <c r="N155" s="547">
        <f>IF(D155="Rəsmi gəlir",AA9,IF(D155="Qeyri rəsmi gəlir",AB9))</f>
        <v>0.28550000000000003</v>
      </c>
      <c r="O155" s="547">
        <f>IF(D155="Rəsmi gəlir",AA10,IF(D155="Qeyri rəsmi gəlir",AB10))</f>
        <v>0</v>
      </c>
      <c r="P155" s="547" t="b">
        <f t="shared" si="12"/>
        <v>0</v>
      </c>
      <c r="Q155" s="548">
        <f t="shared" si="13"/>
        <v>0</v>
      </c>
      <c r="R155" s="543" t="str">
        <f t="shared" si="15"/>
        <v>-</v>
      </c>
      <c r="S155" s="549"/>
      <c r="T155" s="543" t="e">
        <f t="shared" si="16"/>
        <v>#VALUE!</v>
      </c>
      <c r="U155" s="548" t="e">
        <f t="shared" si="14"/>
        <v>#VALUE!</v>
      </c>
      <c r="V155" s="548" t="e">
        <f t="shared" si="17"/>
        <v>#VALUE!</v>
      </c>
      <c r="W155" s="544"/>
      <c r="X155" s="556"/>
    </row>
    <row r="156" spans="1:24">
      <c r="A156" s="552">
        <v>154</v>
      </c>
      <c r="B156" s="560"/>
      <c r="C156" s="554"/>
      <c r="D156" s="544" t="s">
        <v>799</v>
      </c>
      <c r="E156" s="555"/>
      <c r="F156" s="545">
        <f>E156-(E156*Z13)</f>
        <v>0</v>
      </c>
      <c r="G156" s="546"/>
      <c r="H156" s="547">
        <f>IF(D156="Rəsmi gəlir",AA3,IF(D156="Qeyri rəsmi gəlir",AB3))</f>
        <v>7.0000000000000007E-2</v>
      </c>
      <c r="I156" s="547">
        <f>IF(D156="Rəsmi gəlir",AA4,IF(D156="Qeyri rəsmi gəlir",AB4))</f>
        <v>0.12</v>
      </c>
      <c r="J156" s="547">
        <f>IF(D156="Rəsmi gəlir",AA5,IF(D156="Qeyri rəsmi gəlir",AB5))</f>
        <v>0.16</v>
      </c>
      <c r="K156" s="547">
        <f>IF(D156="Rəsmi gəlir",AA6,IF(D156="Qeyri rəsmi gəlir",AB6))</f>
        <v>0.2</v>
      </c>
      <c r="L156" s="547">
        <f>IF(D156="Rəsmi gəlir",AA7,IF(D156="Qeyri rəsmi gəlir",AB7))</f>
        <v>0.23</v>
      </c>
      <c r="M156" s="547">
        <f>IF(D156="Rəsmi gəlir",AA8,IF(D156="Qeyri rəsmi gəlir",AB8))</f>
        <v>0.25600000000000001</v>
      </c>
      <c r="N156" s="547">
        <f>IF(D156="Rəsmi gəlir",AA9,IF(D156="Qeyri rəsmi gəlir",AB9))</f>
        <v>0.28550000000000003</v>
      </c>
      <c r="O156" s="547">
        <f>IF(D156="Rəsmi gəlir",AA10,IF(D156="Qeyri rəsmi gəlir",AB10))</f>
        <v>0</v>
      </c>
      <c r="P156" s="547" t="b">
        <f t="shared" si="12"/>
        <v>0</v>
      </c>
      <c r="Q156" s="548">
        <f t="shared" si="13"/>
        <v>0</v>
      </c>
      <c r="R156" s="543" t="str">
        <f t="shared" si="15"/>
        <v>-</v>
      </c>
      <c r="S156" s="549"/>
      <c r="T156" s="543" t="e">
        <f t="shared" si="16"/>
        <v>#VALUE!</v>
      </c>
      <c r="U156" s="548" t="e">
        <f t="shared" si="14"/>
        <v>#VALUE!</v>
      </c>
      <c r="V156" s="548" t="e">
        <f t="shared" si="17"/>
        <v>#VALUE!</v>
      </c>
      <c r="W156" s="544"/>
      <c r="X156" s="556"/>
    </row>
    <row r="157" spans="1:24">
      <c r="A157" s="552">
        <v>155</v>
      </c>
      <c r="B157" s="560"/>
      <c r="C157" s="554"/>
      <c r="D157" s="544" t="s">
        <v>799</v>
      </c>
      <c r="E157" s="555"/>
      <c r="F157" s="545">
        <f>E157-(E157*Z13)</f>
        <v>0</v>
      </c>
      <c r="G157" s="546"/>
      <c r="H157" s="547">
        <f>IF(D157="Rəsmi gəlir",AA3,IF(D157="Qeyri rəsmi gəlir",AB3))</f>
        <v>7.0000000000000007E-2</v>
      </c>
      <c r="I157" s="547">
        <f>IF(D157="Rəsmi gəlir",AA4,IF(D157="Qeyri rəsmi gəlir",AB4))</f>
        <v>0.12</v>
      </c>
      <c r="J157" s="547">
        <f>IF(D157="Rəsmi gəlir",AA5,IF(D157="Qeyri rəsmi gəlir",AB5))</f>
        <v>0.16</v>
      </c>
      <c r="K157" s="547">
        <f>IF(D157="Rəsmi gəlir",AA6,IF(D157="Qeyri rəsmi gəlir",AB6))</f>
        <v>0.2</v>
      </c>
      <c r="L157" s="547">
        <f>IF(D157="Rəsmi gəlir",AA7,IF(D157="Qeyri rəsmi gəlir",AB7))</f>
        <v>0.23</v>
      </c>
      <c r="M157" s="547">
        <f>IF(D157="Rəsmi gəlir",AA8,IF(D157="Qeyri rəsmi gəlir",AB8))</f>
        <v>0.25600000000000001</v>
      </c>
      <c r="N157" s="547">
        <f>IF(D157="Rəsmi gəlir",AA9,IF(D157="Qeyri rəsmi gəlir",AB9))</f>
        <v>0.28550000000000003</v>
      </c>
      <c r="O157" s="547">
        <f>IF(D157="Rəsmi gəlir",AA10,IF(D157="Qeyri rəsmi gəlir",AB10))</f>
        <v>0</v>
      </c>
      <c r="P157" s="547" t="b">
        <f t="shared" si="12"/>
        <v>0</v>
      </c>
      <c r="Q157" s="548">
        <f t="shared" si="13"/>
        <v>0</v>
      </c>
      <c r="R157" s="543" t="str">
        <f t="shared" si="15"/>
        <v>-</v>
      </c>
      <c r="S157" s="549"/>
      <c r="T157" s="543" t="e">
        <f t="shared" si="16"/>
        <v>#VALUE!</v>
      </c>
      <c r="U157" s="548" t="e">
        <f t="shared" si="14"/>
        <v>#VALUE!</v>
      </c>
      <c r="V157" s="548" t="e">
        <f t="shared" si="17"/>
        <v>#VALUE!</v>
      </c>
      <c r="W157" s="544"/>
      <c r="X157" s="556"/>
    </row>
    <row r="158" spans="1:24">
      <c r="A158" s="552">
        <v>156</v>
      </c>
      <c r="B158" s="560"/>
      <c r="C158" s="554"/>
      <c r="D158" s="544" t="s">
        <v>799</v>
      </c>
      <c r="E158" s="555"/>
      <c r="F158" s="545">
        <f>E158-(E158*Z13)</f>
        <v>0</v>
      </c>
      <c r="G158" s="546"/>
      <c r="H158" s="547">
        <f>IF(D158="Rəsmi gəlir",AA3,IF(D158="Qeyri rəsmi gəlir",AB3))</f>
        <v>7.0000000000000007E-2</v>
      </c>
      <c r="I158" s="547">
        <f>IF(D158="Rəsmi gəlir",AA4,IF(D158="Qeyri rəsmi gəlir",AB4))</f>
        <v>0.12</v>
      </c>
      <c r="J158" s="547">
        <f>IF(D158="Rəsmi gəlir",AA5,IF(D158="Qeyri rəsmi gəlir",AB5))</f>
        <v>0.16</v>
      </c>
      <c r="K158" s="547">
        <f>IF(D158="Rəsmi gəlir",AA6,IF(D158="Qeyri rəsmi gəlir",AB6))</f>
        <v>0.2</v>
      </c>
      <c r="L158" s="547">
        <f>IF(D158="Rəsmi gəlir",AA7,IF(D158="Qeyri rəsmi gəlir",AB7))</f>
        <v>0.23</v>
      </c>
      <c r="M158" s="547">
        <f>IF(D158="Rəsmi gəlir",AA8,IF(D158="Qeyri rəsmi gəlir",AB8))</f>
        <v>0.25600000000000001</v>
      </c>
      <c r="N158" s="547">
        <f>IF(D158="Rəsmi gəlir",AA9,IF(D158="Qeyri rəsmi gəlir",AB9))</f>
        <v>0.28550000000000003</v>
      </c>
      <c r="O158" s="547">
        <f>IF(D158="Rəsmi gəlir",AA10,IF(D158="Qeyri rəsmi gəlir",AB10))</f>
        <v>0</v>
      </c>
      <c r="P158" s="547" t="b">
        <f t="shared" si="12"/>
        <v>0</v>
      </c>
      <c r="Q158" s="548">
        <f t="shared" si="13"/>
        <v>0</v>
      </c>
      <c r="R158" s="543" t="str">
        <f t="shared" si="15"/>
        <v>-</v>
      </c>
      <c r="S158" s="549"/>
      <c r="T158" s="543" t="e">
        <f t="shared" si="16"/>
        <v>#VALUE!</v>
      </c>
      <c r="U158" s="548" t="e">
        <f t="shared" si="14"/>
        <v>#VALUE!</v>
      </c>
      <c r="V158" s="548" t="e">
        <f t="shared" si="17"/>
        <v>#VALUE!</v>
      </c>
      <c r="W158" s="544"/>
      <c r="X158" s="556"/>
    </row>
    <row r="159" spans="1:24">
      <c r="A159" s="552">
        <v>157</v>
      </c>
      <c r="B159" s="560"/>
      <c r="C159" s="554"/>
      <c r="D159" s="544" t="s">
        <v>799</v>
      </c>
      <c r="E159" s="555"/>
      <c r="F159" s="545">
        <f>E159-(E159*Z13)</f>
        <v>0</v>
      </c>
      <c r="G159" s="546"/>
      <c r="H159" s="547">
        <f>IF(D159="Rəsmi gəlir",AA3,IF(D159="Qeyri rəsmi gəlir",AB3))</f>
        <v>7.0000000000000007E-2</v>
      </c>
      <c r="I159" s="547">
        <f>IF(D159="Rəsmi gəlir",AA4,IF(D159="Qeyri rəsmi gəlir",AB4))</f>
        <v>0.12</v>
      </c>
      <c r="J159" s="547">
        <f>IF(D159="Rəsmi gəlir",AA5,IF(D159="Qeyri rəsmi gəlir",AB5))</f>
        <v>0.16</v>
      </c>
      <c r="K159" s="547">
        <f>IF(D159="Rəsmi gəlir",AA6,IF(D159="Qeyri rəsmi gəlir",AB6))</f>
        <v>0.2</v>
      </c>
      <c r="L159" s="547">
        <f>IF(D159="Rəsmi gəlir",AA7,IF(D159="Qeyri rəsmi gəlir",AB7))</f>
        <v>0.23</v>
      </c>
      <c r="M159" s="547">
        <f>IF(D159="Rəsmi gəlir",AA8,IF(D159="Qeyri rəsmi gəlir",AB8))</f>
        <v>0.25600000000000001</v>
      </c>
      <c r="N159" s="547">
        <f>IF(D159="Rəsmi gəlir",AA9,IF(D159="Qeyri rəsmi gəlir",AB9))</f>
        <v>0.28550000000000003</v>
      </c>
      <c r="O159" s="547">
        <f>IF(D159="Rəsmi gəlir",AA10,IF(D159="Qeyri rəsmi gəlir",AB10))</f>
        <v>0</v>
      </c>
      <c r="P159" s="547" t="b">
        <f t="shared" si="12"/>
        <v>0</v>
      </c>
      <c r="Q159" s="548">
        <f t="shared" si="13"/>
        <v>0</v>
      </c>
      <c r="R159" s="543" t="str">
        <f t="shared" si="15"/>
        <v>-</v>
      </c>
      <c r="S159" s="549"/>
      <c r="T159" s="543" t="e">
        <f t="shared" si="16"/>
        <v>#VALUE!</v>
      </c>
      <c r="U159" s="548" t="e">
        <f t="shared" si="14"/>
        <v>#VALUE!</v>
      </c>
      <c r="V159" s="548" t="e">
        <f t="shared" si="17"/>
        <v>#VALUE!</v>
      </c>
      <c r="W159" s="544"/>
      <c r="X159" s="556"/>
    </row>
    <row r="160" spans="1:24">
      <c r="A160" s="552">
        <v>158</v>
      </c>
      <c r="B160" s="560"/>
      <c r="C160" s="554"/>
      <c r="D160" s="544" t="s">
        <v>799</v>
      </c>
      <c r="E160" s="555"/>
      <c r="F160" s="545">
        <f>E160-(E160*Z13)</f>
        <v>0</v>
      </c>
      <c r="G160" s="546"/>
      <c r="H160" s="547">
        <f>IF(D160="Rəsmi gəlir",AA3,IF(D160="Qeyri rəsmi gəlir",AB3))</f>
        <v>7.0000000000000007E-2</v>
      </c>
      <c r="I160" s="547">
        <f>IF(D160="Rəsmi gəlir",AA4,IF(D160="Qeyri rəsmi gəlir",AB4))</f>
        <v>0.12</v>
      </c>
      <c r="J160" s="547">
        <f>IF(D160="Rəsmi gəlir",AA5,IF(D160="Qeyri rəsmi gəlir",AB5))</f>
        <v>0.16</v>
      </c>
      <c r="K160" s="547">
        <f>IF(D160="Rəsmi gəlir",AA6,IF(D160="Qeyri rəsmi gəlir",AB6))</f>
        <v>0.2</v>
      </c>
      <c r="L160" s="547">
        <f>IF(D160="Rəsmi gəlir",AA7,IF(D160="Qeyri rəsmi gəlir",AB7))</f>
        <v>0.23</v>
      </c>
      <c r="M160" s="547">
        <f>IF(D160="Rəsmi gəlir",AA8,IF(D160="Qeyri rəsmi gəlir",AB8))</f>
        <v>0.25600000000000001</v>
      </c>
      <c r="N160" s="547">
        <f>IF(D160="Rəsmi gəlir",AA9,IF(D160="Qeyri rəsmi gəlir",AB9))</f>
        <v>0.28550000000000003</v>
      </c>
      <c r="O160" s="547">
        <f>IF(D160="Rəsmi gəlir",AA10,IF(D160="Qeyri rəsmi gəlir",AB10))</f>
        <v>0</v>
      </c>
      <c r="P160" s="547" t="b">
        <f t="shared" si="12"/>
        <v>0</v>
      </c>
      <c r="Q160" s="548">
        <f t="shared" si="13"/>
        <v>0</v>
      </c>
      <c r="R160" s="543" t="str">
        <f t="shared" si="15"/>
        <v>-</v>
      </c>
      <c r="S160" s="549"/>
      <c r="T160" s="543" t="e">
        <f t="shared" si="16"/>
        <v>#VALUE!</v>
      </c>
      <c r="U160" s="548" t="e">
        <f t="shared" si="14"/>
        <v>#VALUE!</v>
      </c>
      <c r="V160" s="548" t="e">
        <f t="shared" si="17"/>
        <v>#VALUE!</v>
      </c>
      <c r="W160" s="544"/>
      <c r="X160" s="556"/>
    </row>
    <row r="161" spans="1:24">
      <c r="A161" s="552">
        <v>159</v>
      </c>
      <c r="B161" s="560"/>
      <c r="C161" s="554"/>
      <c r="D161" s="544" t="s">
        <v>799</v>
      </c>
      <c r="E161" s="555"/>
      <c r="F161" s="545">
        <f>E161-(E161*Z13)</f>
        <v>0</v>
      </c>
      <c r="G161" s="546"/>
      <c r="H161" s="547">
        <f>IF(D161="Rəsmi gəlir",AA3,IF(D161="Qeyri rəsmi gəlir",AB3))</f>
        <v>7.0000000000000007E-2</v>
      </c>
      <c r="I161" s="547">
        <f>IF(D161="Rəsmi gəlir",AA4,IF(D161="Qeyri rəsmi gəlir",AB4))</f>
        <v>0.12</v>
      </c>
      <c r="J161" s="547">
        <f>IF(D161="Rəsmi gəlir",AA5,IF(D161="Qeyri rəsmi gəlir",AB5))</f>
        <v>0.16</v>
      </c>
      <c r="K161" s="547">
        <f>IF(D161="Rəsmi gəlir",AA6,IF(D161="Qeyri rəsmi gəlir",AB6))</f>
        <v>0.2</v>
      </c>
      <c r="L161" s="547">
        <f>IF(D161="Rəsmi gəlir",AA7,IF(D161="Qeyri rəsmi gəlir",AB7))</f>
        <v>0.23</v>
      </c>
      <c r="M161" s="547">
        <f>IF(D161="Rəsmi gəlir",AA8,IF(D161="Qeyri rəsmi gəlir",AB8))</f>
        <v>0.25600000000000001</v>
      </c>
      <c r="N161" s="547">
        <f>IF(D161="Rəsmi gəlir",AA9,IF(D161="Qeyri rəsmi gəlir",AB9))</f>
        <v>0.28550000000000003</v>
      </c>
      <c r="O161" s="547">
        <f>IF(D161="Rəsmi gəlir",AA10,IF(D161="Qeyri rəsmi gəlir",AB10))</f>
        <v>0</v>
      </c>
      <c r="P161" s="547" t="b">
        <f t="shared" si="12"/>
        <v>0</v>
      </c>
      <c r="Q161" s="548">
        <f t="shared" si="13"/>
        <v>0</v>
      </c>
      <c r="R161" s="543" t="str">
        <f t="shared" si="15"/>
        <v>-</v>
      </c>
      <c r="S161" s="549"/>
      <c r="T161" s="543" t="e">
        <f t="shared" si="16"/>
        <v>#VALUE!</v>
      </c>
      <c r="U161" s="548" t="e">
        <f t="shared" si="14"/>
        <v>#VALUE!</v>
      </c>
      <c r="V161" s="548" t="e">
        <f t="shared" si="17"/>
        <v>#VALUE!</v>
      </c>
      <c r="W161" s="544"/>
      <c r="X161" s="556"/>
    </row>
    <row r="162" spans="1:24">
      <c r="A162" s="552">
        <v>160</v>
      </c>
      <c r="B162" s="560"/>
      <c r="C162" s="554"/>
      <c r="D162" s="544" t="s">
        <v>799</v>
      </c>
      <c r="E162" s="555"/>
      <c r="F162" s="545">
        <f>E162-(E162*Z13)</f>
        <v>0</v>
      </c>
      <c r="G162" s="546"/>
      <c r="H162" s="547">
        <f>IF(D162="Rəsmi gəlir",AA3,IF(D162="Qeyri rəsmi gəlir",AB3))</f>
        <v>7.0000000000000007E-2</v>
      </c>
      <c r="I162" s="547">
        <f>IF(D162="Rəsmi gəlir",AA4,IF(D162="Qeyri rəsmi gəlir",AB4))</f>
        <v>0.12</v>
      </c>
      <c r="J162" s="547">
        <f>IF(D162="Rəsmi gəlir",AA5,IF(D162="Qeyri rəsmi gəlir",AB5))</f>
        <v>0.16</v>
      </c>
      <c r="K162" s="547">
        <f>IF(D162="Rəsmi gəlir",AA6,IF(D162="Qeyri rəsmi gəlir",AB6))</f>
        <v>0.2</v>
      </c>
      <c r="L162" s="547">
        <f>IF(D162="Rəsmi gəlir",AA7,IF(D162="Qeyri rəsmi gəlir",AB7))</f>
        <v>0.23</v>
      </c>
      <c r="M162" s="547">
        <f>IF(D162="Rəsmi gəlir",AA8,IF(D162="Qeyri rəsmi gəlir",AB8))</f>
        <v>0.25600000000000001</v>
      </c>
      <c r="N162" s="547">
        <f>IF(D162="Rəsmi gəlir",AA9,IF(D162="Qeyri rəsmi gəlir",AB9))</f>
        <v>0.28550000000000003</v>
      </c>
      <c r="O162" s="547">
        <f>IF(D162="Rəsmi gəlir",AA10,IF(D162="Qeyri rəsmi gəlir",AB10))</f>
        <v>0</v>
      </c>
      <c r="P162" s="547" t="b">
        <f t="shared" si="12"/>
        <v>0</v>
      </c>
      <c r="Q162" s="548">
        <f t="shared" si="13"/>
        <v>0</v>
      </c>
      <c r="R162" s="543" t="str">
        <f t="shared" si="15"/>
        <v>-</v>
      </c>
      <c r="S162" s="549"/>
      <c r="T162" s="543" t="e">
        <f t="shared" si="16"/>
        <v>#VALUE!</v>
      </c>
      <c r="U162" s="548" t="e">
        <f t="shared" si="14"/>
        <v>#VALUE!</v>
      </c>
      <c r="V162" s="548" t="e">
        <f t="shared" si="17"/>
        <v>#VALUE!</v>
      </c>
      <c r="W162" s="544"/>
      <c r="X162" s="556"/>
    </row>
    <row r="163" spans="1:24">
      <c r="A163" s="552">
        <v>161</v>
      </c>
      <c r="B163" s="560"/>
      <c r="C163" s="554"/>
      <c r="D163" s="544" t="s">
        <v>799</v>
      </c>
      <c r="E163" s="555"/>
      <c r="F163" s="545">
        <f>E163-(E163*Z13)</f>
        <v>0</v>
      </c>
      <c r="G163" s="546"/>
      <c r="H163" s="547">
        <f>IF(D163="Rəsmi gəlir",AA3,IF(D163="Qeyri rəsmi gəlir",AB3))</f>
        <v>7.0000000000000007E-2</v>
      </c>
      <c r="I163" s="547">
        <f>IF(D163="Rəsmi gəlir",AA4,IF(D163="Qeyri rəsmi gəlir",AB4))</f>
        <v>0.12</v>
      </c>
      <c r="J163" s="547">
        <f>IF(D163="Rəsmi gəlir",AA5,IF(D163="Qeyri rəsmi gəlir",AB5))</f>
        <v>0.16</v>
      </c>
      <c r="K163" s="547">
        <f>IF(D163="Rəsmi gəlir",AA6,IF(D163="Qeyri rəsmi gəlir",AB6))</f>
        <v>0.2</v>
      </c>
      <c r="L163" s="547">
        <f>IF(D163="Rəsmi gəlir",AA7,IF(D163="Qeyri rəsmi gəlir",AB7))</f>
        <v>0.23</v>
      </c>
      <c r="M163" s="547">
        <f>IF(D163="Rəsmi gəlir",AA8,IF(D163="Qeyri rəsmi gəlir",AB8))</f>
        <v>0.25600000000000001</v>
      </c>
      <c r="N163" s="547">
        <f>IF(D163="Rəsmi gəlir",AA9,IF(D163="Qeyri rəsmi gəlir",AB9))</f>
        <v>0.28550000000000003</v>
      </c>
      <c r="O163" s="547">
        <f>IF(D163="Rəsmi gəlir",AA10,IF(D163="Qeyri rəsmi gəlir",AB10))</f>
        <v>0</v>
      </c>
      <c r="P163" s="547" t="b">
        <f t="shared" si="12"/>
        <v>0</v>
      </c>
      <c r="Q163" s="548">
        <f t="shared" si="13"/>
        <v>0</v>
      </c>
      <c r="R163" s="543" t="str">
        <f t="shared" si="15"/>
        <v>-</v>
      </c>
      <c r="S163" s="549"/>
      <c r="T163" s="543" t="e">
        <f t="shared" si="16"/>
        <v>#VALUE!</v>
      </c>
      <c r="U163" s="548" t="e">
        <f t="shared" si="14"/>
        <v>#VALUE!</v>
      </c>
      <c r="V163" s="548" t="e">
        <f t="shared" si="17"/>
        <v>#VALUE!</v>
      </c>
      <c r="W163" s="544"/>
      <c r="X163" s="556"/>
    </row>
    <row r="164" spans="1:24">
      <c r="A164" s="552">
        <v>162</v>
      </c>
      <c r="B164" s="560"/>
      <c r="C164" s="554"/>
      <c r="D164" s="544" t="s">
        <v>799</v>
      </c>
      <c r="E164" s="555"/>
      <c r="F164" s="545">
        <f>E164-(E164*Z13)</f>
        <v>0</v>
      </c>
      <c r="G164" s="546"/>
      <c r="H164" s="547">
        <f>IF(D164="Rəsmi gəlir",AA3,IF(D164="Qeyri rəsmi gəlir",AB3))</f>
        <v>7.0000000000000007E-2</v>
      </c>
      <c r="I164" s="547">
        <f>IF(D164="Rəsmi gəlir",AA4,IF(D164="Qeyri rəsmi gəlir",AB4))</f>
        <v>0.12</v>
      </c>
      <c r="J164" s="547">
        <f>IF(D164="Rəsmi gəlir",AA5,IF(D164="Qeyri rəsmi gəlir",AB5))</f>
        <v>0.16</v>
      </c>
      <c r="K164" s="547">
        <f>IF(D164="Rəsmi gəlir",AA6,IF(D164="Qeyri rəsmi gəlir",AB6))</f>
        <v>0.2</v>
      </c>
      <c r="L164" s="547">
        <f>IF(D164="Rəsmi gəlir",AA7,IF(D164="Qeyri rəsmi gəlir",AB7))</f>
        <v>0.23</v>
      </c>
      <c r="M164" s="547">
        <f>IF(D164="Rəsmi gəlir",AA8,IF(D164="Qeyri rəsmi gəlir",AB8))</f>
        <v>0.25600000000000001</v>
      </c>
      <c r="N164" s="547">
        <f>IF(D164="Rəsmi gəlir",AA9,IF(D164="Qeyri rəsmi gəlir",AB9))</f>
        <v>0.28550000000000003</v>
      </c>
      <c r="O164" s="547">
        <f>IF(D164="Rəsmi gəlir",AA10,IF(D164="Qeyri rəsmi gəlir",AB10))</f>
        <v>0</v>
      </c>
      <c r="P164" s="547" t="b">
        <f t="shared" si="12"/>
        <v>0</v>
      </c>
      <c r="Q164" s="548">
        <f t="shared" si="13"/>
        <v>0</v>
      </c>
      <c r="R164" s="543" t="str">
        <f t="shared" si="15"/>
        <v>-</v>
      </c>
      <c r="S164" s="549"/>
      <c r="T164" s="543" t="e">
        <f t="shared" si="16"/>
        <v>#VALUE!</v>
      </c>
      <c r="U164" s="548" t="e">
        <f t="shared" si="14"/>
        <v>#VALUE!</v>
      </c>
      <c r="V164" s="548" t="e">
        <f t="shared" si="17"/>
        <v>#VALUE!</v>
      </c>
      <c r="W164" s="544"/>
      <c r="X164" s="556"/>
    </row>
    <row r="165" spans="1:24">
      <c r="A165" s="552">
        <v>163</v>
      </c>
      <c r="B165" s="560"/>
      <c r="C165" s="554"/>
      <c r="D165" s="544" t="s">
        <v>799</v>
      </c>
      <c r="E165" s="555"/>
      <c r="F165" s="545">
        <f>E165-(E165*Z13)</f>
        <v>0</v>
      </c>
      <c r="G165" s="546"/>
      <c r="H165" s="547">
        <f>IF(D165="Rəsmi gəlir",AA3,IF(D165="Qeyri rəsmi gəlir",AB3))</f>
        <v>7.0000000000000007E-2</v>
      </c>
      <c r="I165" s="547">
        <f>IF(D165="Rəsmi gəlir",AA4,IF(D165="Qeyri rəsmi gəlir",AB4))</f>
        <v>0.12</v>
      </c>
      <c r="J165" s="547">
        <f>IF(D165="Rəsmi gəlir",AA5,IF(D165="Qeyri rəsmi gəlir",AB5))</f>
        <v>0.16</v>
      </c>
      <c r="K165" s="547">
        <f>IF(D165="Rəsmi gəlir",AA6,IF(D165="Qeyri rəsmi gəlir",AB6))</f>
        <v>0.2</v>
      </c>
      <c r="L165" s="547">
        <f>IF(D165="Rəsmi gəlir",AA7,IF(D165="Qeyri rəsmi gəlir",AB7))</f>
        <v>0.23</v>
      </c>
      <c r="M165" s="547">
        <f>IF(D165="Rəsmi gəlir",AA8,IF(D165="Qeyri rəsmi gəlir",AB8))</f>
        <v>0.25600000000000001</v>
      </c>
      <c r="N165" s="547">
        <f>IF(D165="Rəsmi gəlir",AA9,IF(D165="Qeyri rəsmi gəlir",AB9))</f>
        <v>0.28550000000000003</v>
      </c>
      <c r="O165" s="547">
        <f>IF(D165="Rəsmi gəlir",AA10,IF(D165="Qeyri rəsmi gəlir",AB10))</f>
        <v>0</v>
      </c>
      <c r="P165" s="547" t="b">
        <f t="shared" si="12"/>
        <v>0</v>
      </c>
      <c r="Q165" s="548">
        <f t="shared" si="13"/>
        <v>0</v>
      </c>
      <c r="R165" s="543" t="str">
        <f t="shared" si="15"/>
        <v>-</v>
      </c>
      <c r="S165" s="549"/>
      <c r="T165" s="543" t="e">
        <f t="shared" si="16"/>
        <v>#VALUE!</v>
      </c>
      <c r="U165" s="548" t="e">
        <f t="shared" si="14"/>
        <v>#VALUE!</v>
      </c>
      <c r="V165" s="548" t="e">
        <f t="shared" si="17"/>
        <v>#VALUE!</v>
      </c>
      <c r="W165" s="544"/>
      <c r="X165" s="556"/>
    </row>
    <row r="166" spans="1:24">
      <c r="A166" s="552">
        <v>164</v>
      </c>
      <c r="B166" s="560"/>
      <c r="C166" s="554"/>
      <c r="D166" s="544" t="s">
        <v>799</v>
      </c>
      <c r="E166" s="555"/>
      <c r="F166" s="545">
        <f>E166-(E166*Z13)</f>
        <v>0</v>
      </c>
      <c r="G166" s="546"/>
      <c r="H166" s="547">
        <f>IF(D166="Rəsmi gəlir",AA3,IF(D166="Qeyri rəsmi gəlir",AB3))</f>
        <v>7.0000000000000007E-2</v>
      </c>
      <c r="I166" s="547">
        <f>IF(D166="Rəsmi gəlir",AA4,IF(D166="Qeyri rəsmi gəlir",AB4))</f>
        <v>0.12</v>
      </c>
      <c r="J166" s="547">
        <f>IF(D166="Rəsmi gəlir",AA5,IF(D166="Qeyri rəsmi gəlir",AB5))</f>
        <v>0.16</v>
      </c>
      <c r="K166" s="547">
        <f>IF(D166="Rəsmi gəlir",AA6,IF(D166="Qeyri rəsmi gəlir",AB6))</f>
        <v>0.2</v>
      </c>
      <c r="L166" s="547">
        <f>IF(D166="Rəsmi gəlir",AA7,IF(D166="Qeyri rəsmi gəlir",AB7))</f>
        <v>0.23</v>
      </c>
      <c r="M166" s="547">
        <f>IF(D166="Rəsmi gəlir",AA8,IF(D166="Qeyri rəsmi gəlir",AB8))</f>
        <v>0.25600000000000001</v>
      </c>
      <c r="N166" s="547">
        <f>IF(D166="Rəsmi gəlir",AA9,IF(D166="Qeyri rəsmi gəlir",AB9))</f>
        <v>0.28550000000000003</v>
      </c>
      <c r="O166" s="547">
        <f>IF(D166="Rəsmi gəlir",AA10,IF(D166="Qeyri rəsmi gəlir",AB10))</f>
        <v>0</v>
      </c>
      <c r="P166" s="547" t="b">
        <f t="shared" si="12"/>
        <v>0</v>
      </c>
      <c r="Q166" s="548">
        <f t="shared" si="13"/>
        <v>0</v>
      </c>
      <c r="R166" s="543" t="str">
        <f t="shared" si="15"/>
        <v>-</v>
      </c>
      <c r="S166" s="549"/>
      <c r="T166" s="543" t="e">
        <f t="shared" si="16"/>
        <v>#VALUE!</v>
      </c>
      <c r="U166" s="548" t="e">
        <f t="shared" si="14"/>
        <v>#VALUE!</v>
      </c>
      <c r="V166" s="548" t="e">
        <f t="shared" si="17"/>
        <v>#VALUE!</v>
      </c>
      <c r="W166" s="544"/>
      <c r="X166" s="556"/>
    </row>
    <row r="167" spans="1:24">
      <c r="A167" s="552">
        <v>165</v>
      </c>
      <c r="B167" s="560"/>
      <c r="C167" s="554"/>
      <c r="D167" s="544" t="s">
        <v>799</v>
      </c>
      <c r="E167" s="555"/>
      <c r="F167" s="545">
        <f>E167-(E167*Z13)</f>
        <v>0</v>
      </c>
      <c r="G167" s="546"/>
      <c r="H167" s="547">
        <f>IF(D167="Rəsmi gəlir",AA3,IF(D167="Qeyri rəsmi gəlir",AB3))</f>
        <v>7.0000000000000007E-2</v>
      </c>
      <c r="I167" s="547">
        <f>IF(D167="Rəsmi gəlir",AA4,IF(D167="Qeyri rəsmi gəlir",AB4))</f>
        <v>0.12</v>
      </c>
      <c r="J167" s="547">
        <f>IF(D167="Rəsmi gəlir",AA5,IF(D167="Qeyri rəsmi gəlir",AB5))</f>
        <v>0.16</v>
      </c>
      <c r="K167" s="547">
        <f>IF(D167="Rəsmi gəlir",AA6,IF(D167="Qeyri rəsmi gəlir",AB6))</f>
        <v>0.2</v>
      </c>
      <c r="L167" s="547">
        <f>IF(D167="Rəsmi gəlir",AA7,IF(D167="Qeyri rəsmi gəlir",AB7))</f>
        <v>0.23</v>
      </c>
      <c r="M167" s="547">
        <f>IF(D167="Rəsmi gəlir",AA8,IF(D167="Qeyri rəsmi gəlir",AB8))</f>
        <v>0.25600000000000001</v>
      </c>
      <c r="N167" s="547">
        <f>IF(D167="Rəsmi gəlir",AA9,IF(D167="Qeyri rəsmi gəlir",AB9))</f>
        <v>0.28550000000000003</v>
      </c>
      <c r="O167" s="547">
        <f>IF(D167="Rəsmi gəlir",AA10,IF(D167="Qeyri rəsmi gəlir",AB10))</f>
        <v>0</v>
      </c>
      <c r="P167" s="547" t="b">
        <f t="shared" si="12"/>
        <v>0</v>
      </c>
      <c r="Q167" s="548">
        <f t="shared" si="13"/>
        <v>0</v>
      </c>
      <c r="R167" s="543" t="str">
        <f t="shared" si="15"/>
        <v>-</v>
      </c>
      <c r="S167" s="549"/>
      <c r="T167" s="543" t="e">
        <f t="shared" si="16"/>
        <v>#VALUE!</v>
      </c>
      <c r="U167" s="548" t="e">
        <f t="shared" si="14"/>
        <v>#VALUE!</v>
      </c>
      <c r="V167" s="548" t="e">
        <f t="shared" si="17"/>
        <v>#VALUE!</v>
      </c>
      <c r="W167" s="544"/>
      <c r="X167" s="556"/>
    </row>
    <row r="168" spans="1:24">
      <c r="A168" s="552">
        <v>166</v>
      </c>
      <c r="B168" s="560"/>
      <c r="C168" s="554"/>
      <c r="D168" s="544" t="s">
        <v>799</v>
      </c>
      <c r="E168" s="555"/>
      <c r="F168" s="545">
        <f>E168-(E168*Z13)</f>
        <v>0</v>
      </c>
      <c r="G168" s="546"/>
      <c r="H168" s="547">
        <f>IF(D168="Rəsmi gəlir",AA3,IF(D168="Qeyri rəsmi gəlir",AB3))</f>
        <v>7.0000000000000007E-2</v>
      </c>
      <c r="I168" s="547">
        <f>IF(D168="Rəsmi gəlir",AA4,IF(D168="Qeyri rəsmi gəlir",AB4))</f>
        <v>0.12</v>
      </c>
      <c r="J168" s="547">
        <f>IF(D168="Rəsmi gəlir",AA5,IF(D168="Qeyri rəsmi gəlir",AB5))</f>
        <v>0.16</v>
      </c>
      <c r="K168" s="547">
        <f>IF(D168="Rəsmi gəlir",AA6,IF(D168="Qeyri rəsmi gəlir",AB6))</f>
        <v>0.2</v>
      </c>
      <c r="L168" s="547">
        <f>IF(D168="Rəsmi gəlir",AA7,IF(D168="Qeyri rəsmi gəlir",AB7))</f>
        <v>0.23</v>
      </c>
      <c r="M168" s="547">
        <f>IF(D168="Rəsmi gəlir",AA8,IF(D168="Qeyri rəsmi gəlir",AB8))</f>
        <v>0.25600000000000001</v>
      </c>
      <c r="N168" s="547">
        <f>IF(D168="Rəsmi gəlir",AA9,IF(D168="Qeyri rəsmi gəlir",AB9))</f>
        <v>0.28550000000000003</v>
      </c>
      <c r="O168" s="547">
        <f>IF(D168="Rəsmi gəlir",AA10,IF(D168="Qeyri rəsmi gəlir",AB10))</f>
        <v>0</v>
      </c>
      <c r="P168" s="547" t="b">
        <f t="shared" si="12"/>
        <v>0</v>
      </c>
      <c r="Q168" s="548">
        <f t="shared" si="13"/>
        <v>0</v>
      </c>
      <c r="R168" s="543" t="str">
        <f t="shared" si="15"/>
        <v>-</v>
      </c>
      <c r="S168" s="549"/>
      <c r="T168" s="543" t="e">
        <f t="shared" si="16"/>
        <v>#VALUE!</v>
      </c>
      <c r="U168" s="548" t="e">
        <f t="shared" si="14"/>
        <v>#VALUE!</v>
      </c>
      <c r="V168" s="548" t="e">
        <f t="shared" si="17"/>
        <v>#VALUE!</v>
      </c>
      <c r="W168" s="544"/>
      <c r="X168" s="556"/>
    </row>
    <row r="169" spans="1:24">
      <c r="A169" s="552">
        <v>167</v>
      </c>
      <c r="B169" s="560"/>
      <c r="C169" s="554"/>
      <c r="D169" s="544" t="s">
        <v>799</v>
      </c>
      <c r="E169" s="555"/>
      <c r="F169" s="545">
        <f>E169-(E169*Z13)</f>
        <v>0</v>
      </c>
      <c r="G169" s="546"/>
      <c r="H169" s="547">
        <f>IF(D169="Rəsmi gəlir",AA3,IF(D169="Qeyri rəsmi gəlir",AB3))</f>
        <v>7.0000000000000007E-2</v>
      </c>
      <c r="I169" s="547">
        <f>IF(D169="Rəsmi gəlir",AA4,IF(D169="Qeyri rəsmi gəlir",AB4))</f>
        <v>0.12</v>
      </c>
      <c r="J169" s="547">
        <f>IF(D169="Rəsmi gəlir",AA5,IF(D169="Qeyri rəsmi gəlir",AB5))</f>
        <v>0.16</v>
      </c>
      <c r="K169" s="547">
        <f>IF(D169="Rəsmi gəlir",AA6,IF(D169="Qeyri rəsmi gəlir",AB6))</f>
        <v>0.2</v>
      </c>
      <c r="L169" s="547">
        <f>IF(D169="Rəsmi gəlir",AA7,IF(D169="Qeyri rəsmi gəlir",AB7))</f>
        <v>0.23</v>
      </c>
      <c r="M169" s="547">
        <f>IF(D169="Rəsmi gəlir",AA8,IF(D169="Qeyri rəsmi gəlir",AB8))</f>
        <v>0.25600000000000001</v>
      </c>
      <c r="N169" s="547">
        <f>IF(D169="Rəsmi gəlir",AA9,IF(D169="Qeyri rəsmi gəlir",AB9))</f>
        <v>0.28550000000000003</v>
      </c>
      <c r="O169" s="547">
        <f>IF(D169="Rəsmi gəlir",AA10,IF(D169="Qeyri rəsmi gəlir",AB10))</f>
        <v>0</v>
      </c>
      <c r="P169" s="547" t="b">
        <f t="shared" si="12"/>
        <v>0</v>
      </c>
      <c r="Q169" s="548">
        <f t="shared" si="13"/>
        <v>0</v>
      </c>
      <c r="R169" s="543" t="str">
        <f t="shared" si="15"/>
        <v>-</v>
      </c>
      <c r="S169" s="549"/>
      <c r="T169" s="543" t="e">
        <f t="shared" si="16"/>
        <v>#VALUE!</v>
      </c>
      <c r="U169" s="548" t="e">
        <f t="shared" si="14"/>
        <v>#VALUE!</v>
      </c>
      <c r="V169" s="548" t="e">
        <f t="shared" si="17"/>
        <v>#VALUE!</v>
      </c>
      <c r="W169" s="544"/>
      <c r="X169" s="556"/>
    </row>
    <row r="170" spans="1:24">
      <c r="A170" s="552">
        <v>168</v>
      </c>
      <c r="B170" s="560"/>
      <c r="C170" s="554"/>
      <c r="D170" s="544" t="s">
        <v>799</v>
      </c>
      <c r="E170" s="555"/>
      <c r="F170" s="545">
        <f>E170-(E170*Z13)</f>
        <v>0</v>
      </c>
      <c r="G170" s="546"/>
      <c r="H170" s="547">
        <f>IF(D170="Rəsmi gəlir",AA3,IF(D170="Qeyri rəsmi gəlir",AB3))</f>
        <v>7.0000000000000007E-2</v>
      </c>
      <c r="I170" s="547">
        <f>IF(D170="Rəsmi gəlir",AA4,IF(D170="Qeyri rəsmi gəlir",AB4))</f>
        <v>0.12</v>
      </c>
      <c r="J170" s="547">
        <f>IF(D170="Rəsmi gəlir",AA5,IF(D170="Qeyri rəsmi gəlir",AB5))</f>
        <v>0.16</v>
      </c>
      <c r="K170" s="547">
        <f>IF(D170="Rəsmi gəlir",AA6,IF(D170="Qeyri rəsmi gəlir",AB6))</f>
        <v>0.2</v>
      </c>
      <c r="L170" s="547">
        <f>IF(D170="Rəsmi gəlir",AA7,IF(D170="Qeyri rəsmi gəlir",AB7))</f>
        <v>0.23</v>
      </c>
      <c r="M170" s="547">
        <f>IF(D170="Rəsmi gəlir",AA8,IF(D170="Qeyri rəsmi gəlir",AB8))</f>
        <v>0.25600000000000001</v>
      </c>
      <c r="N170" s="547">
        <f>IF(D170="Rəsmi gəlir",AA9,IF(D170="Qeyri rəsmi gəlir",AB9))</f>
        <v>0.28550000000000003</v>
      </c>
      <c r="O170" s="547">
        <f>IF(D170="Rəsmi gəlir",AA10,IF(D170="Qeyri rəsmi gəlir",AB10))</f>
        <v>0</v>
      </c>
      <c r="P170" s="547" t="b">
        <f t="shared" si="12"/>
        <v>0</v>
      </c>
      <c r="Q170" s="548">
        <f t="shared" si="13"/>
        <v>0</v>
      </c>
      <c r="R170" s="543" t="str">
        <f t="shared" si="15"/>
        <v>-</v>
      </c>
      <c r="S170" s="549"/>
      <c r="T170" s="543" t="e">
        <f t="shared" si="16"/>
        <v>#VALUE!</v>
      </c>
      <c r="U170" s="548" t="e">
        <f t="shared" si="14"/>
        <v>#VALUE!</v>
      </c>
      <c r="V170" s="548" t="e">
        <f t="shared" si="17"/>
        <v>#VALUE!</v>
      </c>
      <c r="W170" s="544"/>
      <c r="X170" s="556"/>
    </row>
    <row r="171" spans="1:24">
      <c r="A171" s="552">
        <v>169</v>
      </c>
      <c r="B171" s="560"/>
      <c r="C171" s="554"/>
      <c r="D171" s="544" t="s">
        <v>799</v>
      </c>
      <c r="E171" s="555"/>
      <c r="F171" s="545">
        <f>E171-(E171*Z13)</f>
        <v>0</v>
      </c>
      <c r="G171" s="546"/>
      <c r="H171" s="547">
        <f>IF(D171="Rəsmi gəlir",AA3,IF(D171="Qeyri rəsmi gəlir",AB3))</f>
        <v>7.0000000000000007E-2</v>
      </c>
      <c r="I171" s="547">
        <f>IF(D171="Rəsmi gəlir",AA4,IF(D171="Qeyri rəsmi gəlir",AB4))</f>
        <v>0.12</v>
      </c>
      <c r="J171" s="547">
        <f>IF(D171="Rəsmi gəlir",AA5,IF(D171="Qeyri rəsmi gəlir",AB5))</f>
        <v>0.16</v>
      </c>
      <c r="K171" s="547">
        <f>IF(D171="Rəsmi gəlir",AA6,IF(D171="Qeyri rəsmi gəlir",AB6))</f>
        <v>0.2</v>
      </c>
      <c r="L171" s="547">
        <f>IF(D171="Rəsmi gəlir",AA7,IF(D171="Qeyri rəsmi gəlir",AB7))</f>
        <v>0.23</v>
      </c>
      <c r="M171" s="547">
        <f>IF(D171="Rəsmi gəlir",AA8,IF(D171="Qeyri rəsmi gəlir",AB8))</f>
        <v>0.25600000000000001</v>
      </c>
      <c r="N171" s="547">
        <f>IF(D171="Rəsmi gəlir",AA9,IF(D171="Qeyri rəsmi gəlir",AB9))</f>
        <v>0.28550000000000003</v>
      </c>
      <c r="O171" s="547">
        <f>IF(D171="Rəsmi gəlir",AA10,IF(D171="Qeyri rəsmi gəlir",AB10))</f>
        <v>0</v>
      </c>
      <c r="P171" s="547" t="b">
        <f t="shared" si="12"/>
        <v>0</v>
      </c>
      <c r="Q171" s="548">
        <f t="shared" si="13"/>
        <v>0</v>
      </c>
      <c r="R171" s="543" t="str">
        <f t="shared" si="15"/>
        <v>-</v>
      </c>
      <c r="S171" s="549"/>
      <c r="T171" s="543" t="e">
        <f t="shared" si="16"/>
        <v>#VALUE!</v>
      </c>
      <c r="U171" s="548" t="e">
        <f t="shared" si="14"/>
        <v>#VALUE!</v>
      </c>
      <c r="V171" s="548" t="e">
        <f t="shared" si="17"/>
        <v>#VALUE!</v>
      </c>
      <c r="W171" s="544"/>
      <c r="X171" s="556"/>
    </row>
    <row r="172" spans="1:24">
      <c r="A172" s="552">
        <v>170</v>
      </c>
      <c r="B172" s="560"/>
      <c r="C172" s="554"/>
      <c r="D172" s="544" t="s">
        <v>799</v>
      </c>
      <c r="E172" s="555"/>
      <c r="F172" s="545">
        <f>E172-(E172*Z13)</f>
        <v>0</v>
      </c>
      <c r="G172" s="546"/>
      <c r="H172" s="547">
        <f>IF(D172="Rəsmi gəlir",AA3,IF(D172="Qeyri rəsmi gəlir",AB3))</f>
        <v>7.0000000000000007E-2</v>
      </c>
      <c r="I172" s="547">
        <f>IF(D172="Rəsmi gəlir",AA4,IF(D172="Qeyri rəsmi gəlir",AB4))</f>
        <v>0.12</v>
      </c>
      <c r="J172" s="547">
        <f>IF(D172="Rəsmi gəlir",AA5,IF(D172="Qeyri rəsmi gəlir",AB5))</f>
        <v>0.16</v>
      </c>
      <c r="K172" s="547">
        <f>IF(D172="Rəsmi gəlir",AA6,IF(D172="Qeyri rəsmi gəlir",AB6))</f>
        <v>0.2</v>
      </c>
      <c r="L172" s="547">
        <f>IF(D172="Rəsmi gəlir",AA7,IF(D172="Qeyri rəsmi gəlir",AB7))</f>
        <v>0.23</v>
      </c>
      <c r="M172" s="547">
        <f>IF(D172="Rəsmi gəlir",AA8,IF(D172="Qeyri rəsmi gəlir",AB8))</f>
        <v>0.25600000000000001</v>
      </c>
      <c r="N172" s="547">
        <f>IF(D172="Rəsmi gəlir",AA9,IF(D172="Qeyri rəsmi gəlir",AB9))</f>
        <v>0.28550000000000003</v>
      </c>
      <c r="O172" s="547">
        <f>IF(D172="Rəsmi gəlir",AA10,IF(D172="Qeyri rəsmi gəlir",AB10))</f>
        <v>0</v>
      </c>
      <c r="P172" s="547" t="b">
        <f t="shared" si="12"/>
        <v>0</v>
      </c>
      <c r="Q172" s="548">
        <f t="shared" si="13"/>
        <v>0</v>
      </c>
      <c r="R172" s="543" t="str">
        <f t="shared" si="15"/>
        <v>-</v>
      </c>
      <c r="S172" s="549"/>
      <c r="T172" s="543" t="e">
        <f t="shared" si="16"/>
        <v>#VALUE!</v>
      </c>
      <c r="U172" s="548" t="e">
        <f t="shared" si="14"/>
        <v>#VALUE!</v>
      </c>
      <c r="V172" s="548" t="e">
        <f t="shared" si="17"/>
        <v>#VALUE!</v>
      </c>
      <c r="W172" s="544"/>
      <c r="X172" s="556"/>
    </row>
    <row r="173" spans="1:24">
      <c r="A173" s="552">
        <v>171</v>
      </c>
      <c r="B173" s="560"/>
      <c r="C173" s="554"/>
      <c r="D173" s="544" t="s">
        <v>799</v>
      </c>
      <c r="E173" s="555"/>
      <c r="F173" s="545">
        <f>E173-(E173*Z13)</f>
        <v>0</v>
      </c>
      <c r="G173" s="546"/>
      <c r="H173" s="547">
        <f>IF(D173="Rəsmi gəlir",AA3,IF(D173="Qeyri rəsmi gəlir",AB3))</f>
        <v>7.0000000000000007E-2</v>
      </c>
      <c r="I173" s="547">
        <f>IF(D173="Rəsmi gəlir",AA4,IF(D173="Qeyri rəsmi gəlir",AB4))</f>
        <v>0.12</v>
      </c>
      <c r="J173" s="547">
        <f>IF(D173="Rəsmi gəlir",AA5,IF(D173="Qeyri rəsmi gəlir",AB5))</f>
        <v>0.16</v>
      </c>
      <c r="K173" s="547">
        <f>IF(D173="Rəsmi gəlir",AA6,IF(D173="Qeyri rəsmi gəlir",AB6))</f>
        <v>0.2</v>
      </c>
      <c r="L173" s="547">
        <f>IF(D173="Rəsmi gəlir",AA7,IF(D173="Qeyri rəsmi gəlir",AB7))</f>
        <v>0.23</v>
      </c>
      <c r="M173" s="547">
        <f>IF(D173="Rəsmi gəlir",AA8,IF(D173="Qeyri rəsmi gəlir",AB8))</f>
        <v>0.25600000000000001</v>
      </c>
      <c r="N173" s="547">
        <f>IF(D173="Rəsmi gəlir",AA9,IF(D173="Qeyri rəsmi gəlir",AB9))</f>
        <v>0.28550000000000003</v>
      </c>
      <c r="O173" s="547">
        <f>IF(D173="Rəsmi gəlir",AA10,IF(D173="Qeyri rəsmi gəlir",AB10))</f>
        <v>0</v>
      </c>
      <c r="P173" s="547" t="b">
        <f t="shared" si="12"/>
        <v>0</v>
      </c>
      <c r="Q173" s="548">
        <f t="shared" si="13"/>
        <v>0</v>
      </c>
      <c r="R173" s="543" t="str">
        <f t="shared" si="15"/>
        <v>-</v>
      </c>
      <c r="S173" s="549"/>
      <c r="T173" s="543" t="e">
        <f t="shared" si="16"/>
        <v>#VALUE!</v>
      </c>
      <c r="U173" s="548" t="e">
        <f t="shared" si="14"/>
        <v>#VALUE!</v>
      </c>
      <c r="V173" s="548" t="e">
        <f t="shared" si="17"/>
        <v>#VALUE!</v>
      </c>
      <c r="W173" s="544"/>
      <c r="X173" s="556"/>
    </row>
    <row r="174" spans="1:24">
      <c r="A174" s="552">
        <v>172</v>
      </c>
      <c r="B174" s="560"/>
      <c r="C174" s="554"/>
      <c r="D174" s="544" t="s">
        <v>799</v>
      </c>
      <c r="E174" s="555"/>
      <c r="F174" s="545">
        <f>E174-(E174*Z13)</f>
        <v>0</v>
      </c>
      <c r="G174" s="546"/>
      <c r="H174" s="547">
        <f>IF(D174="Rəsmi gəlir",AA3,IF(D174="Qeyri rəsmi gəlir",AB3))</f>
        <v>7.0000000000000007E-2</v>
      </c>
      <c r="I174" s="547">
        <f>IF(D174="Rəsmi gəlir",AA4,IF(D174="Qeyri rəsmi gəlir",AB4))</f>
        <v>0.12</v>
      </c>
      <c r="J174" s="547">
        <f>IF(D174="Rəsmi gəlir",AA5,IF(D174="Qeyri rəsmi gəlir",AB5))</f>
        <v>0.16</v>
      </c>
      <c r="K174" s="547">
        <f>IF(D174="Rəsmi gəlir",AA6,IF(D174="Qeyri rəsmi gəlir",AB6))</f>
        <v>0.2</v>
      </c>
      <c r="L174" s="547">
        <f>IF(D174="Rəsmi gəlir",AA7,IF(D174="Qeyri rəsmi gəlir",AB7))</f>
        <v>0.23</v>
      </c>
      <c r="M174" s="547">
        <f>IF(D174="Rəsmi gəlir",AA8,IF(D174="Qeyri rəsmi gəlir",AB8))</f>
        <v>0.25600000000000001</v>
      </c>
      <c r="N174" s="547">
        <f>IF(D174="Rəsmi gəlir",AA9,IF(D174="Qeyri rəsmi gəlir",AB9))</f>
        <v>0.28550000000000003</v>
      </c>
      <c r="O174" s="547">
        <f>IF(D174="Rəsmi gəlir",AA10,IF(D174="Qeyri rəsmi gəlir",AB10))</f>
        <v>0</v>
      </c>
      <c r="P174" s="547" t="b">
        <f t="shared" si="12"/>
        <v>0</v>
      </c>
      <c r="Q174" s="548">
        <f t="shared" si="13"/>
        <v>0</v>
      </c>
      <c r="R174" s="543" t="str">
        <f t="shared" si="15"/>
        <v>-</v>
      </c>
      <c r="S174" s="549"/>
      <c r="T174" s="543" t="e">
        <f t="shared" si="16"/>
        <v>#VALUE!</v>
      </c>
      <c r="U174" s="548" t="e">
        <f t="shared" si="14"/>
        <v>#VALUE!</v>
      </c>
      <c r="V174" s="548" t="e">
        <f t="shared" si="17"/>
        <v>#VALUE!</v>
      </c>
      <c r="W174" s="544"/>
      <c r="X174" s="556"/>
    </row>
    <row r="175" spans="1:24">
      <c r="A175" s="552">
        <v>173</v>
      </c>
      <c r="B175" s="560"/>
      <c r="C175" s="554"/>
      <c r="D175" s="544" t="s">
        <v>799</v>
      </c>
      <c r="E175" s="555"/>
      <c r="F175" s="545">
        <f>E175-(E175*Z13)</f>
        <v>0</v>
      </c>
      <c r="G175" s="546"/>
      <c r="H175" s="547">
        <f>IF(D175="Rəsmi gəlir",AA3,IF(D175="Qeyri rəsmi gəlir",AB3))</f>
        <v>7.0000000000000007E-2</v>
      </c>
      <c r="I175" s="547">
        <f>IF(D175="Rəsmi gəlir",AA4,IF(D175="Qeyri rəsmi gəlir",AB4))</f>
        <v>0.12</v>
      </c>
      <c r="J175" s="547">
        <f>IF(D175="Rəsmi gəlir",AA5,IF(D175="Qeyri rəsmi gəlir",AB5))</f>
        <v>0.16</v>
      </c>
      <c r="K175" s="547">
        <f>IF(D175="Rəsmi gəlir",AA6,IF(D175="Qeyri rəsmi gəlir",AB6))</f>
        <v>0.2</v>
      </c>
      <c r="L175" s="547">
        <f>IF(D175="Rəsmi gəlir",AA7,IF(D175="Qeyri rəsmi gəlir",AB7))</f>
        <v>0.23</v>
      </c>
      <c r="M175" s="547">
        <f>IF(D175="Rəsmi gəlir",AA8,IF(D175="Qeyri rəsmi gəlir",AB8))</f>
        <v>0.25600000000000001</v>
      </c>
      <c r="N175" s="547">
        <f>IF(D175="Rəsmi gəlir",AA9,IF(D175="Qeyri rəsmi gəlir",AB9))</f>
        <v>0.28550000000000003</v>
      </c>
      <c r="O175" s="547">
        <f>IF(D175="Rəsmi gəlir",AA10,IF(D175="Qeyri rəsmi gəlir",AB10))</f>
        <v>0</v>
      </c>
      <c r="P175" s="547" t="b">
        <f t="shared" si="12"/>
        <v>0</v>
      </c>
      <c r="Q175" s="548">
        <f t="shared" si="13"/>
        <v>0</v>
      </c>
      <c r="R175" s="543" t="str">
        <f t="shared" si="15"/>
        <v>-</v>
      </c>
      <c r="S175" s="549"/>
      <c r="T175" s="543" t="e">
        <f t="shared" si="16"/>
        <v>#VALUE!</v>
      </c>
      <c r="U175" s="548" t="e">
        <f t="shared" si="14"/>
        <v>#VALUE!</v>
      </c>
      <c r="V175" s="548" t="e">
        <f t="shared" si="17"/>
        <v>#VALUE!</v>
      </c>
      <c r="W175" s="544"/>
      <c r="X175" s="556"/>
    </row>
    <row r="176" spans="1:24">
      <c r="A176" s="552">
        <v>174</v>
      </c>
      <c r="B176" s="560"/>
      <c r="C176" s="554"/>
      <c r="D176" s="544" t="s">
        <v>799</v>
      </c>
      <c r="E176" s="555"/>
      <c r="F176" s="545">
        <f>E176-(E176*Z13)</f>
        <v>0</v>
      </c>
      <c r="G176" s="546"/>
      <c r="H176" s="547">
        <f>IF(D176="Rəsmi gəlir",AA3,IF(D176="Qeyri rəsmi gəlir",AB3))</f>
        <v>7.0000000000000007E-2</v>
      </c>
      <c r="I176" s="547">
        <f>IF(D176="Rəsmi gəlir",AA4,IF(D176="Qeyri rəsmi gəlir",AB4))</f>
        <v>0.12</v>
      </c>
      <c r="J176" s="547">
        <f>IF(D176="Rəsmi gəlir",AA5,IF(D176="Qeyri rəsmi gəlir",AB5))</f>
        <v>0.16</v>
      </c>
      <c r="K176" s="547">
        <f>IF(D176="Rəsmi gəlir",AA6,IF(D176="Qeyri rəsmi gəlir",AB6))</f>
        <v>0.2</v>
      </c>
      <c r="L176" s="547">
        <f>IF(D176="Rəsmi gəlir",AA7,IF(D176="Qeyri rəsmi gəlir",AB7))</f>
        <v>0.23</v>
      </c>
      <c r="M176" s="547">
        <f>IF(D176="Rəsmi gəlir",AA8,IF(D176="Qeyri rəsmi gəlir",AB8))</f>
        <v>0.25600000000000001</v>
      </c>
      <c r="N176" s="547">
        <f>IF(D176="Rəsmi gəlir",AA9,IF(D176="Qeyri rəsmi gəlir",AB9))</f>
        <v>0.28550000000000003</v>
      </c>
      <c r="O176" s="547">
        <f>IF(D176="Rəsmi gəlir",AA10,IF(D176="Qeyri rəsmi gəlir",AB10))</f>
        <v>0</v>
      </c>
      <c r="P176" s="547" t="b">
        <f t="shared" si="12"/>
        <v>0</v>
      </c>
      <c r="Q176" s="548">
        <f t="shared" si="13"/>
        <v>0</v>
      </c>
      <c r="R176" s="543" t="str">
        <f t="shared" si="15"/>
        <v>-</v>
      </c>
      <c r="S176" s="549"/>
      <c r="T176" s="543" t="e">
        <f t="shared" si="16"/>
        <v>#VALUE!</v>
      </c>
      <c r="U176" s="548" t="e">
        <f t="shared" si="14"/>
        <v>#VALUE!</v>
      </c>
      <c r="V176" s="548" t="e">
        <f t="shared" si="17"/>
        <v>#VALUE!</v>
      </c>
      <c r="W176" s="544"/>
      <c r="X176" s="556"/>
    </row>
    <row r="177" spans="1:24">
      <c r="A177" s="552">
        <v>175</v>
      </c>
      <c r="B177" s="560"/>
      <c r="C177" s="554"/>
      <c r="D177" s="544" t="s">
        <v>799</v>
      </c>
      <c r="E177" s="555"/>
      <c r="F177" s="545">
        <f>E177-(E177*Z13)</f>
        <v>0</v>
      </c>
      <c r="G177" s="546"/>
      <c r="H177" s="547">
        <f>IF(D177="Rəsmi gəlir",AA3,IF(D177="Qeyri rəsmi gəlir",AB3))</f>
        <v>7.0000000000000007E-2</v>
      </c>
      <c r="I177" s="547">
        <f>IF(D177="Rəsmi gəlir",AA4,IF(D177="Qeyri rəsmi gəlir",AB4))</f>
        <v>0.12</v>
      </c>
      <c r="J177" s="547">
        <f>IF(D177="Rəsmi gəlir",AA5,IF(D177="Qeyri rəsmi gəlir",AB5))</f>
        <v>0.16</v>
      </c>
      <c r="K177" s="547">
        <f>IF(D177="Rəsmi gəlir",AA6,IF(D177="Qeyri rəsmi gəlir",AB6))</f>
        <v>0.2</v>
      </c>
      <c r="L177" s="547">
        <f>IF(D177="Rəsmi gəlir",AA7,IF(D177="Qeyri rəsmi gəlir",AB7))</f>
        <v>0.23</v>
      </c>
      <c r="M177" s="547">
        <f>IF(D177="Rəsmi gəlir",AA8,IF(D177="Qeyri rəsmi gəlir",AB8))</f>
        <v>0.25600000000000001</v>
      </c>
      <c r="N177" s="547">
        <f>IF(D177="Rəsmi gəlir",AA9,IF(D177="Qeyri rəsmi gəlir",AB9))</f>
        <v>0.28550000000000003</v>
      </c>
      <c r="O177" s="547">
        <f>IF(D177="Rəsmi gəlir",AA10,IF(D177="Qeyri rəsmi gəlir",AB10))</f>
        <v>0</v>
      </c>
      <c r="P177" s="547" t="b">
        <f t="shared" si="12"/>
        <v>0</v>
      </c>
      <c r="Q177" s="548">
        <f t="shared" si="13"/>
        <v>0</v>
      </c>
      <c r="R177" s="543" t="str">
        <f t="shared" si="15"/>
        <v>-</v>
      </c>
      <c r="S177" s="549"/>
      <c r="T177" s="543" t="e">
        <f t="shared" si="16"/>
        <v>#VALUE!</v>
      </c>
      <c r="U177" s="548" t="e">
        <f t="shared" si="14"/>
        <v>#VALUE!</v>
      </c>
      <c r="V177" s="548" t="e">
        <f t="shared" si="17"/>
        <v>#VALUE!</v>
      </c>
      <c r="W177" s="544"/>
      <c r="X177" s="556"/>
    </row>
    <row r="178" spans="1:24">
      <c r="A178" s="552">
        <v>176</v>
      </c>
      <c r="B178" s="560"/>
      <c r="C178" s="554"/>
      <c r="D178" s="544" t="s">
        <v>799</v>
      </c>
      <c r="E178" s="555"/>
      <c r="F178" s="545">
        <f>E178-(E178*Z13)</f>
        <v>0</v>
      </c>
      <c r="G178" s="546"/>
      <c r="H178" s="547">
        <f>IF(D178="Rəsmi gəlir",AA3,IF(D178="Qeyri rəsmi gəlir",AB3))</f>
        <v>7.0000000000000007E-2</v>
      </c>
      <c r="I178" s="547">
        <f>IF(D178="Rəsmi gəlir",AA4,IF(D178="Qeyri rəsmi gəlir",AB4))</f>
        <v>0.12</v>
      </c>
      <c r="J178" s="547">
        <f>IF(D178="Rəsmi gəlir",AA5,IF(D178="Qeyri rəsmi gəlir",AB5))</f>
        <v>0.16</v>
      </c>
      <c r="K178" s="547">
        <f>IF(D178="Rəsmi gəlir",AA6,IF(D178="Qeyri rəsmi gəlir",AB6))</f>
        <v>0.2</v>
      </c>
      <c r="L178" s="547">
        <f>IF(D178="Rəsmi gəlir",AA7,IF(D178="Qeyri rəsmi gəlir",AB7))</f>
        <v>0.23</v>
      </c>
      <c r="M178" s="547">
        <f>IF(D178="Rəsmi gəlir",AA8,IF(D178="Qeyri rəsmi gəlir",AB8))</f>
        <v>0.25600000000000001</v>
      </c>
      <c r="N178" s="547">
        <f>IF(D178="Rəsmi gəlir",AA9,IF(D178="Qeyri rəsmi gəlir",AB9))</f>
        <v>0.28550000000000003</v>
      </c>
      <c r="O178" s="547">
        <f>IF(D178="Rəsmi gəlir",AA10,IF(D178="Qeyri rəsmi gəlir",AB10))</f>
        <v>0</v>
      </c>
      <c r="P178" s="547" t="b">
        <f t="shared" si="12"/>
        <v>0</v>
      </c>
      <c r="Q178" s="548">
        <f t="shared" si="13"/>
        <v>0</v>
      </c>
      <c r="R178" s="543" t="str">
        <f t="shared" si="15"/>
        <v>-</v>
      </c>
      <c r="S178" s="549"/>
      <c r="T178" s="543" t="e">
        <f t="shared" si="16"/>
        <v>#VALUE!</v>
      </c>
      <c r="U178" s="548" t="e">
        <f t="shared" si="14"/>
        <v>#VALUE!</v>
      </c>
      <c r="V178" s="548" t="e">
        <f t="shared" si="17"/>
        <v>#VALUE!</v>
      </c>
      <c r="W178" s="544"/>
      <c r="X178" s="556"/>
    </row>
    <row r="179" spans="1:24">
      <c r="A179" s="552">
        <v>177</v>
      </c>
      <c r="B179" s="560"/>
      <c r="C179" s="554"/>
      <c r="D179" s="544" t="s">
        <v>799</v>
      </c>
      <c r="E179" s="555"/>
      <c r="F179" s="545">
        <f>E179-(E179*Z13)</f>
        <v>0</v>
      </c>
      <c r="G179" s="546"/>
      <c r="H179" s="547">
        <f>IF(D179="Rəsmi gəlir",AA3,IF(D179="Qeyri rəsmi gəlir",AB3))</f>
        <v>7.0000000000000007E-2</v>
      </c>
      <c r="I179" s="547">
        <f>IF(D179="Rəsmi gəlir",AA4,IF(D179="Qeyri rəsmi gəlir",AB4))</f>
        <v>0.12</v>
      </c>
      <c r="J179" s="547">
        <f>IF(D179="Rəsmi gəlir",AA5,IF(D179="Qeyri rəsmi gəlir",AB5))</f>
        <v>0.16</v>
      </c>
      <c r="K179" s="547">
        <f>IF(D179="Rəsmi gəlir",AA6,IF(D179="Qeyri rəsmi gəlir",AB6))</f>
        <v>0.2</v>
      </c>
      <c r="L179" s="547">
        <f>IF(D179="Rəsmi gəlir",AA7,IF(D179="Qeyri rəsmi gəlir",AB7))</f>
        <v>0.23</v>
      </c>
      <c r="M179" s="547">
        <f>IF(D179="Rəsmi gəlir",AA8,IF(D179="Qeyri rəsmi gəlir",AB8))</f>
        <v>0.25600000000000001</v>
      </c>
      <c r="N179" s="547">
        <f>IF(D179="Rəsmi gəlir",AA9,IF(D179="Qeyri rəsmi gəlir",AB9))</f>
        <v>0.28550000000000003</v>
      </c>
      <c r="O179" s="547">
        <f>IF(D179="Rəsmi gəlir",AA10,IF(D179="Qeyri rəsmi gəlir",AB10))</f>
        <v>0</v>
      </c>
      <c r="P179" s="547" t="b">
        <f t="shared" si="12"/>
        <v>0</v>
      </c>
      <c r="Q179" s="548">
        <f t="shared" si="13"/>
        <v>0</v>
      </c>
      <c r="R179" s="543" t="str">
        <f t="shared" si="15"/>
        <v>-</v>
      </c>
      <c r="S179" s="549"/>
      <c r="T179" s="543" t="e">
        <f t="shared" si="16"/>
        <v>#VALUE!</v>
      </c>
      <c r="U179" s="548" t="e">
        <f t="shared" si="14"/>
        <v>#VALUE!</v>
      </c>
      <c r="V179" s="548" t="e">
        <f t="shared" si="17"/>
        <v>#VALUE!</v>
      </c>
      <c r="W179" s="544"/>
      <c r="X179" s="556"/>
    </row>
    <row r="180" spans="1:24">
      <c r="A180" s="552">
        <v>178</v>
      </c>
      <c r="B180" s="560"/>
      <c r="C180" s="554"/>
      <c r="D180" s="544" t="s">
        <v>799</v>
      </c>
      <c r="E180" s="555"/>
      <c r="F180" s="545">
        <f>E180-(E180*Z13)</f>
        <v>0</v>
      </c>
      <c r="G180" s="546"/>
      <c r="H180" s="547">
        <f>IF(D180="Rəsmi gəlir",AA3,IF(D180="Qeyri rəsmi gəlir",AB3))</f>
        <v>7.0000000000000007E-2</v>
      </c>
      <c r="I180" s="547">
        <f>IF(D180="Rəsmi gəlir",AA4,IF(D180="Qeyri rəsmi gəlir",AB4))</f>
        <v>0.12</v>
      </c>
      <c r="J180" s="547">
        <f>IF(D180="Rəsmi gəlir",AA5,IF(D180="Qeyri rəsmi gəlir",AB5))</f>
        <v>0.16</v>
      </c>
      <c r="K180" s="547">
        <f>IF(D180="Rəsmi gəlir",AA6,IF(D180="Qeyri rəsmi gəlir",AB6))</f>
        <v>0.2</v>
      </c>
      <c r="L180" s="547">
        <f>IF(D180="Rəsmi gəlir",AA7,IF(D180="Qeyri rəsmi gəlir",AB7))</f>
        <v>0.23</v>
      </c>
      <c r="M180" s="547">
        <f>IF(D180="Rəsmi gəlir",AA8,IF(D180="Qeyri rəsmi gəlir",AB8))</f>
        <v>0.25600000000000001</v>
      </c>
      <c r="N180" s="547">
        <f>IF(D180="Rəsmi gəlir",AA9,IF(D180="Qeyri rəsmi gəlir",AB9))</f>
        <v>0.28550000000000003</v>
      </c>
      <c r="O180" s="547">
        <f>IF(D180="Rəsmi gəlir",AA10,IF(D180="Qeyri rəsmi gəlir",AB10))</f>
        <v>0</v>
      </c>
      <c r="P180" s="547" t="b">
        <f t="shared" si="12"/>
        <v>0</v>
      </c>
      <c r="Q180" s="548">
        <f t="shared" si="13"/>
        <v>0</v>
      </c>
      <c r="R180" s="543" t="str">
        <f t="shared" si="15"/>
        <v>-</v>
      </c>
      <c r="S180" s="549"/>
      <c r="T180" s="543" t="e">
        <f t="shared" si="16"/>
        <v>#VALUE!</v>
      </c>
      <c r="U180" s="548" t="e">
        <f t="shared" si="14"/>
        <v>#VALUE!</v>
      </c>
      <c r="V180" s="548" t="e">
        <f t="shared" si="17"/>
        <v>#VALUE!</v>
      </c>
      <c r="W180" s="544"/>
      <c r="X180" s="556"/>
    </row>
    <row r="181" spans="1:24">
      <c r="A181" s="552">
        <v>179</v>
      </c>
      <c r="B181" s="560"/>
      <c r="C181" s="554"/>
      <c r="D181" s="544" t="s">
        <v>799</v>
      </c>
      <c r="E181" s="555"/>
      <c r="F181" s="545">
        <f>E181-(E181*Z13)</f>
        <v>0</v>
      </c>
      <c r="G181" s="546"/>
      <c r="H181" s="547">
        <f>IF(D181="Rəsmi gəlir",AA3,IF(D181="Qeyri rəsmi gəlir",AB3))</f>
        <v>7.0000000000000007E-2</v>
      </c>
      <c r="I181" s="547">
        <f>IF(D181="Rəsmi gəlir",AA4,IF(D181="Qeyri rəsmi gəlir",AB4))</f>
        <v>0.12</v>
      </c>
      <c r="J181" s="547">
        <f>IF(D181="Rəsmi gəlir",AA5,IF(D181="Qeyri rəsmi gəlir",AB5))</f>
        <v>0.16</v>
      </c>
      <c r="K181" s="547">
        <f>IF(D181="Rəsmi gəlir",AA6,IF(D181="Qeyri rəsmi gəlir",AB6))</f>
        <v>0.2</v>
      </c>
      <c r="L181" s="547">
        <f>IF(D181="Rəsmi gəlir",AA7,IF(D181="Qeyri rəsmi gəlir",AB7))</f>
        <v>0.23</v>
      </c>
      <c r="M181" s="547">
        <f>IF(D181="Rəsmi gəlir",AA8,IF(D181="Qeyri rəsmi gəlir",AB8))</f>
        <v>0.25600000000000001</v>
      </c>
      <c r="N181" s="547">
        <f>IF(D181="Rəsmi gəlir",AA9,IF(D181="Qeyri rəsmi gəlir",AB9))</f>
        <v>0.28550000000000003</v>
      </c>
      <c r="O181" s="547">
        <f>IF(D181="Rəsmi gəlir",AA10,IF(D181="Qeyri rəsmi gəlir",AB10))</f>
        <v>0</v>
      </c>
      <c r="P181" s="547" t="b">
        <f t="shared" si="12"/>
        <v>0</v>
      </c>
      <c r="Q181" s="548">
        <f t="shared" si="13"/>
        <v>0</v>
      </c>
      <c r="R181" s="543" t="str">
        <f t="shared" si="15"/>
        <v>-</v>
      </c>
      <c r="S181" s="549"/>
      <c r="T181" s="543" t="e">
        <f t="shared" si="16"/>
        <v>#VALUE!</v>
      </c>
      <c r="U181" s="548" t="e">
        <f t="shared" si="14"/>
        <v>#VALUE!</v>
      </c>
      <c r="V181" s="548" t="e">
        <f t="shared" si="17"/>
        <v>#VALUE!</v>
      </c>
      <c r="W181" s="544"/>
      <c r="X181" s="556"/>
    </row>
    <row r="182" spans="1:24">
      <c r="A182" s="552">
        <v>180</v>
      </c>
      <c r="B182" s="560"/>
      <c r="C182" s="554"/>
      <c r="D182" s="544" t="s">
        <v>799</v>
      </c>
      <c r="E182" s="555"/>
      <c r="F182" s="545">
        <f>E182-(E182*Z13)</f>
        <v>0</v>
      </c>
      <c r="G182" s="546"/>
      <c r="H182" s="547">
        <f>IF(D182="Rəsmi gəlir",AA3,IF(D182="Qeyri rəsmi gəlir",AB3))</f>
        <v>7.0000000000000007E-2</v>
      </c>
      <c r="I182" s="547">
        <f>IF(D182="Rəsmi gəlir",AA4,IF(D182="Qeyri rəsmi gəlir",AB4))</f>
        <v>0.12</v>
      </c>
      <c r="J182" s="547">
        <f>IF(D182="Rəsmi gəlir",AA5,IF(D182="Qeyri rəsmi gəlir",AB5))</f>
        <v>0.16</v>
      </c>
      <c r="K182" s="547">
        <f>IF(D182="Rəsmi gəlir",AA6,IF(D182="Qeyri rəsmi gəlir",AB6))</f>
        <v>0.2</v>
      </c>
      <c r="L182" s="547">
        <f>IF(D182="Rəsmi gəlir",AA7,IF(D182="Qeyri rəsmi gəlir",AB7))</f>
        <v>0.23</v>
      </c>
      <c r="M182" s="547">
        <f>IF(D182="Rəsmi gəlir",AA8,IF(D182="Qeyri rəsmi gəlir",AB8))</f>
        <v>0.25600000000000001</v>
      </c>
      <c r="N182" s="547">
        <f>IF(D182="Rəsmi gəlir",AA9,IF(D182="Qeyri rəsmi gəlir",AB9))</f>
        <v>0.28550000000000003</v>
      </c>
      <c r="O182" s="547">
        <f>IF(D182="Rəsmi gəlir",AA10,IF(D182="Qeyri rəsmi gəlir",AB10))</f>
        <v>0</v>
      </c>
      <c r="P182" s="547" t="b">
        <f t="shared" si="12"/>
        <v>0</v>
      </c>
      <c r="Q182" s="548">
        <f t="shared" si="13"/>
        <v>0</v>
      </c>
      <c r="R182" s="543" t="str">
        <f t="shared" si="15"/>
        <v>-</v>
      </c>
      <c r="S182" s="549"/>
      <c r="T182" s="543" t="e">
        <f t="shared" si="16"/>
        <v>#VALUE!</v>
      </c>
      <c r="U182" s="548" t="e">
        <f t="shared" si="14"/>
        <v>#VALUE!</v>
      </c>
      <c r="V182" s="548" t="e">
        <f t="shared" si="17"/>
        <v>#VALUE!</v>
      </c>
      <c r="W182" s="544"/>
      <c r="X182" s="556"/>
    </row>
    <row r="183" spans="1:24">
      <c r="A183" s="552">
        <v>181</v>
      </c>
      <c r="B183" s="560"/>
      <c r="C183" s="554"/>
      <c r="D183" s="544" t="s">
        <v>799</v>
      </c>
      <c r="E183" s="555"/>
      <c r="F183" s="545">
        <f>E183-(E183*Z13)</f>
        <v>0</v>
      </c>
      <c r="G183" s="546"/>
      <c r="H183" s="547">
        <f>IF(D183="Rəsmi gəlir",AA3,IF(D183="Qeyri rəsmi gəlir",AB3))</f>
        <v>7.0000000000000007E-2</v>
      </c>
      <c r="I183" s="547">
        <f>IF(D183="Rəsmi gəlir",AA4,IF(D183="Qeyri rəsmi gəlir",AB4))</f>
        <v>0.12</v>
      </c>
      <c r="J183" s="547">
        <f>IF(D183="Rəsmi gəlir",AA5,IF(D183="Qeyri rəsmi gəlir",AB5))</f>
        <v>0.16</v>
      </c>
      <c r="K183" s="547">
        <f>IF(D183="Rəsmi gəlir",AA6,IF(D183="Qeyri rəsmi gəlir",AB6))</f>
        <v>0.2</v>
      </c>
      <c r="L183" s="547">
        <f>IF(D183="Rəsmi gəlir",AA7,IF(D183="Qeyri rəsmi gəlir",AB7))</f>
        <v>0.23</v>
      </c>
      <c r="M183" s="547">
        <f>IF(D183="Rəsmi gəlir",AA8,IF(D183="Qeyri rəsmi gəlir",AB8))</f>
        <v>0.25600000000000001</v>
      </c>
      <c r="N183" s="547">
        <f>IF(D183="Rəsmi gəlir",AA9,IF(D183="Qeyri rəsmi gəlir",AB9))</f>
        <v>0.28550000000000003</v>
      </c>
      <c r="O183" s="547">
        <f>IF(D183="Rəsmi gəlir",AA10,IF(D183="Qeyri rəsmi gəlir",AB10))</f>
        <v>0</v>
      </c>
      <c r="P183" s="547" t="b">
        <f t="shared" si="12"/>
        <v>0</v>
      </c>
      <c r="Q183" s="548">
        <f t="shared" si="13"/>
        <v>0</v>
      </c>
      <c r="R183" s="543" t="str">
        <f t="shared" si="15"/>
        <v>-</v>
      </c>
      <c r="S183" s="549"/>
      <c r="T183" s="543" t="e">
        <f t="shared" si="16"/>
        <v>#VALUE!</v>
      </c>
      <c r="U183" s="548" t="e">
        <f t="shared" si="14"/>
        <v>#VALUE!</v>
      </c>
      <c r="V183" s="548" t="e">
        <f t="shared" si="17"/>
        <v>#VALUE!</v>
      </c>
      <c r="W183" s="544"/>
      <c r="X183" s="556"/>
    </row>
    <row r="184" spans="1:24">
      <c r="A184" s="552">
        <v>182</v>
      </c>
      <c r="B184" s="560"/>
      <c r="C184" s="554"/>
      <c r="D184" s="544" t="s">
        <v>799</v>
      </c>
      <c r="E184" s="555"/>
      <c r="F184" s="545">
        <f>E184-(E184*Z13)</f>
        <v>0</v>
      </c>
      <c r="G184" s="546"/>
      <c r="H184" s="547">
        <f>IF(D184="Rəsmi gəlir",AA3,IF(D184="Qeyri rəsmi gəlir",AB3))</f>
        <v>7.0000000000000007E-2</v>
      </c>
      <c r="I184" s="547">
        <f>IF(D184="Rəsmi gəlir",AA4,IF(D184="Qeyri rəsmi gəlir",AB4))</f>
        <v>0.12</v>
      </c>
      <c r="J184" s="547">
        <f>IF(D184="Rəsmi gəlir",AA5,IF(D184="Qeyri rəsmi gəlir",AB5))</f>
        <v>0.16</v>
      </c>
      <c r="K184" s="547">
        <f>IF(D184="Rəsmi gəlir",AA6,IF(D184="Qeyri rəsmi gəlir",AB6))</f>
        <v>0.2</v>
      </c>
      <c r="L184" s="547">
        <f>IF(D184="Rəsmi gəlir",AA7,IF(D184="Qeyri rəsmi gəlir",AB7))</f>
        <v>0.23</v>
      </c>
      <c r="M184" s="547">
        <f>IF(D184="Rəsmi gəlir",AA8,IF(D184="Qeyri rəsmi gəlir",AB8))</f>
        <v>0.25600000000000001</v>
      </c>
      <c r="N184" s="547">
        <f>IF(D184="Rəsmi gəlir",AA9,IF(D184="Qeyri rəsmi gəlir",AB9))</f>
        <v>0.28550000000000003</v>
      </c>
      <c r="O184" s="547">
        <f>IF(D184="Rəsmi gəlir",AA10,IF(D184="Qeyri rəsmi gəlir",AB10))</f>
        <v>0</v>
      </c>
      <c r="P184" s="547" t="b">
        <f t="shared" si="12"/>
        <v>0</v>
      </c>
      <c r="Q184" s="548">
        <f t="shared" si="13"/>
        <v>0</v>
      </c>
      <c r="R184" s="543" t="str">
        <f t="shared" si="15"/>
        <v>-</v>
      </c>
      <c r="S184" s="549"/>
      <c r="T184" s="543" t="e">
        <f t="shared" si="16"/>
        <v>#VALUE!</v>
      </c>
      <c r="U184" s="548" t="e">
        <f t="shared" si="14"/>
        <v>#VALUE!</v>
      </c>
      <c r="V184" s="548" t="e">
        <f t="shared" si="17"/>
        <v>#VALUE!</v>
      </c>
      <c r="W184" s="544"/>
      <c r="X184" s="556"/>
    </row>
    <row r="185" spans="1:24">
      <c r="A185" s="552">
        <v>183</v>
      </c>
      <c r="B185" s="560"/>
      <c r="C185" s="554"/>
      <c r="D185" s="544" t="s">
        <v>799</v>
      </c>
      <c r="E185" s="555"/>
      <c r="F185" s="545">
        <f>E185-(E185*Z13)</f>
        <v>0</v>
      </c>
      <c r="G185" s="546"/>
      <c r="H185" s="547">
        <f>IF(D185="Rəsmi gəlir",AA3,IF(D185="Qeyri rəsmi gəlir",AB3))</f>
        <v>7.0000000000000007E-2</v>
      </c>
      <c r="I185" s="547">
        <f>IF(D185="Rəsmi gəlir",AA4,IF(D185="Qeyri rəsmi gəlir",AB4))</f>
        <v>0.12</v>
      </c>
      <c r="J185" s="547">
        <f>IF(D185="Rəsmi gəlir",AA5,IF(D185="Qeyri rəsmi gəlir",AB5))</f>
        <v>0.16</v>
      </c>
      <c r="K185" s="547">
        <f>IF(D185="Rəsmi gəlir",AA6,IF(D185="Qeyri rəsmi gəlir",AB6))</f>
        <v>0.2</v>
      </c>
      <c r="L185" s="547">
        <f>IF(D185="Rəsmi gəlir",AA7,IF(D185="Qeyri rəsmi gəlir",AB7))</f>
        <v>0.23</v>
      </c>
      <c r="M185" s="547">
        <f>IF(D185="Rəsmi gəlir",AA8,IF(D185="Qeyri rəsmi gəlir",AB8))</f>
        <v>0.25600000000000001</v>
      </c>
      <c r="N185" s="547">
        <f>IF(D185="Rəsmi gəlir",AA9,IF(D185="Qeyri rəsmi gəlir",AB9))</f>
        <v>0.28550000000000003</v>
      </c>
      <c r="O185" s="547">
        <f>IF(D185="Rəsmi gəlir",AA10,IF(D185="Qeyri rəsmi gəlir",AB10))</f>
        <v>0</v>
      </c>
      <c r="P185" s="547" t="b">
        <f t="shared" si="12"/>
        <v>0</v>
      </c>
      <c r="Q185" s="548">
        <f t="shared" si="13"/>
        <v>0</v>
      </c>
      <c r="R185" s="543" t="str">
        <f t="shared" si="15"/>
        <v>-</v>
      </c>
      <c r="S185" s="549"/>
      <c r="T185" s="543" t="e">
        <f t="shared" si="16"/>
        <v>#VALUE!</v>
      </c>
      <c r="U185" s="548" t="e">
        <f t="shared" si="14"/>
        <v>#VALUE!</v>
      </c>
      <c r="V185" s="548" t="e">
        <f t="shared" si="17"/>
        <v>#VALUE!</v>
      </c>
      <c r="W185" s="544"/>
      <c r="X185" s="556"/>
    </row>
    <row r="186" spans="1:24">
      <c r="A186" s="552">
        <v>184</v>
      </c>
      <c r="B186" s="560"/>
      <c r="C186" s="554"/>
      <c r="D186" s="544" t="s">
        <v>799</v>
      </c>
      <c r="E186" s="555"/>
      <c r="F186" s="545">
        <f>E186-(E186*Z13)</f>
        <v>0</v>
      </c>
      <c r="G186" s="546"/>
      <c r="H186" s="547">
        <f>IF(D186="Rəsmi gəlir",AA3,IF(D186="Qeyri rəsmi gəlir",AB3))</f>
        <v>7.0000000000000007E-2</v>
      </c>
      <c r="I186" s="547">
        <f>IF(D186="Rəsmi gəlir",AA4,IF(D186="Qeyri rəsmi gəlir",AB4))</f>
        <v>0.12</v>
      </c>
      <c r="J186" s="547">
        <f>IF(D186="Rəsmi gəlir",AA5,IF(D186="Qeyri rəsmi gəlir",AB5))</f>
        <v>0.16</v>
      </c>
      <c r="K186" s="547">
        <f>IF(D186="Rəsmi gəlir",AA6,IF(D186="Qeyri rəsmi gəlir",AB6))</f>
        <v>0.2</v>
      </c>
      <c r="L186" s="547">
        <f>IF(D186="Rəsmi gəlir",AA7,IF(D186="Qeyri rəsmi gəlir",AB7))</f>
        <v>0.23</v>
      </c>
      <c r="M186" s="547">
        <f>IF(D186="Rəsmi gəlir",AA8,IF(D186="Qeyri rəsmi gəlir",AB8))</f>
        <v>0.25600000000000001</v>
      </c>
      <c r="N186" s="547">
        <f>IF(D186="Rəsmi gəlir",AA9,IF(D186="Qeyri rəsmi gəlir",AB9))</f>
        <v>0.28550000000000003</v>
      </c>
      <c r="O186" s="547">
        <f>IF(D186="Rəsmi gəlir",AA10,IF(D186="Qeyri rəsmi gəlir",AB10))</f>
        <v>0</v>
      </c>
      <c r="P186" s="547" t="b">
        <f t="shared" si="12"/>
        <v>0</v>
      </c>
      <c r="Q186" s="548">
        <f t="shared" si="13"/>
        <v>0</v>
      </c>
      <c r="R186" s="543" t="str">
        <f t="shared" si="15"/>
        <v>-</v>
      </c>
      <c r="S186" s="549"/>
      <c r="T186" s="543" t="e">
        <f t="shared" si="16"/>
        <v>#VALUE!</v>
      </c>
      <c r="U186" s="548" t="e">
        <f t="shared" si="14"/>
        <v>#VALUE!</v>
      </c>
      <c r="V186" s="548" t="e">
        <f t="shared" si="17"/>
        <v>#VALUE!</v>
      </c>
      <c r="W186" s="544"/>
      <c r="X186" s="556"/>
    </row>
    <row r="187" spans="1:24">
      <c r="A187" s="552">
        <v>185</v>
      </c>
      <c r="B187" s="560"/>
      <c r="C187" s="554"/>
      <c r="D187" s="544" t="s">
        <v>799</v>
      </c>
      <c r="E187" s="555"/>
      <c r="F187" s="545">
        <f>E187-(E187*Z13)</f>
        <v>0</v>
      </c>
      <c r="G187" s="546"/>
      <c r="H187" s="547">
        <f>IF(D187="Rəsmi gəlir",AA3,IF(D187="Qeyri rəsmi gəlir",AB3))</f>
        <v>7.0000000000000007E-2</v>
      </c>
      <c r="I187" s="547">
        <f>IF(D187="Rəsmi gəlir",AA4,IF(D187="Qeyri rəsmi gəlir",AB4))</f>
        <v>0.12</v>
      </c>
      <c r="J187" s="547">
        <f>IF(D187="Rəsmi gəlir",AA5,IF(D187="Qeyri rəsmi gəlir",AB5))</f>
        <v>0.16</v>
      </c>
      <c r="K187" s="547">
        <f>IF(D187="Rəsmi gəlir",AA6,IF(D187="Qeyri rəsmi gəlir",AB6))</f>
        <v>0.2</v>
      </c>
      <c r="L187" s="547">
        <f>IF(D187="Rəsmi gəlir",AA7,IF(D187="Qeyri rəsmi gəlir",AB7))</f>
        <v>0.23</v>
      </c>
      <c r="M187" s="547">
        <f>IF(D187="Rəsmi gəlir",AA8,IF(D187="Qeyri rəsmi gəlir",AB8))</f>
        <v>0.25600000000000001</v>
      </c>
      <c r="N187" s="547">
        <f>IF(D187="Rəsmi gəlir",AA9,IF(D187="Qeyri rəsmi gəlir",AB9))</f>
        <v>0.28550000000000003</v>
      </c>
      <c r="O187" s="547">
        <f>IF(D187="Rəsmi gəlir",AA10,IF(D187="Qeyri rəsmi gəlir",AB10))</f>
        <v>0</v>
      </c>
      <c r="P187" s="547" t="b">
        <f t="shared" si="12"/>
        <v>0</v>
      </c>
      <c r="Q187" s="548">
        <f t="shared" si="13"/>
        <v>0</v>
      </c>
      <c r="R187" s="543" t="str">
        <f t="shared" si="15"/>
        <v>-</v>
      </c>
      <c r="S187" s="549"/>
      <c r="T187" s="543" t="e">
        <f t="shared" si="16"/>
        <v>#VALUE!</v>
      </c>
      <c r="U187" s="548" t="e">
        <f t="shared" si="14"/>
        <v>#VALUE!</v>
      </c>
      <c r="V187" s="548" t="e">
        <f t="shared" si="17"/>
        <v>#VALUE!</v>
      </c>
      <c r="W187" s="544"/>
      <c r="X187" s="556"/>
    </row>
    <row r="188" spans="1:24">
      <c r="A188" s="552">
        <v>186</v>
      </c>
      <c r="B188" s="560"/>
      <c r="C188" s="554"/>
      <c r="D188" s="544" t="s">
        <v>799</v>
      </c>
      <c r="E188" s="555"/>
      <c r="F188" s="545">
        <f>E188-(E188*Z13)</f>
        <v>0</v>
      </c>
      <c r="G188" s="546"/>
      <c r="H188" s="547">
        <f>IF(D188="Rəsmi gəlir",AA3,IF(D188="Qeyri rəsmi gəlir",AB3))</f>
        <v>7.0000000000000007E-2</v>
      </c>
      <c r="I188" s="547">
        <f>IF(D188="Rəsmi gəlir",AA4,IF(D188="Qeyri rəsmi gəlir",AB4))</f>
        <v>0.12</v>
      </c>
      <c r="J188" s="547">
        <f>IF(D188="Rəsmi gəlir",AA5,IF(D188="Qeyri rəsmi gəlir",AB5))</f>
        <v>0.16</v>
      </c>
      <c r="K188" s="547">
        <f>IF(D188="Rəsmi gəlir",AA6,IF(D188="Qeyri rəsmi gəlir",AB6))</f>
        <v>0.2</v>
      </c>
      <c r="L188" s="547">
        <f>IF(D188="Rəsmi gəlir",AA7,IF(D188="Qeyri rəsmi gəlir",AB7))</f>
        <v>0.23</v>
      </c>
      <c r="M188" s="547">
        <f>IF(D188="Rəsmi gəlir",AA8,IF(D188="Qeyri rəsmi gəlir",AB8))</f>
        <v>0.25600000000000001</v>
      </c>
      <c r="N188" s="547">
        <f>IF(D188="Rəsmi gəlir",AA9,IF(D188="Qeyri rəsmi gəlir",AB9))</f>
        <v>0.28550000000000003</v>
      </c>
      <c r="O188" s="547">
        <f>IF(D188="Rəsmi gəlir",AA10,IF(D188="Qeyri rəsmi gəlir",AB10))</f>
        <v>0</v>
      </c>
      <c r="P188" s="547" t="b">
        <f t="shared" si="12"/>
        <v>0</v>
      </c>
      <c r="Q188" s="548">
        <f t="shared" si="13"/>
        <v>0</v>
      </c>
      <c r="R188" s="543" t="str">
        <f t="shared" si="15"/>
        <v>-</v>
      </c>
      <c r="S188" s="549"/>
      <c r="T188" s="543" t="e">
        <f t="shared" si="16"/>
        <v>#VALUE!</v>
      </c>
      <c r="U188" s="548" t="e">
        <f t="shared" si="14"/>
        <v>#VALUE!</v>
      </c>
      <c r="V188" s="548" t="e">
        <f t="shared" si="17"/>
        <v>#VALUE!</v>
      </c>
      <c r="W188" s="544"/>
      <c r="X188" s="556"/>
    </row>
    <row r="189" spans="1:24">
      <c r="A189" s="552">
        <v>187</v>
      </c>
      <c r="B189" s="560"/>
      <c r="C189" s="554"/>
      <c r="D189" s="544" t="s">
        <v>799</v>
      </c>
      <c r="E189" s="555"/>
      <c r="F189" s="545">
        <f>E189-(E189*Z13)</f>
        <v>0</v>
      </c>
      <c r="G189" s="546"/>
      <c r="H189" s="547">
        <f>IF(D189="Rəsmi gəlir",AA3,IF(D189="Qeyri rəsmi gəlir",AB3))</f>
        <v>7.0000000000000007E-2</v>
      </c>
      <c r="I189" s="547">
        <f>IF(D189="Rəsmi gəlir",AA4,IF(D189="Qeyri rəsmi gəlir",AB4))</f>
        <v>0.12</v>
      </c>
      <c r="J189" s="547">
        <f>IF(D189="Rəsmi gəlir",AA5,IF(D189="Qeyri rəsmi gəlir",AB5))</f>
        <v>0.16</v>
      </c>
      <c r="K189" s="547">
        <f>IF(D189="Rəsmi gəlir",AA6,IF(D189="Qeyri rəsmi gəlir",AB6))</f>
        <v>0.2</v>
      </c>
      <c r="L189" s="547">
        <f>IF(D189="Rəsmi gəlir",AA7,IF(D189="Qeyri rəsmi gəlir",AB7))</f>
        <v>0.23</v>
      </c>
      <c r="M189" s="547">
        <f>IF(D189="Rəsmi gəlir",AA8,IF(D189="Qeyri rəsmi gəlir",AB8))</f>
        <v>0.25600000000000001</v>
      </c>
      <c r="N189" s="547">
        <f>IF(D189="Rəsmi gəlir",AA9,IF(D189="Qeyri rəsmi gəlir",AB9))</f>
        <v>0.28550000000000003</v>
      </c>
      <c r="O189" s="547">
        <f>IF(D189="Rəsmi gəlir",AA10,IF(D189="Qeyri rəsmi gəlir",AB10))</f>
        <v>0</v>
      </c>
      <c r="P189" s="547" t="b">
        <f t="shared" si="12"/>
        <v>0</v>
      </c>
      <c r="Q189" s="548">
        <f t="shared" si="13"/>
        <v>0</v>
      </c>
      <c r="R189" s="543" t="str">
        <f t="shared" si="15"/>
        <v>-</v>
      </c>
      <c r="S189" s="549"/>
      <c r="T189" s="543" t="e">
        <f t="shared" si="16"/>
        <v>#VALUE!</v>
      </c>
      <c r="U189" s="548" t="e">
        <f t="shared" si="14"/>
        <v>#VALUE!</v>
      </c>
      <c r="V189" s="548" t="e">
        <f t="shared" si="17"/>
        <v>#VALUE!</v>
      </c>
      <c r="W189" s="544"/>
      <c r="X189" s="556"/>
    </row>
    <row r="190" spans="1:24">
      <c r="A190" s="552">
        <v>188</v>
      </c>
      <c r="B190" s="560"/>
      <c r="C190" s="554"/>
      <c r="D190" s="544" t="s">
        <v>799</v>
      </c>
      <c r="E190" s="555"/>
      <c r="F190" s="545">
        <f>E190-(E190*Z13)</f>
        <v>0</v>
      </c>
      <c r="G190" s="546"/>
      <c r="H190" s="547">
        <f>IF(D190="Rəsmi gəlir",AA3,IF(D190="Qeyri rəsmi gəlir",AB3))</f>
        <v>7.0000000000000007E-2</v>
      </c>
      <c r="I190" s="547">
        <f>IF(D190="Rəsmi gəlir",AA4,IF(D190="Qeyri rəsmi gəlir",AB4))</f>
        <v>0.12</v>
      </c>
      <c r="J190" s="547">
        <f>IF(D190="Rəsmi gəlir",AA5,IF(D190="Qeyri rəsmi gəlir",AB5))</f>
        <v>0.16</v>
      </c>
      <c r="K190" s="547">
        <f>IF(D190="Rəsmi gəlir",AA6,IF(D190="Qeyri rəsmi gəlir",AB6))</f>
        <v>0.2</v>
      </c>
      <c r="L190" s="547">
        <f>IF(D190="Rəsmi gəlir",AA7,IF(D190="Qeyri rəsmi gəlir",AB7))</f>
        <v>0.23</v>
      </c>
      <c r="M190" s="547">
        <f>IF(D190="Rəsmi gəlir",AA8,IF(D190="Qeyri rəsmi gəlir",AB8))</f>
        <v>0.25600000000000001</v>
      </c>
      <c r="N190" s="547">
        <f>IF(D190="Rəsmi gəlir",AA9,IF(D190="Qeyri rəsmi gəlir",AB9))</f>
        <v>0.28550000000000003</v>
      </c>
      <c r="O190" s="547">
        <f>IF(D190="Rəsmi gəlir",AA10,IF(D190="Qeyri rəsmi gəlir",AB10))</f>
        <v>0</v>
      </c>
      <c r="P190" s="547" t="b">
        <f t="shared" si="12"/>
        <v>0</v>
      </c>
      <c r="Q190" s="548">
        <f t="shared" si="13"/>
        <v>0</v>
      </c>
      <c r="R190" s="543" t="str">
        <f t="shared" si="15"/>
        <v>-</v>
      </c>
      <c r="S190" s="549"/>
      <c r="T190" s="543" t="e">
        <f t="shared" si="16"/>
        <v>#VALUE!</v>
      </c>
      <c r="U190" s="548" t="e">
        <f t="shared" si="14"/>
        <v>#VALUE!</v>
      </c>
      <c r="V190" s="548" t="e">
        <f t="shared" si="17"/>
        <v>#VALUE!</v>
      </c>
      <c r="W190" s="544"/>
      <c r="X190" s="556"/>
    </row>
    <row r="191" spans="1:24">
      <c r="A191" s="552">
        <v>189</v>
      </c>
      <c r="B191" s="560"/>
      <c r="C191" s="554"/>
      <c r="D191" s="544" t="s">
        <v>799</v>
      </c>
      <c r="E191" s="555"/>
      <c r="F191" s="545">
        <f>E191-(E191*Z13)</f>
        <v>0</v>
      </c>
      <c r="G191" s="546"/>
      <c r="H191" s="547">
        <f>IF(D191="Rəsmi gəlir",AA3,IF(D191="Qeyri rəsmi gəlir",AB3))</f>
        <v>7.0000000000000007E-2</v>
      </c>
      <c r="I191" s="547">
        <f>IF(D191="Rəsmi gəlir",AA4,IF(D191="Qeyri rəsmi gəlir",AB4))</f>
        <v>0.12</v>
      </c>
      <c r="J191" s="547">
        <f>IF(D191="Rəsmi gəlir",AA5,IF(D191="Qeyri rəsmi gəlir",AB5))</f>
        <v>0.16</v>
      </c>
      <c r="K191" s="547">
        <f>IF(D191="Rəsmi gəlir",AA6,IF(D191="Qeyri rəsmi gəlir",AB6))</f>
        <v>0.2</v>
      </c>
      <c r="L191" s="547">
        <f>IF(D191="Rəsmi gəlir",AA7,IF(D191="Qeyri rəsmi gəlir",AB7))</f>
        <v>0.23</v>
      </c>
      <c r="M191" s="547">
        <f>IF(D191="Rəsmi gəlir",AA8,IF(D191="Qeyri rəsmi gəlir",AB8))</f>
        <v>0.25600000000000001</v>
      </c>
      <c r="N191" s="547">
        <f>IF(D191="Rəsmi gəlir",AA9,IF(D191="Qeyri rəsmi gəlir",AB9))</f>
        <v>0.28550000000000003</v>
      </c>
      <c r="O191" s="547">
        <f>IF(D191="Rəsmi gəlir",AA10,IF(D191="Qeyri rəsmi gəlir",AB10))</f>
        <v>0</v>
      </c>
      <c r="P191" s="547" t="b">
        <f t="shared" si="12"/>
        <v>0</v>
      </c>
      <c r="Q191" s="548">
        <f t="shared" si="13"/>
        <v>0</v>
      </c>
      <c r="R191" s="543" t="str">
        <f t="shared" si="15"/>
        <v>-</v>
      </c>
      <c r="S191" s="549"/>
      <c r="T191" s="543" t="e">
        <f t="shared" si="16"/>
        <v>#VALUE!</v>
      </c>
      <c r="U191" s="548" t="e">
        <f t="shared" si="14"/>
        <v>#VALUE!</v>
      </c>
      <c r="V191" s="548" t="e">
        <f t="shared" si="17"/>
        <v>#VALUE!</v>
      </c>
      <c r="W191" s="544"/>
      <c r="X191" s="556"/>
    </row>
    <row r="192" spans="1:24">
      <c r="A192" s="552">
        <v>190</v>
      </c>
      <c r="B192" s="560"/>
      <c r="C192" s="554"/>
      <c r="D192" s="544" t="s">
        <v>799</v>
      </c>
      <c r="E192" s="555"/>
      <c r="F192" s="545">
        <f>E192-(E192*Z13)</f>
        <v>0</v>
      </c>
      <c r="G192" s="546"/>
      <c r="H192" s="547">
        <f>IF(D192="Rəsmi gəlir",AA3,IF(D192="Qeyri rəsmi gəlir",AB3))</f>
        <v>7.0000000000000007E-2</v>
      </c>
      <c r="I192" s="547">
        <f>IF(D192="Rəsmi gəlir",AA4,IF(D192="Qeyri rəsmi gəlir",AB4))</f>
        <v>0.12</v>
      </c>
      <c r="J192" s="547">
        <f>IF(D192="Rəsmi gəlir",AA5,IF(D192="Qeyri rəsmi gəlir",AB5))</f>
        <v>0.16</v>
      </c>
      <c r="K192" s="547">
        <f>IF(D192="Rəsmi gəlir",AA6,IF(D192="Qeyri rəsmi gəlir",AB6))</f>
        <v>0.2</v>
      </c>
      <c r="L192" s="547">
        <f>IF(D192="Rəsmi gəlir",AA7,IF(D192="Qeyri rəsmi gəlir",AB7))</f>
        <v>0.23</v>
      </c>
      <c r="M192" s="547">
        <f>IF(D192="Rəsmi gəlir",AA8,IF(D192="Qeyri rəsmi gəlir",AB8))</f>
        <v>0.25600000000000001</v>
      </c>
      <c r="N192" s="547">
        <f>IF(D192="Rəsmi gəlir",AA9,IF(D192="Qeyri rəsmi gəlir",AB9))</f>
        <v>0.28550000000000003</v>
      </c>
      <c r="O192" s="547">
        <f>IF(D192="Rəsmi gəlir",AA10,IF(D192="Qeyri rəsmi gəlir",AB10))</f>
        <v>0</v>
      </c>
      <c r="P192" s="547" t="b">
        <f t="shared" si="12"/>
        <v>0</v>
      </c>
      <c r="Q192" s="548">
        <f t="shared" si="13"/>
        <v>0</v>
      </c>
      <c r="R192" s="543" t="str">
        <f t="shared" si="15"/>
        <v>-</v>
      </c>
      <c r="S192" s="549"/>
      <c r="T192" s="543" t="e">
        <f t="shared" si="16"/>
        <v>#VALUE!</v>
      </c>
      <c r="U192" s="548" t="e">
        <f t="shared" si="14"/>
        <v>#VALUE!</v>
      </c>
      <c r="V192" s="548" t="e">
        <f t="shared" si="17"/>
        <v>#VALUE!</v>
      </c>
      <c r="W192" s="544"/>
      <c r="X192" s="556"/>
    </row>
    <row r="193" spans="1:24">
      <c r="A193" s="552">
        <v>191</v>
      </c>
      <c r="B193" s="560"/>
      <c r="C193" s="554"/>
      <c r="D193" s="544" t="s">
        <v>799</v>
      </c>
      <c r="E193" s="555"/>
      <c r="F193" s="545">
        <f>E193-(E193*Z13)</f>
        <v>0</v>
      </c>
      <c r="G193" s="546"/>
      <c r="H193" s="547">
        <f>IF(D193="Rəsmi gəlir",AA3,IF(D193="Qeyri rəsmi gəlir",AB3))</f>
        <v>7.0000000000000007E-2</v>
      </c>
      <c r="I193" s="547">
        <f>IF(D193="Rəsmi gəlir",AA4,IF(D193="Qeyri rəsmi gəlir",AB4))</f>
        <v>0.12</v>
      </c>
      <c r="J193" s="547">
        <f>IF(D193="Rəsmi gəlir",AA5,IF(D193="Qeyri rəsmi gəlir",AB5))</f>
        <v>0.16</v>
      </c>
      <c r="K193" s="547">
        <f>IF(D193="Rəsmi gəlir",AA6,IF(D193="Qeyri rəsmi gəlir",AB6))</f>
        <v>0.2</v>
      </c>
      <c r="L193" s="547">
        <f>IF(D193="Rəsmi gəlir",AA7,IF(D193="Qeyri rəsmi gəlir",AB7))</f>
        <v>0.23</v>
      </c>
      <c r="M193" s="547">
        <f>IF(D193="Rəsmi gəlir",AA8,IF(D193="Qeyri rəsmi gəlir",AB8))</f>
        <v>0.25600000000000001</v>
      </c>
      <c r="N193" s="547">
        <f>IF(D193="Rəsmi gəlir",AA9,IF(D193="Qeyri rəsmi gəlir",AB9))</f>
        <v>0.28550000000000003</v>
      </c>
      <c r="O193" s="547">
        <f>IF(D193="Rəsmi gəlir",AA10,IF(D193="Qeyri rəsmi gəlir",AB10))</f>
        <v>0</v>
      </c>
      <c r="P193" s="547" t="b">
        <f t="shared" si="12"/>
        <v>0</v>
      </c>
      <c r="Q193" s="548">
        <f t="shared" si="13"/>
        <v>0</v>
      </c>
      <c r="R193" s="543" t="str">
        <f t="shared" si="15"/>
        <v>-</v>
      </c>
      <c r="S193" s="549"/>
      <c r="T193" s="543" t="e">
        <f t="shared" si="16"/>
        <v>#VALUE!</v>
      </c>
      <c r="U193" s="548" t="e">
        <f t="shared" si="14"/>
        <v>#VALUE!</v>
      </c>
      <c r="V193" s="548" t="e">
        <f t="shared" si="17"/>
        <v>#VALUE!</v>
      </c>
      <c r="W193" s="544"/>
      <c r="X193" s="556"/>
    </row>
    <row r="194" spans="1:24">
      <c r="A194" s="552">
        <v>192</v>
      </c>
      <c r="B194" s="560"/>
      <c r="C194" s="554"/>
      <c r="D194" s="544" t="s">
        <v>799</v>
      </c>
      <c r="E194" s="555"/>
      <c r="F194" s="545">
        <f>E194-(E194*Z13)</f>
        <v>0</v>
      </c>
      <c r="G194" s="546"/>
      <c r="H194" s="547">
        <f>IF(D194="Rəsmi gəlir",AA3,IF(D194="Qeyri rəsmi gəlir",AB3))</f>
        <v>7.0000000000000007E-2</v>
      </c>
      <c r="I194" s="547">
        <f>IF(D194="Rəsmi gəlir",AA4,IF(D194="Qeyri rəsmi gəlir",AB4))</f>
        <v>0.12</v>
      </c>
      <c r="J194" s="547">
        <f>IF(D194="Rəsmi gəlir",AA5,IF(D194="Qeyri rəsmi gəlir",AB5))</f>
        <v>0.16</v>
      </c>
      <c r="K194" s="547">
        <f>IF(D194="Rəsmi gəlir",AA6,IF(D194="Qeyri rəsmi gəlir",AB6))</f>
        <v>0.2</v>
      </c>
      <c r="L194" s="547">
        <f>IF(D194="Rəsmi gəlir",AA7,IF(D194="Qeyri rəsmi gəlir",AB7))</f>
        <v>0.23</v>
      </c>
      <c r="M194" s="547">
        <f>IF(D194="Rəsmi gəlir",AA8,IF(D194="Qeyri rəsmi gəlir",AB8))</f>
        <v>0.25600000000000001</v>
      </c>
      <c r="N194" s="547">
        <f>IF(D194="Rəsmi gəlir",AA9,IF(D194="Qeyri rəsmi gəlir",AB9))</f>
        <v>0.28550000000000003</v>
      </c>
      <c r="O194" s="547">
        <f>IF(D194="Rəsmi gəlir",AA10,IF(D194="Qeyri rəsmi gəlir",AB10))</f>
        <v>0</v>
      </c>
      <c r="P194" s="547" t="b">
        <f t="shared" si="12"/>
        <v>0</v>
      </c>
      <c r="Q194" s="548">
        <f t="shared" si="13"/>
        <v>0</v>
      </c>
      <c r="R194" s="543" t="str">
        <f t="shared" si="15"/>
        <v>-</v>
      </c>
      <c r="S194" s="549"/>
      <c r="T194" s="543" t="e">
        <f t="shared" si="16"/>
        <v>#VALUE!</v>
      </c>
      <c r="U194" s="548" t="e">
        <f t="shared" si="14"/>
        <v>#VALUE!</v>
      </c>
      <c r="V194" s="548" t="e">
        <f t="shared" si="17"/>
        <v>#VALUE!</v>
      </c>
      <c r="W194" s="544"/>
      <c r="X194" s="556"/>
    </row>
    <row r="195" spans="1:24">
      <c r="A195" s="552">
        <v>193</v>
      </c>
      <c r="B195" s="560"/>
      <c r="C195" s="554"/>
      <c r="D195" s="544" t="s">
        <v>799</v>
      </c>
      <c r="E195" s="555"/>
      <c r="F195" s="545">
        <f>E195-(E195*Z13)</f>
        <v>0</v>
      </c>
      <c r="G195" s="546"/>
      <c r="H195" s="547">
        <f>IF(D195="Rəsmi gəlir",AA3,IF(D195="Qeyri rəsmi gəlir",AB3))</f>
        <v>7.0000000000000007E-2</v>
      </c>
      <c r="I195" s="547">
        <f>IF(D195="Rəsmi gəlir",AA4,IF(D195="Qeyri rəsmi gəlir",AB4))</f>
        <v>0.12</v>
      </c>
      <c r="J195" s="547">
        <f>IF(D195="Rəsmi gəlir",AA5,IF(D195="Qeyri rəsmi gəlir",AB5))</f>
        <v>0.16</v>
      </c>
      <c r="K195" s="547">
        <f>IF(D195="Rəsmi gəlir",AA6,IF(D195="Qeyri rəsmi gəlir",AB6))</f>
        <v>0.2</v>
      </c>
      <c r="L195" s="547">
        <f>IF(D195="Rəsmi gəlir",AA7,IF(D195="Qeyri rəsmi gəlir",AB7))</f>
        <v>0.23</v>
      </c>
      <c r="M195" s="547">
        <f>IF(D195="Rəsmi gəlir",AA8,IF(D195="Qeyri rəsmi gəlir",AB8))</f>
        <v>0.25600000000000001</v>
      </c>
      <c r="N195" s="547">
        <f>IF(D195="Rəsmi gəlir",AA9,IF(D195="Qeyri rəsmi gəlir",AB9))</f>
        <v>0.28550000000000003</v>
      </c>
      <c r="O195" s="547">
        <f>IF(D195="Rəsmi gəlir",AA10,IF(D195="Qeyri rəsmi gəlir",AB10))</f>
        <v>0</v>
      </c>
      <c r="P195" s="547" t="b">
        <f t="shared" ref="P195:P258" si="18">IF(G195="2",H195,IF(G195="3",H195,IF(G195="4",I195,IF(G195="5",I195,IF(G195="6",I195,IF(G195="7",J195,IF(G195="8",J195,IF(G195="9",J195,IF(G195="10",K195,IF(G195="11",K195,IF(G195="12",K195,IF(G195="13",L195,IF(G195="14",L195,IF(G195="15",L195,IF(G195="16",M195,IF(G195="17",M195,IF(G195="18",M195,IF(G195="19",N195,IF(G195="20",N195,IF(G195="21",N195,IF(G195="22",O195,IF(G195="23",O195,IF(G195="24",O195)))))))))))))))))))))))</f>
        <v>0</v>
      </c>
      <c r="Q195" s="548">
        <f t="shared" ref="Q195:Q258" si="19">F195*P195</f>
        <v>0</v>
      </c>
      <c r="R195" s="543" t="str">
        <f t="shared" si="15"/>
        <v>-</v>
      </c>
      <c r="S195" s="549"/>
      <c r="T195" s="543" t="e">
        <f t="shared" si="16"/>
        <v>#VALUE!</v>
      </c>
      <c r="U195" s="548" t="e">
        <f t="shared" ref="U195:U258" si="20">F195-(F195*P195)-R195</f>
        <v>#VALUE!</v>
      </c>
      <c r="V195" s="548" t="e">
        <f t="shared" si="17"/>
        <v>#VALUE!</v>
      </c>
      <c r="W195" s="544"/>
      <c r="X195" s="556"/>
    </row>
    <row r="196" spans="1:24">
      <c r="A196" s="552">
        <v>194</v>
      </c>
      <c r="B196" s="560"/>
      <c r="C196" s="554"/>
      <c r="D196" s="544" t="s">
        <v>799</v>
      </c>
      <c r="E196" s="555"/>
      <c r="F196" s="545">
        <f>E196-(E196*Z13)</f>
        <v>0</v>
      </c>
      <c r="G196" s="546"/>
      <c r="H196" s="547">
        <f>IF(D196="Rəsmi gəlir",AA3,IF(D196="Qeyri rəsmi gəlir",AB3))</f>
        <v>7.0000000000000007E-2</v>
      </c>
      <c r="I196" s="547">
        <f>IF(D196="Rəsmi gəlir",AA4,IF(D196="Qeyri rəsmi gəlir",AB4))</f>
        <v>0.12</v>
      </c>
      <c r="J196" s="547">
        <f>IF(D196="Rəsmi gəlir",AA5,IF(D196="Qeyri rəsmi gəlir",AB5))</f>
        <v>0.16</v>
      </c>
      <c r="K196" s="547">
        <f>IF(D196="Rəsmi gəlir",AA6,IF(D196="Qeyri rəsmi gəlir",AB6))</f>
        <v>0.2</v>
      </c>
      <c r="L196" s="547">
        <f>IF(D196="Rəsmi gəlir",AA7,IF(D196="Qeyri rəsmi gəlir",AB7))</f>
        <v>0.23</v>
      </c>
      <c r="M196" s="547">
        <f>IF(D196="Rəsmi gəlir",AA8,IF(D196="Qeyri rəsmi gəlir",AB8))</f>
        <v>0.25600000000000001</v>
      </c>
      <c r="N196" s="547">
        <f>IF(D196="Rəsmi gəlir",AA9,IF(D196="Qeyri rəsmi gəlir",AB9))</f>
        <v>0.28550000000000003</v>
      </c>
      <c r="O196" s="547">
        <f>IF(D196="Rəsmi gəlir",AA10,IF(D196="Qeyri rəsmi gəlir",AB10))</f>
        <v>0</v>
      </c>
      <c r="P196" s="547" t="b">
        <f t="shared" si="18"/>
        <v>0</v>
      </c>
      <c r="Q196" s="548">
        <f t="shared" si="19"/>
        <v>0</v>
      </c>
      <c r="R196" s="543" t="str">
        <f t="shared" ref="R196:R259" si="21">IF(Q196&lt;=0,"-",IF(Q196&gt;0,9))</f>
        <v>-</v>
      </c>
      <c r="S196" s="549"/>
      <c r="T196" s="543" t="e">
        <f t="shared" ref="T196:T259" si="22">U196*S196</f>
        <v>#VALUE!</v>
      </c>
      <c r="U196" s="548" t="e">
        <f t="shared" si="20"/>
        <v>#VALUE!</v>
      </c>
      <c r="V196" s="548" t="e">
        <f t="shared" ref="V196:V259" si="23">U196-T196</f>
        <v>#VALUE!</v>
      </c>
      <c r="W196" s="544"/>
      <c r="X196" s="556"/>
    </row>
    <row r="197" spans="1:24">
      <c r="A197" s="552">
        <v>195</v>
      </c>
      <c r="B197" s="560"/>
      <c r="C197" s="554"/>
      <c r="D197" s="544" t="s">
        <v>799</v>
      </c>
      <c r="E197" s="555"/>
      <c r="F197" s="545">
        <f>E197-(E197*Z13)</f>
        <v>0</v>
      </c>
      <c r="G197" s="546"/>
      <c r="H197" s="547">
        <f>IF(D197="Rəsmi gəlir",AA3,IF(D197="Qeyri rəsmi gəlir",AB3))</f>
        <v>7.0000000000000007E-2</v>
      </c>
      <c r="I197" s="547">
        <f>IF(D197="Rəsmi gəlir",AA4,IF(D197="Qeyri rəsmi gəlir",AB4))</f>
        <v>0.12</v>
      </c>
      <c r="J197" s="547">
        <f>IF(D197="Rəsmi gəlir",AA5,IF(D197="Qeyri rəsmi gəlir",AB5))</f>
        <v>0.16</v>
      </c>
      <c r="K197" s="547">
        <f>IF(D197="Rəsmi gəlir",AA6,IF(D197="Qeyri rəsmi gəlir",AB6))</f>
        <v>0.2</v>
      </c>
      <c r="L197" s="547">
        <f>IF(D197="Rəsmi gəlir",AA7,IF(D197="Qeyri rəsmi gəlir",AB7))</f>
        <v>0.23</v>
      </c>
      <c r="M197" s="547">
        <f>IF(D197="Rəsmi gəlir",AA8,IF(D197="Qeyri rəsmi gəlir",AB8))</f>
        <v>0.25600000000000001</v>
      </c>
      <c r="N197" s="547">
        <f>IF(D197="Rəsmi gəlir",AA9,IF(D197="Qeyri rəsmi gəlir",AB9))</f>
        <v>0.28550000000000003</v>
      </c>
      <c r="O197" s="547">
        <f>IF(D197="Rəsmi gəlir",AA10,IF(D197="Qeyri rəsmi gəlir",AB10))</f>
        <v>0</v>
      </c>
      <c r="P197" s="547" t="b">
        <f t="shared" si="18"/>
        <v>0</v>
      </c>
      <c r="Q197" s="548">
        <f t="shared" si="19"/>
        <v>0</v>
      </c>
      <c r="R197" s="543" t="str">
        <f t="shared" si="21"/>
        <v>-</v>
      </c>
      <c r="S197" s="549"/>
      <c r="T197" s="543" t="e">
        <f t="shared" si="22"/>
        <v>#VALUE!</v>
      </c>
      <c r="U197" s="548" t="e">
        <f t="shared" si="20"/>
        <v>#VALUE!</v>
      </c>
      <c r="V197" s="548" t="e">
        <f t="shared" si="23"/>
        <v>#VALUE!</v>
      </c>
      <c r="W197" s="544"/>
      <c r="X197" s="556"/>
    </row>
    <row r="198" spans="1:24">
      <c r="A198" s="552">
        <v>196</v>
      </c>
      <c r="B198" s="560"/>
      <c r="C198" s="554"/>
      <c r="D198" s="544" t="s">
        <v>799</v>
      </c>
      <c r="E198" s="555"/>
      <c r="F198" s="545">
        <f>E198-(E198*Z13)</f>
        <v>0</v>
      </c>
      <c r="G198" s="546"/>
      <c r="H198" s="547">
        <f>IF(D198="Rəsmi gəlir",AA3,IF(D198="Qeyri rəsmi gəlir",AB3))</f>
        <v>7.0000000000000007E-2</v>
      </c>
      <c r="I198" s="547">
        <f>IF(D198="Rəsmi gəlir",AA4,IF(D198="Qeyri rəsmi gəlir",AB4))</f>
        <v>0.12</v>
      </c>
      <c r="J198" s="547">
        <f>IF(D198="Rəsmi gəlir",AA5,IF(D198="Qeyri rəsmi gəlir",AB5))</f>
        <v>0.16</v>
      </c>
      <c r="K198" s="547">
        <f>IF(D198="Rəsmi gəlir",AA6,IF(D198="Qeyri rəsmi gəlir",AB6))</f>
        <v>0.2</v>
      </c>
      <c r="L198" s="547">
        <f>IF(D198="Rəsmi gəlir",AA7,IF(D198="Qeyri rəsmi gəlir",AB7))</f>
        <v>0.23</v>
      </c>
      <c r="M198" s="547">
        <f>IF(D198="Rəsmi gəlir",AA8,IF(D198="Qeyri rəsmi gəlir",AB8))</f>
        <v>0.25600000000000001</v>
      </c>
      <c r="N198" s="547">
        <f>IF(D198="Rəsmi gəlir",AA9,IF(D198="Qeyri rəsmi gəlir",AB9))</f>
        <v>0.28550000000000003</v>
      </c>
      <c r="O198" s="547">
        <f>IF(D198="Rəsmi gəlir",AA10,IF(D198="Qeyri rəsmi gəlir",AB10))</f>
        <v>0</v>
      </c>
      <c r="P198" s="547" t="b">
        <f t="shared" si="18"/>
        <v>0</v>
      </c>
      <c r="Q198" s="548">
        <f t="shared" si="19"/>
        <v>0</v>
      </c>
      <c r="R198" s="543" t="str">
        <f t="shared" si="21"/>
        <v>-</v>
      </c>
      <c r="S198" s="549"/>
      <c r="T198" s="543" t="e">
        <f t="shared" si="22"/>
        <v>#VALUE!</v>
      </c>
      <c r="U198" s="548" t="e">
        <f t="shared" si="20"/>
        <v>#VALUE!</v>
      </c>
      <c r="V198" s="548" t="e">
        <f t="shared" si="23"/>
        <v>#VALUE!</v>
      </c>
      <c r="W198" s="544"/>
      <c r="X198" s="556"/>
    </row>
    <row r="199" spans="1:24">
      <c r="A199" s="552">
        <v>197</v>
      </c>
      <c r="B199" s="560"/>
      <c r="C199" s="554"/>
      <c r="D199" s="544" t="s">
        <v>799</v>
      </c>
      <c r="E199" s="555"/>
      <c r="F199" s="545">
        <f>E199-(E199*Z13)</f>
        <v>0</v>
      </c>
      <c r="G199" s="546"/>
      <c r="H199" s="547">
        <f>IF(D199="Rəsmi gəlir",AA3,IF(D199="Qeyri rəsmi gəlir",AB3))</f>
        <v>7.0000000000000007E-2</v>
      </c>
      <c r="I199" s="547">
        <f>IF(D199="Rəsmi gəlir",AA4,IF(D199="Qeyri rəsmi gəlir",AB4))</f>
        <v>0.12</v>
      </c>
      <c r="J199" s="547">
        <f>IF(D199="Rəsmi gəlir",AA5,IF(D199="Qeyri rəsmi gəlir",AB5))</f>
        <v>0.16</v>
      </c>
      <c r="K199" s="547">
        <f>IF(D199="Rəsmi gəlir",AA6,IF(D199="Qeyri rəsmi gəlir",AB6))</f>
        <v>0.2</v>
      </c>
      <c r="L199" s="547">
        <f>IF(D199="Rəsmi gəlir",AA7,IF(D199="Qeyri rəsmi gəlir",AB7))</f>
        <v>0.23</v>
      </c>
      <c r="M199" s="547">
        <f>IF(D199="Rəsmi gəlir",AA8,IF(D199="Qeyri rəsmi gəlir",AB8))</f>
        <v>0.25600000000000001</v>
      </c>
      <c r="N199" s="547">
        <f>IF(D199="Rəsmi gəlir",AA9,IF(D199="Qeyri rəsmi gəlir",AB9))</f>
        <v>0.28550000000000003</v>
      </c>
      <c r="O199" s="547">
        <f>IF(D199="Rəsmi gəlir",AA10,IF(D199="Qeyri rəsmi gəlir",AB10))</f>
        <v>0</v>
      </c>
      <c r="P199" s="547" t="b">
        <f t="shared" si="18"/>
        <v>0</v>
      </c>
      <c r="Q199" s="548">
        <f t="shared" si="19"/>
        <v>0</v>
      </c>
      <c r="R199" s="543" t="str">
        <f t="shared" si="21"/>
        <v>-</v>
      </c>
      <c r="S199" s="549"/>
      <c r="T199" s="543" t="e">
        <f t="shared" si="22"/>
        <v>#VALUE!</v>
      </c>
      <c r="U199" s="548" t="e">
        <f t="shared" si="20"/>
        <v>#VALUE!</v>
      </c>
      <c r="V199" s="548" t="e">
        <f t="shared" si="23"/>
        <v>#VALUE!</v>
      </c>
      <c r="W199" s="544"/>
      <c r="X199" s="556"/>
    </row>
    <row r="200" spans="1:24">
      <c r="A200" s="552">
        <v>198</v>
      </c>
      <c r="B200" s="560"/>
      <c r="C200" s="554"/>
      <c r="D200" s="544" t="s">
        <v>799</v>
      </c>
      <c r="E200" s="555"/>
      <c r="F200" s="545">
        <f>E200-(E200*Z13)</f>
        <v>0</v>
      </c>
      <c r="G200" s="546"/>
      <c r="H200" s="547">
        <f>IF(D200="Rəsmi gəlir",AA3,IF(D200="Qeyri rəsmi gəlir",AB3))</f>
        <v>7.0000000000000007E-2</v>
      </c>
      <c r="I200" s="547">
        <f>IF(D200="Rəsmi gəlir",AA4,IF(D200="Qeyri rəsmi gəlir",AB4))</f>
        <v>0.12</v>
      </c>
      <c r="J200" s="547">
        <f>IF(D200="Rəsmi gəlir",AA5,IF(D200="Qeyri rəsmi gəlir",AB5))</f>
        <v>0.16</v>
      </c>
      <c r="K200" s="547">
        <f>IF(D200="Rəsmi gəlir",AA6,IF(D200="Qeyri rəsmi gəlir",AB6))</f>
        <v>0.2</v>
      </c>
      <c r="L200" s="547">
        <f>IF(D200="Rəsmi gəlir",AA7,IF(D200="Qeyri rəsmi gəlir",AB7))</f>
        <v>0.23</v>
      </c>
      <c r="M200" s="547">
        <f>IF(D200="Rəsmi gəlir",AA8,IF(D200="Qeyri rəsmi gəlir",AB8))</f>
        <v>0.25600000000000001</v>
      </c>
      <c r="N200" s="547">
        <f>IF(D200="Rəsmi gəlir",AA9,IF(D200="Qeyri rəsmi gəlir",AB9))</f>
        <v>0.28550000000000003</v>
      </c>
      <c r="O200" s="547">
        <f>IF(D200="Rəsmi gəlir",AA10,IF(D200="Qeyri rəsmi gəlir",AB10))</f>
        <v>0</v>
      </c>
      <c r="P200" s="547" t="b">
        <f t="shared" si="18"/>
        <v>0</v>
      </c>
      <c r="Q200" s="548">
        <f t="shared" si="19"/>
        <v>0</v>
      </c>
      <c r="R200" s="543" t="str">
        <f t="shared" si="21"/>
        <v>-</v>
      </c>
      <c r="S200" s="549"/>
      <c r="T200" s="543" t="e">
        <f t="shared" si="22"/>
        <v>#VALUE!</v>
      </c>
      <c r="U200" s="548" t="e">
        <f t="shared" si="20"/>
        <v>#VALUE!</v>
      </c>
      <c r="V200" s="548" t="e">
        <f t="shared" si="23"/>
        <v>#VALUE!</v>
      </c>
      <c r="W200" s="544"/>
      <c r="X200" s="556"/>
    </row>
    <row r="201" spans="1:24">
      <c r="A201" s="552">
        <v>199</v>
      </c>
      <c r="B201" s="560"/>
      <c r="C201" s="554"/>
      <c r="D201" s="544" t="s">
        <v>799</v>
      </c>
      <c r="E201" s="555"/>
      <c r="F201" s="545">
        <f>E201-(E201*Z13)</f>
        <v>0</v>
      </c>
      <c r="G201" s="546"/>
      <c r="H201" s="547">
        <f>IF(D201="Rəsmi gəlir",AA3,IF(D201="Qeyri rəsmi gəlir",AB3))</f>
        <v>7.0000000000000007E-2</v>
      </c>
      <c r="I201" s="547">
        <f>IF(D201="Rəsmi gəlir",AA4,IF(D201="Qeyri rəsmi gəlir",AB4))</f>
        <v>0.12</v>
      </c>
      <c r="J201" s="547">
        <f>IF(D201="Rəsmi gəlir",AA5,IF(D201="Qeyri rəsmi gəlir",AB5))</f>
        <v>0.16</v>
      </c>
      <c r="K201" s="547">
        <f>IF(D201="Rəsmi gəlir",AA6,IF(D201="Qeyri rəsmi gəlir",AB6))</f>
        <v>0.2</v>
      </c>
      <c r="L201" s="547">
        <f>IF(D201="Rəsmi gəlir",AA7,IF(D201="Qeyri rəsmi gəlir",AB7))</f>
        <v>0.23</v>
      </c>
      <c r="M201" s="547">
        <f>IF(D201="Rəsmi gəlir",AA8,IF(D201="Qeyri rəsmi gəlir",AB8))</f>
        <v>0.25600000000000001</v>
      </c>
      <c r="N201" s="547">
        <f>IF(D201="Rəsmi gəlir",AA9,IF(D201="Qeyri rəsmi gəlir",AB9))</f>
        <v>0.28550000000000003</v>
      </c>
      <c r="O201" s="547">
        <f>IF(D201="Rəsmi gəlir",AA10,IF(D201="Qeyri rəsmi gəlir",AB10))</f>
        <v>0</v>
      </c>
      <c r="P201" s="547" t="b">
        <f t="shared" si="18"/>
        <v>0</v>
      </c>
      <c r="Q201" s="548">
        <f t="shared" si="19"/>
        <v>0</v>
      </c>
      <c r="R201" s="543" t="str">
        <f t="shared" si="21"/>
        <v>-</v>
      </c>
      <c r="S201" s="549"/>
      <c r="T201" s="543" t="e">
        <f t="shared" si="22"/>
        <v>#VALUE!</v>
      </c>
      <c r="U201" s="548" t="e">
        <f t="shared" si="20"/>
        <v>#VALUE!</v>
      </c>
      <c r="V201" s="548" t="e">
        <f t="shared" si="23"/>
        <v>#VALUE!</v>
      </c>
      <c r="W201" s="544"/>
      <c r="X201" s="556"/>
    </row>
    <row r="202" spans="1:24">
      <c r="A202" s="552">
        <v>200</v>
      </c>
      <c r="B202" s="560"/>
      <c r="C202" s="554"/>
      <c r="D202" s="544" t="s">
        <v>799</v>
      </c>
      <c r="E202" s="555"/>
      <c r="F202" s="545">
        <f>E202-(E202*Z13)</f>
        <v>0</v>
      </c>
      <c r="G202" s="546"/>
      <c r="H202" s="547">
        <f>IF(D202="Rəsmi gəlir",AA3,IF(D202="Qeyri rəsmi gəlir",AB3))</f>
        <v>7.0000000000000007E-2</v>
      </c>
      <c r="I202" s="547">
        <f>IF(D202="Rəsmi gəlir",AA4,IF(D202="Qeyri rəsmi gəlir",AB4))</f>
        <v>0.12</v>
      </c>
      <c r="J202" s="547">
        <f>IF(D202="Rəsmi gəlir",AA5,IF(D202="Qeyri rəsmi gəlir",AB5))</f>
        <v>0.16</v>
      </c>
      <c r="K202" s="547">
        <f>IF(D202="Rəsmi gəlir",AA6,IF(D202="Qeyri rəsmi gəlir",AB6))</f>
        <v>0.2</v>
      </c>
      <c r="L202" s="547">
        <f>IF(D202="Rəsmi gəlir",AA7,IF(D202="Qeyri rəsmi gəlir",AB7))</f>
        <v>0.23</v>
      </c>
      <c r="M202" s="547">
        <f>IF(D202="Rəsmi gəlir",AA8,IF(D202="Qeyri rəsmi gəlir",AB8))</f>
        <v>0.25600000000000001</v>
      </c>
      <c r="N202" s="547">
        <f>IF(D202="Rəsmi gəlir",AA9,IF(D202="Qeyri rəsmi gəlir",AB9))</f>
        <v>0.28550000000000003</v>
      </c>
      <c r="O202" s="547">
        <f>IF(D202="Rəsmi gəlir",AA10,IF(D202="Qeyri rəsmi gəlir",AB10))</f>
        <v>0</v>
      </c>
      <c r="P202" s="547" t="b">
        <f t="shared" si="18"/>
        <v>0</v>
      </c>
      <c r="Q202" s="548">
        <f t="shared" si="19"/>
        <v>0</v>
      </c>
      <c r="R202" s="543" t="str">
        <f t="shared" si="21"/>
        <v>-</v>
      </c>
      <c r="S202" s="549"/>
      <c r="T202" s="543" t="e">
        <f t="shared" si="22"/>
        <v>#VALUE!</v>
      </c>
      <c r="U202" s="548" t="e">
        <f t="shared" si="20"/>
        <v>#VALUE!</v>
      </c>
      <c r="V202" s="548" t="e">
        <f t="shared" si="23"/>
        <v>#VALUE!</v>
      </c>
      <c r="W202" s="544"/>
      <c r="X202" s="556"/>
    </row>
    <row r="203" spans="1:24">
      <c r="A203" s="552">
        <v>201</v>
      </c>
      <c r="B203" s="560"/>
      <c r="C203" s="554"/>
      <c r="D203" s="544" t="s">
        <v>799</v>
      </c>
      <c r="E203" s="555"/>
      <c r="F203" s="545">
        <f>E203-(E203*Z13)</f>
        <v>0</v>
      </c>
      <c r="G203" s="546"/>
      <c r="H203" s="547">
        <f>IF(D203="Rəsmi gəlir",AA3,IF(D203="Qeyri rəsmi gəlir",AB3))</f>
        <v>7.0000000000000007E-2</v>
      </c>
      <c r="I203" s="547">
        <f>IF(D203="Rəsmi gəlir",AA4,IF(D203="Qeyri rəsmi gəlir",AB4))</f>
        <v>0.12</v>
      </c>
      <c r="J203" s="547">
        <f>IF(D203="Rəsmi gəlir",AA5,IF(D203="Qeyri rəsmi gəlir",AB5))</f>
        <v>0.16</v>
      </c>
      <c r="K203" s="547">
        <f>IF(D203="Rəsmi gəlir",AA6,IF(D203="Qeyri rəsmi gəlir",AB6))</f>
        <v>0.2</v>
      </c>
      <c r="L203" s="547">
        <f>IF(D203="Rəsmi gəlir",AA7,IF(D203="Qeyri rəsmi gəlir",AB7))</f>
        <v>0.23</v>
      </c>
      <c r="M203" s="547">
        <f>IF(D203="Rəsmi gəlir",AA8,IF(D203="Qeyri rəsmi gəlir",AB8))</f>
        <v>0.25600000000000001</v>
      </c>
      <c r="N203" s="547">
        <f>IF(D203="Rəsmi gəlir",AA9,IF(D203="Qeyri rəsmi gəlir",AB9))</f>
        <v>0.28550000000000003</v>
      </c>
      <c r="O203" s="547">
        <f>IF(D203="Rəsmi gəlir",AA10,IF(D203="Qeyri rəsmi gəlir",AB10))</f>
        <v>0</v>
      </c>
      <c r="P203" s="547" t="b">
        <f t="shared" si="18"/>
        <v>0</v>
      </c>
      <c r="Q203" s="548">
        <f t="shared" si="19"/>
        <v>0</v>
      </c>
      <c r="R203" s="543" t="str">
        <f t="shared" si="21"/>
        <v>-</v>
      </c>
      <c r="S203" s="549"/>
      <c r="T203" s="543" t="e">
        <f t="shared" si="22"/>
        <v>#VALUE!</v>
      </c>
      <c r="U203" s="548" t="e">
        <f t="shared" si="20"/>
        <v>#VALUE!</v>
      </c>
      <c r="V203" s="548" t="e">
        <f t="shared" si="23"/>
        <v>#VALUE!</v>
      </c>
      <c r="W203" s="544"/>
      <c r="X203" s="556"/>
    </row>
    <row r="204" spans="1:24">
      <c r="A204" s="552">
        <v>202</v>
      </c>
      <c r="B204" s="560"/>
      <c r="C204" s="554"/>
      <c r="D204" s="544" t="s">
        <v>799</v>
      </c>
      <c r="E204" s="555"/>
      <c r="F204" s="545">
        <f>E204-(E204*Z13)</f>
        <v>0</v>
      </c>
      <c r="G204" s="546"/>
      <c r="H204" s="547">
        <f>IF(D204="Rəsmi gəlir",AA3,IF(D204="Qeyri rəsmi gəlir",AB3))</f>
        <v>7.0000000000000007E-2</v>
      </c>
      <c r="I204" s="547">
        <f>IF(D204="Rəsmi gəlir",AA4,IF(D204="Qeyri rəsmi gəlir",AB4))</f>
        <v>0.12</v>
      </c>
      <c r="J204" s="547">
        <f>IF(D204="Rəsmi gəlir",AA5,IF(D204="Qeyri rəsmi gəlir",AB5))</f>
        <v>0.16</v>
      </c>
      <c r="K204" s="547">
        <f>IF(D204="Rəsmi gəlir",AA6,IF(D204="Qeyri rəsmi gəlir",AB6))</f>
        <v>0.2</v>
      </c>
      <c r="L204" s="547">
        <f>IF(D204="Rəsmi gəlir",AA7,IF(D204="Qeyri rəsmi gəlir",AB7))</f>
        <v>0.23</v>
      </c>
      <c r="M204" s="547">
        <f>IF(D204="Rəsmi gəlir",AA8,IF(D204="Qeyri rəsmi gəlir",AB8))</f>
        <v>0.25600000000000001</v>
      </c>
      <c r="N204" s="547">
        <f>IF(D204="Rəsmi gəlir",AA9,IF(D204="Qeyri rəsmi gəlir",AB9))</f>
        <v>0.28550000000000003</v>
      </c>
      <c r="O204" s="547">
        <f>IF(D204="Rəsmi gəlir",AA10,IF(D204="Qeyri rəsmi gəlir",AB10))</f>
        <v>0</v>
      </c>
      <c r="P204" s="547" t="b">
        <f t="shared" si="18"/>
        <v>0</v>
      </c>
      <c r="Q204" s="548">
        <f t="shared" si="19"/>
        <v>0</v>
      </c>
      <c r="R204" s="543" t="str">
        <f t="shared" si="21"/>
        <v>-</v>
      </c>
      <c r="S204" s="549"/>
      <c r="T204" s="543" t="e">
        <f t="shared" si="22"/>
        <v>#VALUE!</v>
      </c>
      <c r="U204" s="548" t="e">
        <f t="shared" si="20"/>
        <v>#VALUE!</v>
      </c>
      <c r="V204" s="548" t="e">
        <f t="shared" si="23"/>
        <v>#VALUE!</v>
      </c>
      <c r="W204" s="544"/>
      <c r="X204" s="556"/>
    </row>
    <row r="205" spans="1:24">
      <c r="A205" s="552">
        <v>203</v>
      </c>
      <c r="B205" s="560"/>
      <c r="C205" s="554"/>
      <c r="D205" s="544" t="s">
        <v>799</v>
      </c>
      <c r="E205" s="555"/>
      <c r="F205" s="545">
        <f>E205-(E205*Z13)</f>
        <v>0</v>
      </c>
      <c r="G205" s="546"/>
      <c r="H205" s="547">
        <f>IF(D205="Rəsmi gəlir",AA3,IF(D205="Qeyri rəsmi gəlir",AB3))</f>
        <v>7.0000000000000007E-2</v>
      </c>
      <c r="I205" s="547">
        <f>IF(D205="Rəsmi gəlir",AA4,IF(D205="Qeyri rəsmi gəlir",AB4))</f>
        <v>0.12</v>
      </c>
      <c r="J205" s="547">
        <f>IF(D205="Rəsmi gəlir",AA5,IF(D205="Qeyri rəsmi gəlir",AB5))</f>
        <v>0.16</v>
      </c>
      <c r="K205" s="547">
        <f>IF(D205="Rəsmi gəlir",AA6,IF(D205="Qeyri rəsmi gəlir",AB6))</f>
        <v>0.2</v>
      </c>
      <c r="L205" s="547">
        <f>IF(D205="Rəsmi gəlir",AA7,IF(D205="Qeyri rəsmi gəlir",AB7))</f>
        <v>0.23</v>
      </c>
      <c r="M205" s="547">
        <f>IF(D205="Rəsmi gəlir",AA8,IF(D205="Qeyri rəsmi gəlir",AB8))</f>
        <v>0.25600000000000001</v>
      </c>
      <c r="N205" s="547">
        <f>IF(D205="Rəsmi gəlir",AA9,IF(D205="Qeyri rəsmi gəlir",AB9))</f>
        <v>0.28550000000000003</v>
      </c>
      <c r="O205" s="547">
        <f>IF(D205="Rəsmi gəlir",AA10,IF(D205="Qeyri rəsmi gəlir",AB10))</f>
        <v>0</v>
      </c>
      <c r="P205" s="547" t="b">
        <f t="shared" si="18"/>
        <v>0</v>
      </c>
      <c r="Q205" s="548">
        <f t="shared" si="19"/>
        <v>0</v>
      </c>
      <c r="R205" s="543" t="str">
        <f t="shared" si="21"/>
        <v>-</v>
      </c>
      <c r="S205" s="549"/>
      <c r="T205" s="543" t="e">
        <f t="shared" si="22"/>
        <v>#VALUE!</v>
      </c>
      <c r="U205" s="548" t="e">
        <f t="shared" si="20"/>
        <v>#VALUE!</v>
      </c>
      <c r="V205" s="548" t="e">
        <f t="shared" si="23"/>
        <v>#VALUE!</v>
      </c>
      <c r="W205" s="544"/>
      <c r="X205" s="556"/>
    </row>
    <row r="206" spans="1:24">
      <c r="A206" s="552">
        <v>204</v>
      </c>
      <c r="B206" s="560"/>
      <c r="C206" s="554"/>
      <c r="D206" s="544" t="s">
        <v>799</v>
      </c>
      <c r="E206" s="555"/>
      <c r="F206" s="545">
        <f>E206-(E206*Z13)</f>
        <v>0</v>
      </c>
      <c r="G206" s="546"/>
      <c r="H206" s="547">
        <f>IF(D206="Rəsmi gəlir",AA3,IF(D206="Qeyri rəsmi gəlir",AB3))</f>
        <v>7.0000000000000007E-2</v>
      </c>
      <c r="I206" s="547">
        <f>IF(D206="Rəsmi gəlir",AA4,IF(D206="Qeyri rəsmi gəlir",AB4))</f>
        <v>0.12</v>
      </c>
      <c r="J206" s="547">
        <f>IF(D206="Rəsmi gəlir",AA5,IF(D206="Qeyri rəsmi gəlir",AB5))</f>
        <v>0.16</v>
      </c>
      <c r="K206" s="547">
        <f>IF(D206="Rəsmi gəlir",AA6,IF(D206="Qeyri rəsmi gəlir",AB6))</f>
        <v>0.2</v>
      </c>
      <c r="L206" s="547">
        <f>IF(D206="Rəsmi gəlir",AA7,IF(D206="Qeyri rəsmi gəlir",AB7))</f>
        <v>0.23</v>
      </c>
      <c r="M206" s="547">
        <f>IF(D206="Rəsmi gəlir",AA8,IF(D206="Qeyri rəsmi gəlir",AB8))</f>
        <v>0.25600000000000001</v>
      </c>
      <c r="N206" s="547">
        <f>IF(D206="Rəsmi gəlir",AA9,IF(D206="Qeyri rəsmi gəlir",AB9))</f>
        <v>0.28550000000000003</v>
      </c>
      <c r="O206" s="547">
        <f>IF(D206="Rəsmi gəlir",AA10,IF(D206="Qeyri rəsmi gəlir",AB10))</f>
        <v>0</v>
      </c>
      <c r="P206" s="547" t="b">
        <f t="shared" si="18"/>
        <v>0</v>
      </c>
      <c r="Q206" s="548">
        <f t="shared" si="19"/>
        <v>0</v>
      </c>
      <c r="R206" s="543" t="str">
        <f t="shared" si="21"/>
        <v>-</v>
      </c>
      <c r="S206" s="549"/>
      <c r="T206" s="543" t="e">
        <f t="shared" si="22"/>
        <v>#VALUE!</v>
      </c>
      <c r="U206" s="548" t="e">
        <f t="shared" si="20"/>
        <v>#VALUE!</v>
      </c>
      <c r="V206" s="548" t="e">
        <f t="shared" si="23"/>
        <v>#VALUE!</v>
      </c>
      <c r="W206" s="544"/>
      <c r="X206" s="556"/>
    </row>
    <row r="207" spans="1:24">
      <c r="A207" s="552">
        <v>205</v>
      </c>
      <c r="B207" s="560"/>
      <c r="C207" s="554"/>
      <c r="D207" s="544" t="s">
        <v>799</v>
      </c>
      <c r="E207" s="555"/>
      <c r="F207" s="545">
        <f>E207-(E207*Z13)</f>
        <v>0</v>
      </c>
      <c r="G207" s="546"/>
      <c r="H207" s="547">
        <f>IF(D207="Rəsmi gəlir",AA3,IF(D207="Qeyri rəsmi gəlir",AB3))</f>
        <v>7.0000000000000007E-2</v>
      </c>
      <c r="I207" s="547">
        <f>IF(D207="Rəsmi gəlir",AA4,IF(D207="Qeyri rəsmi gəlir",AB4))</f>
        <v>0.12</v>
      </c>
      <c r="J207" s="547">
        <f>IF(D207="Rəsmi gəlir",AA5,IF(D207="Qeyri rəsmi gəlir",AB5))</f>
        <v>0.16</v>
      </c>
      <c r="K207" s="547">
        <f>IF(D207="Rəsmi gəlir",AA6,IF(D207="Qeyri rəsmi gəlir",AB6))</f>
        <v>0.2</v>
      </c>
      <c r="L207" s="547">
        <f>IF(D207="Rəsmi gəlir",AA7,IF(D207="Qeyri rəsmi gəlir",AB7))</f>
        <v>0.23</v>
      </c>
      <c r="M207" s="547">
        <f>IF(D207="Rəsmi gəlir",AA8,IF(D207="Qeyri rəsmi gəlir",AB8))</f>
        <v>0.25600000000000001</v>
      </c>
      <c r="N207" s="547">
        <f>IF(D207="Rəsmi gəlir",AA9,IF(D207="Qeyri rəsmi gəlir",AB9))</f>
        <v>0.28550000000000003</v>
      </c>
      <c r="O207" s="547">
        <f>IF(D207="Rəsmi gəlir",AA10,IF(D207="Qeyri rəsmi gəlir",AB10))</f>
        <v>0</v>
      </c>
      <c r="P207" s="547" t="b">
        <f t="shared" si="18"/>
        <v>0</v>
      </c>
      <c r="Q207" s="548">
        <f t="shared" si="19"/>
        <v>0</v>
      </c>
      <c r="R207" s="543" t="str">
        <f t="shared" si="21"/>
        <v>-</v>
      </c>
      <c r="S207" s="549"/>
      <c r="T207" s="543" t="e">
        <f t="shared" si="22"/>
        <v>#VALUE!</v>
      </c>
      <c r="U207" s="548" t="e">
        <f t="shared" si="20"/>
        <v>#VALUE!</v>
      </c>
      <c r="V207" s="548" t="e">
        <f t="shared" si="23"/>
        <v>#VALUE!</v>
      </c>
      <c r="W207" s="544"/>
      <c r="X207" s="556"/>
    </row>
    <row r="208" spans="1:24">
      <c r="A208" s="552">
        <v>206</v>
      </c>
      <c r="B208" s="560"/>
      <c r="C208" s="554"/>
      <c r="D208" s="544" t="s">
        <v>799</v>
      </c>
      <c r="E208" s="555"/>
      <c r="F208" s="545">
        <f>E208-(E208*Z13)</f>
        <v>0</v>
      </c>
      <c r="G208" s="546"/>
      <c r="H208" s="547">
        <f>IF(D208="Rəsmi gəlir",AA3,IF(D208="Qeyri rəsmi gəlir",AB3))</f>
        <v>7.0000000000000007E-2</v>
      </c>
      <c r="I208" s="547">
        <f>IF(D208="Rəsmi gəlir",AA4,IF(D208="Qeyri rəsmi gəlir",AB4))</f>
        <v>0.12</v>
      </c>
      <c r="J208" s="547">
        <f>IF(D208="Rəsmi gəlir",AA5,IF(D208="Qeyri rəsmi gəlir",AB5))</f>
        <v>0.16</v>
      </c>
      <c r="K208" s="547">
        <f>IF(D208="Rəsmi gəlir",AA6,IF(D208="Qeyri rəsmi gəlir",AB6))</f>
        <v>0.2</v>
      </c>
      <c r="L208" s="547">
        <f>IF(D208="Rəsmi gəlir",AA7,IF(D208="Qeyri rəsmi gəlir",AB7))</f>
        <v>0.23</v>
      </c>
      <c r="M208" s="547">
        <f>IF(D208="Rəsmi gəlir",AA8,IF(D208="Qeyri rəsmi gəlir",AB8))</f>
        <v>0.25600000000000001</v>
      </c>
      <c r="N208" s="547">
        <f>IF(D208="Rəsmi gəlir",AA9,IF(D208="Qeyri rəsmi gəlir",AB9))</f>
        <v>0.28550000000000003</v>
      </c>
      <c r="O208" s="547">
        <f>IF(D208="Rəsmi gəlir",AA10,IF(D208="Qeyri rəsmi gəlir",AB10))</f>
        <v>0</v>
      </c>
      <c r="P208" s="547" t="b">
        <f t="shared" si="18"/>
        <v>0</v>
      </c>
      <c r="Q208" s="548">
        <f t="shared" si="19"/>
        <v>0</v>
      </c>
      <c r="R208" s="543" t="str">
        <f t="shared" si="21"/>
        <v>-</v>
      </c>
      <c r="S208" s="549"/>
      <c r="T208" s="543" t="e">
        <f t="shared" si="22"/>
        <v>#VALUE!</v>
      </c>
      <c r="U208" s="548" t="e">
        <f t="shared" si="20"/>
        <v>#VALUE!</v>
      </c>
      <c r="V208" s="548" t="e">
        <f t="shared" si="23"/>
        <v>#VALUE!</v>
      </c>
      <c r="W208" s="544"/>
      <c r="X208" s="556"/>
    </row>
    <row r="209" spans="1:24">
      <c r="A209" s="552">
        <v>207</v>
      </c>
      <c r="B209" s="560"/>
      <c r="C209" s="554"/>
      <c r="D209" s="544" t="s">
        <v>799</v>
      </c>
      <c r="E209" s="555"/>
      <c r="F209" s="545">
        <f>E209-(E209*Z13)</f>
        <v>0</v>
      </c>
      <c r="G209" s="546"/>
      <c r="H209" s="547">
        <f>IF(D209="Rəsmi gəlir",AA3,IF(D209="Qeyri rəsmi gəlir",AB3))</f>
        <v>7.0000000000000007E-2</v>
      </c>
      <c r="I209" s="547">
        <f>IF(D209="Rəsmi gəlir",AA4,IF(D209="Qeyri rəsmi gəlir",AB4))</f>
        <v>0.12</v>
      </c>
      <c r="J209" s="547">
        <f>IF(D209="Rəsmi gəlir",AA5,IF(D209="Qeyri rəsmi gəlir",AB5))</f>
        <v>0.16</v>
      </c>
      <c r="K209" s="547">
        <f>IF(D209="Rəsmi gəlir",AA6,IF(D209="Qeyri rəsmi gəlir",AB6))</f>
        <v>0.2</v>
      </c>
      <c r="L209" s="547">
        <f>IF(D209="Rəsmi gəlir",AA7,IF(D209="Qeyri rəsmi gəlir",AB7))</f>
        <v>0.23</v>
      </c>
      <c r="M209" s="547">
        <f>IF(D209="Rəsmi gəlir",AA8,IF(D209="Qeyri rəsmi gəlir",AB8))</f>
        <v>0.25600000000000001</v>
      </c>
      <c r="N209" s="547">
        <f>IF(D209="Rəsmi gəlir",AA9,IF(D209="Qeyri rəsmi gəlir",AB9))</f>
        <v>0.28550000000000003</v>
      </c>
      <c r="O209" s="547">
        <f>IF(D209="Rəsmi gəlir",AA10,IF(D209="Qeyri rəsmi gəlir",AB10))</f>
        <v>0</v>
      </c>
      <c r="P209" s="547" t="b">
        <f t="shared" si="18"/>
        <v>0</v>
      </c>
      <c r="Q209" s="548">
        <f t="shared" si="19"/>
        <v>0</v>
      </c>
      <c r="R209" s="543" t="str">
        <f t="shared" si="21"/>
        <v>-</v>
      </c>
      <c r="S209" s="549"/>
      <c r="T209" s="543" t="e">
        <f t="shared" si="22"/>
        <v>#VALUE!</v>
      </c>
      <c r="U209" s="548" t="e">
        <f t="shared" si="20"/>
        <v>#VALUE!</v>
      </c>
      <c r="V209" s="548" t="e">
        <f t="shared" si="23"/>
        <v>#VALUE!</v>
      </c>
      <c r="W209" s="544"/>
      <c r="X209" s="556"/>
    </row>
    <row r="210" spans="1:24">
      <c r="A210" s="552">
        <v>208</v>
      </c>
      <c r="B210" s="560"/>
      <c r="C210" s="554"/>
      <c r="D210" s="544" t="s">
        <v>799</v>
      </c>
      <c r="E210" s="555"/>
      <c r="F210" s="545">
        <f>E210-(E210*Z13)</f>
        <v>0</v>
      </c>
      <c r="G210" s="546"/>
      <c r="H210" s="547">
        <f>IF(D210="Rəsmi gəlir",AA3,IF(D210="Qeyri rəsmi gəlir",AB3))</f>
        <v>7.0000000000000007E-2</v>
      </c>
      <c r="I210" s="547">
        <f>IF(D210="Rəsmi gəlir",AA4,IF(D210="Qeyri rəsmi gəlir",AB4))</f>
        <v>0.12</v>
      </c>
      <c r="J210" s="547">
        <f>IF(D210="Rəsmi gəlir",AA5,IF(D210="Qeyri rəsmi gəlir",AB5))</f>
        <v>0.16</v>
      </c>
      <c r="K210" s="547">
        <f>IF(D210="Rəsmi gəlir",AA6,IF(D210="Qeyri rəsmi gəlir",AB6))</f>
        <v>0.2</v>
      </c>
      <c r="L210" s="547">
        <f>IF(D210="Rəsmi gəlir",AA7,IF(D210="Qeyri rəsmi gəlir",AB7))</f>
        <v>0.23</v>
      </c>
      <c r="M210" s="547">
        <f>IF(D210="Rəsmi gəlir",AA8,IF(D210="Qeyri rəsmi gəlir",AB8))</f>
        <v>0.25600000000000001</v>
      </c>
      <c r="N210" s="547">
        <f>IF(D210="Rəsmi gəlir",AA9,IF(D210="Qeyri rəsmi gəlir",AB9))</f>
        <v>0.28550000000000003</v>
      </c>
      <c r="O210" s="547">
        <f>IF(D210="Rəsmi gəlir",AA10,IF(D210="Qeyri rəsmi gəlir",AB10))</f>
        <v>0</v>
      </c>
      <c r="P210" s="547" t="b">
        <f t="shared" si="18"/>
        <v>0</v>
      </c>
      <c r="Q210" s="548">
        <f t="shared" si="19"/>
        <v>0</v>
      </c>
      <c r="R210" s="543" t="str">
        <f t="shared" si="21"/>
        <v>-</v>
      </c>
      <c r="S210" s="549"/>
      <c r="T210" s="543" t="e">
        <f t="shared" si="22"/>
        <v>#VALUE!</v>
      </c>
      <c r="U210" s="548" t="e">
        <f t="shared" si="20"/>
        <v>#VALUE!</v>
      </c>
      <c r="V210" s="548" t="e">
        <f t="shared" si="23"/>
        <v>#VALUE!</v>
      </c>
      <c r="W210" s="544"/>
      <c r="X210" s="556"/>
    </row>
    <row r="211" spans="1:24">
      <c r="A211" s="552">
        <v>209</v>
      </c>
      <c r="B211" s="560"/>
      <c r="C211" s="554"/>
      <c r="D211" s="544" t="s">
        <v>799</v>
      </c>
      <c r="E211" s="555"/>
      <c r="F211" s="545">
        <f>E211-(E211*Z13)</f>
        <v>0</v>
      </c>
      <c r="G211" s="546"/>
      <c r="H211" s="547">
        <f>IF(D211="Rəsmi gəlir",AA3,IF(D211="Qeyri rəsmi gəlir",AB3))</f>
        <v>7.0000000000000007E-2</v>
      </c>
      <c r="I211" s="547">
        <f>IF(D211="Rəsmi gəlir",AA4,IF(D211="Qeyri rəsmi gəlir",AB4))</f>
        <v>0.12</v>
      </c>
      <c r="J211" s="547">
        <f>IF(D211="Rəsmi gəlir",AA5,IF(D211="Qeyri rəsmi gəlir",AB5))</f>
        <v>0.16</v>
      </c>
      <c r="K211" s="547">
        <f>IF(D211="Rəsmi gəlir",AA6,IF(D211="Qeyri rəsmi gəlir",AB6))</f>
        <v>0.2</v>
      </c>
      <c r="L211" s="547">
        <f>IF(D211="Rəsmi gəlir",AA7,IF(D211="Qeyri rəsmi gəlir",AB7))</f>
        <v>0.23</v>
      </c>
      <c r="M211" s="547">
        <f>IF(D211="Rəsmi gəlir",AA8,IF(D211="Qeyri rəsmi gəlir",AB8))</f>
        <v>0.25600000000000001</v>
      </c>
      <c r="N211" s="547">
        <f>IF(D211="Rəsmi gəlir",AA9,IF(D211="Qeyri rəsmi gəlir",AB9))</f>
        <v>0.28550000000000003</v>
      </c>
      <c r="O211" s="547">
        <f>IF(D211="Rəsmi gəlir",AA10,IF(D211="Qeyri rəsmi gəlir",AB10))</f>
        <v>0</v>
      </c>
      <c r="P211" s="547" t="b">
        <f t="shared" si="18"/>
        <v>0</v>
      </c>
      <c r="Q211" s="548">
        <f t="shared" si="19"/>
        <v>0</v>
      </c>
      <c r="R211" s="543" t="str">
        <f t="shared" si="21"/>
        <v>-</v>
      </c>
      <c r="S211" s="549"/>
      <c r="T211" s="543" t="e">
        <f t="shared" si="22"/>
        <v>#VALUE!</v>
      </c>
      <c r="U211" s="548" t="e">
        <f t="shared" si="20"/>
        <v>#VALUE!</v>
      </c>
      <c r="V211" s="548" t="e">
        <f t="shared" si="23"/>
        <v>#VALUE!</v>
      </c>
      <c r="W211" s="544"/>
      <c r="X211" s="556"/>
    </row>
    <row r="212" spans="1:24">
      <c r="A212" s="552">
        <v>210</v>
      </c>
      <c r="B212" s="560"/>
      <c r="C212" s="554"/>
      <c r="D212" s="544" t="s">
        <v>799</v>
      </c>
      <c r="E212" s="555"/>
      <c r="F212" s="545">
        <f>E212-(E212*Z13)</f>
        <v>0</v>
      </c>
      <c r="G212" s="546"/>
      <c r="H212" s="547">
        <f>IF(D212="Rəsmi gəlir",AA3,IF(D212="Qeyri rəsmi gəlir",AB3))</f>
        <v>7.0000000000000007E-2</v>
      </c>
      <c r="I212" s="547">
        <f>IF(D212="Rəsmi gəlir",AA4,IF(D212="Qeyri rəsmi gəlir",AB4))</f>
        <v>0.12</v>
      </c>
      <c r="J212" s="547">
        <f>IF(D212="Rəsmi gəlir",AA5,IF(D212="Qeyri rəsmi gəlir",AB5))</f>
        <v>0.16</v>
      </c>
      <c r="K212" s="547">
        <f>IF(D212="Rəsmi gəlir",AA6,IF(D212="Qeyri rəsmi gəlir",AB6))</f>
        <v>0.2</v>
      </c>
      <c r="L212" s="547">
        <f>IF(D212="Rəsmi gəlir",AA7,IF(D212="Qeyri rəsmi gəlir",AB7))</f>
        <v>0.23</v>
      </c>
      <c r="M212" s="547">
        <f>IF(D212="Rəsmi gəlir",AA8,IF(D212="Qeyri rəsmi gəlir",AB8))</f>
        <v>0.25600000000000001</v>
      </c>
      <c r="N212" s="547">
        <f>IF(D212="Rəsmi gəlir",AA9,IF(D212="Qeyri rəsmi gəlir",AB9))</f>
        <v>0.28550000000000003</v>
      </c>
      <c r="O212" s="547">
        <f>IF(D212="Rəsmi gəlir",AA10,IF(D212="Qeyri rəsmi gəlir",AB10))</f>
        <v>0</v>
      </c>
      <c r="P212" s="547" t="b">
        <f t="shared" si="18"/>
        <v>0</v>
      </c>
      <c r="Q212" s="548">
        <f t="shared" si="19"/>
        <v>0</v>
      </c>
      <c r="R212" s="543" t="str">
        <f t="shared" si="21"/>
        <v>-</v>
      </c>
      <c r="S212" s="549"/>
      <c r="T212" s="543" t="e">
        <f t="shared" si="22"/>
        <v>#VALUE!</v>
      </c>
      <c r="U212" s="548" t="e">
        <f t="shared" si="20"/>
        <v>#VALUE!</v>
      </c>
      <c r="V212" s="548" t="e">
        <f t="shared" si="23"/>
        <v>#VALUE!</v>
      </c>
      <c r="W212" s="544"/>
      <c r="X212" s="556"/>
    </row>
    <row r="213" spans="1:24">
      <c r="A213" s="552">
        <v>211</v>
      </c>
      <c r="B213" s="560"/>
      <c r="C213" s="554"/>
      <c r="D213" s="544" t="s">
        <v>799</v>
      </c>
      <c r="E213" s="555"/>
      <c r="F213" s="545">
        <f>E213-(E213*Z13)</f>
        <v>0</v>
      </c>
      <c r="G213" s="546"/>
      <c r="H213" s="547">
        <f>IF(D213="Rəsmi gəlir",AA3,IF(D213="Qeyri rəsmi gəlir",AB3))</f>
        <v>7.0000000000000007E-2</v>
      </c>
      <c r="I213" s="547">
        <f>IF(D213="Rəsmi gəlir",AA4,IF(D213="Qeyri rəsmi gəlir",AB4))</f>
        <v>0.12</v>
      </c>
      <c r="J213" s="547">
        <f>IF(D213="Rəsmi gəlir",AA5,IF(D213="Qeyri rəsmi gəlir",AB5))</f>
        <v>0.16</v>
      </c>
      <c r="K213" s="547">
        <f>IF(D213="Rəsmi gəlir",AA6,IF(D213="Qeyri rəsmi gəlir",AB6))</f>
        <v>0.2</v>
      </c>
      <c r="L213" s="547">
        <f>IF(D213="Rəsmi gəlir",AA7,IF(D213="Qeyri rəsmi gəlir",AB7))</f>
        <v>0.23</v>
      </c>
      <c r="M213" s="547">
        <f>IF(D213="Rəsmi gəlir",AA8,IF(D213="Qeyri rəsmi gəlir",AB8))</f>
        <v>0.25600000000000001</v>
      </c>
      <c r="N213" s="547">
        <f>IF(D213="Rəsmi gəlir",AA9,IF(D213="Qeyri rəsmi gəlir",AB9))</f>
        <v>0.28550000000000003</v>
      </c>
      <c r="O213" s="547">
        <f>IF(D213="Rəsmi gəlir",AA10,IF(D213="Qeyri rəsmi gəlir",AB10))</f>
        <v>0</v>
      </c>
      <c r="P213" s="547" t="b">
        <f t="shared" si="18"/>
        <v>0</v>
      </c>
      <c r="Q213" s="548">
        <f t="shared" si="19"/>
        <v>0</v>
      </c>
      <c r="R213" s="543" t="str">
        <f t="shared" si="21"/>
        <v>-</v>
      </c>
      <c r="S213" s="549"/>
      <c r="T213" s="543" t="e">
        <f t="shared" si="22"/>
        <v>#VALUE!</v>
      </c>
      <c r="U213" s="548" t="e">
        <f t="shared" si="20"/>
        <v>#VALUE!</v>
      </c>
      <c r="V213" s="548" t="e">
        <f t="shared" si="23"/>
        <v>#VALUE!</v>
      </c>
      <c r="W213" s="544"/>
      <c r="X213" s="556"/>
    </row>
    <row r="214" spans="1:24">
      <c r="A214" s="552">
        <v>212</v>
      </c>
      <c r="B214" s="560"/>
      <c r="C214" s="554"/>
      <c r="D214" s="544" t="s">
        <v>799</v>
      </c>
      <c r="E214" s="555"/>
      <c r="F214" s="545">
        <f>E214-(E214*Z13)</f>
        <v>0</v>
      </c>
      <c r="G214" s="546"/>
      <c r="H214" s="547">
        <f>IF(D214="Rəsmi gəlir",AA3,IF(D214="Qeyri rəsmi gəlir",AB3))</f>
        <v>7.0000000000000007E-2</v>
      </c>
      <c r="I214" s="547">
        <f>IF(D214="Rəsmi gəlir",AA4,IF(D214="Qeyri rəsmi gəlir",AB4))</f>
        <v>0.12</v>
      </c>
      <c r="J214" s="547">
        <f>IF(D214="Rəsmi gəlir",AA5,IF(D214="Qeyri rəsmi gəlir",AB5))</f>
        <v>0.16</v>
      </c>
      <c r="K214" s="547">
        <f>IF(D214="Rəsmi gəlir",AA6,IF(D214="Qeyri rəsmi gəlir",AB6))</f>
        <v>0.2</v>
      </c>
      <c r="L214" s="547">
        <f>IF(D214="Rəsmi gəlir",AA7,IF(D214="Qeyri rəsmi gəlir",AB7))</f>
        <v>0.23</v>
      </c>
      <c r="M214" s="547">
        <f>IF(D214="Rəsmi gəlir",AA8,IF(D214="Qeyri rəsmi gəlir",AB8))</f>
        <v>0.25600000000000001</v>
      </c>
      <c r="N214" s="547">
        <f>IF(D214="Rəsmi gəlir",AA9,IF(D214="Qeyri rəsmi gəlir",AB9))</f>
        <v>0.28550000000000003</v>
      </c>
      <c r="O214" s="547">
        <f>IF(D214="Rəsmi gəlir",AA10,IF(D214="Qeyri rəsmi gəlir",AB10))</f>
        <v>0</v>
      </c>
      <c r="P214" s="547" t="b">
        <f t="shared" si="18"/>
        <v>0</v>
      </c>
      <c r="Q214" s="548">
        <f t="shared" si="19"/>
        <v>0</v>
      </c>
      <c r="R214" s="543" t="str">
        <f t="shared" si="21"/>
        <v>-</v>
      </c>
      <c r="S214" s="549"/>
      <c r="T214" s="543" t="e">
        <f t="shared" si="22"/>
        <v>#VALUE!</v>
      </c>
      <c r="U214" s="548" t="e">
        <f t="shared" si="20"/>
        <v>#VALUE!</v>
      </c>
      <c r="V214" s="548" t="e">
        <f t="shared" si="23"/>
        <v>#VALUE!</v>
      </c>
      <c r="W214" s="544"/>
      <c r="X214" s="556"/>
    </row>
    <row r="215" spans="1:24">
      <c r="A215" s="552">
        <v>213</v>
      </c>
      <c r="B215" s="560"/>
      <c r="C215" s="554"/>
      <c r="D215" s="544" t="s">
        <v>799</v>
      </c>
      <c r="E215" s="555"/>
      <c r="F215" s="545">
        <f>E215-(E215*Z13)</f>
        <v>0</v>
      </c>
      <c r="G215" s="546"/>
      <c r="H215" s="547">
        <f>IF(D215="Rəsmi gəlir",AA3,IF(D215="Qeyri rəsmi gəlir",AB3))</f>
        <v>7.0000000000000007E-2</v>
      </c>
      <c r="I215" s="547">
        <f>IF(D215="Rəsmi gəlir",AA4,IF(D215="Qeyri rəsmi gəlir",AB4))</f>
        <v>0.12</v>
      </c>
      <c r="J215" s="547">
        <f>IF(D215="Rəsmi gəlir",AA5,IF(D215="Qeyri rəsmi gəlir",AB5))</f>
        <v>0.16</v>
      </c>
      <c r="K215" s="547">
        <f>IF(D215="Rəsmi gəlir",AA6,IF(D215="Qeyri rəsmi gəlir",AB6))</f>
        <v>0.2</v>
      </c>
      <c r="L215" s="547">
        <f>IF(D215="Rəsmi gəlir",AA7,IF(D215="Qeyri rəsmi gəlir",AB7))</f>
        <v>0.23</v>
      </c>
      <c r="M215" s="547">
        <f>IF(D215="Rəsmi gəlir",AA8,IF(D215="Qeyri rəsmi gəlir",AB8))</f>
        <v>0.25600000000000001</v>
      </c>
      <c r="N215" s="547">
        <f>IF(D215="Rəsmi gəlir",AA9,IF(D215="Qeyri rəsmi gəlir",AB9))</f>
        <v>0.28550000000000003</v>
      </c>
      <c r="O215" s="547">
        <f>IF(D215="Rəsmi gəlir",AA10,IF(D215="Qeyri rəsmi gəlir",AB10))</f>
        <v>0</v>
      </c>
      <c r="P215" s="547" t="b">
        <f t="shared" si="18"/>
        <v>0</v>
      </c>
      <c r="Q215" s="548">
        <f t="shared" si="19"/>
        <v>0</v>
      </c>
      <c r="R215" s="543" t="str">
        <f t="shared" si="21"/>
        <v>-</v>
      </c>
      <c r="S215" s="549"/>
      <c r="T215" s="543" t="e">
        <f t="shared" si="22"/>
        <v>#VALUE!</v>
      </c>
      <c r="U215" s="548" t="e">
        <f t="shared" si="20"/>
        <v>#VALUE!</v>
      </c>
      <c r="V215" s="548" t="e">
        <f t="shared" si="23"/>
        <v>#VALUE!</v>
      </c>
      <c r="W215" s="544"/>
      <c r="X215" s="556"/>
    </row>
    <row r="216" spans="1:24">
      <c r="A216" s="552">
        <v>214</v>
      </c>
      <c r="B216" s="560"/>
      <c r="C216" s="554"/>
      <c r="D216" s="544" t="s">
        <v>799</v>
      </c>
      <c r="E216" s="555"/>
      <c r="F216" s="545">
        <f>E216-(E216*Z13)</f>
        <v>0</v>
      </c>
      <c r="G216" s="546"/>
      <c r="H216" s="547">
        <f>IF(D216="Rəsmi gəlir",AA3,IF(D216="Qeyri rəsmi gəlir",AB3))</f>
        <v>7.0000000000000007E-2</v>
      </c>
      <c r="I216" s="547">
        <f>IF(D216="Rəsmi gəlir",AA4,IF(D216="Qeyri rəsmi gəlir",AB4))</f>
        <v>0.12</v>
      </c>
      <c r="J216" s="547">
        <f>IF(D216="Rəsmi gəlir",AA5,IF(D216="Qeyri rəsmi gəlir",AB5))</f>
        <v>0.16</v>
      </c>
      <c r="K216" s="547">
        <f>IF(D216="Rəsmi gəlir",AA6,IF(D216="Qeyri rəsmi gəlir",AB6))</f>
        <v>0.2</v>
      </c>
      <c r="L216" s="547">
        <f>IF(D216="Rəsmi gəlir",AA7,IF(D216="Qeyri rəsmi gəlir",AB7))</f>
        <v>0.23</v>
      </c>
      <c r="M216" s="547">
        <f>IF(D216="Rəsmi gəlir",AA8,IF(D216="Qeyri rəsmi gəlir",AB8))</f>
        <v>0.25600000000000001</v>
      </c>
      <c r="N216" s="547">
        <f>IF(D216="Rəsmi gəlir",AA9,IF(D216="Qeyri rəsmi gəlir",AB9))</f>
        <v>0.28550000000000003</v>
      </c>
      <c r="O216" s="547">
        <f>IF(D216="Rəsmi gəlir",AA10,IF(D216="Qeyri rəsmi gəlir",AB10))</f>
        <v>0</v>
      </c>
      <c r="P216" s="547" t="b">
        <f t="shared" si="18"/>
        <v>0</v>
      </c>
      <c r="Q216" s="548">
        <f t="shared" si="19"/>
        <v>0</v>
      </c>
      <c r="R216" s="543" t="str">
        <f t="shared" si="21"/>
        <v>-</v>
      </c>
      <c r="S216" s="549"/>
      <c r="T216" s="543" t="e">
        <f t="shared" si="22"/>
        <v>#VALUE!</v>
      </c>
      <c r="U216" s="548" t="e">
        <f t="shared" si="20"/>
        <v>#VALUE!</v>
      </c>
      <c r="V216" s="548" t="e">
        <f t="shared" si="23"/>
        <v>#VALUE!</v>
      </c>
      <c r="W216" s="544"/>
      <c r="X216" s="556"/>
    </row>
    <row r="217" spans="1:24">
      <c r="A217" s="552">
        <v>215</v>
      </c>
      <c r="B217" s="560"/>
      <c r="C217" s="554"/>
      <c r="D217" s="544" t="s">
        <v>799</v>
      </c>
      <c r="E217" s="555"/>
      <c r="F217" s="545">
        <f>E217-(E217*Z13)</f>
        <v>0</v>
      </c>
      <c r="G217" s="546"/>
      <c r="H217" s="547">
        <f>IF(D217="Rəsmi gəlir",AA3,IF(D217="Qeyri rəsmi gəlir",AB3))</f>
        <v>7.0000000000000007E-2</v>
      </c>
      <c r="I217" s="547">
        <f>IF(D217="Rəsmi gəlir",AA4,IF(D217="Qeyri rəsmi gəlir",AB4))</f>
        <v>0.12</v>
      </c>
      <c r="J217" s="547">
        <f>IF(D217="Rəsmi gəlir",AA5,IF(D217="Qeyri rəsmi gəlir",AB5))</f>
        <v>0.16</v>
      </c>
      <c r="K217" s="547">
        <f>IF(D217="Rəsmi gəlir",AA6,IF(D217="Qeyri rəsmi gəlir",AB6))</f>
        <v>0.2</v>
      </c>
      <c r="L217" s="547">
        <f>IF(D217="Rəsmi gəlir",AA7,IF(D217="Qeyri rəsmi gəlir",AB7))</f>
        <v>0.23</v>
      </c>
      <c r="M217" s="547">
        <f>IF(D217="Rəsmi gəlir",AA8,IF(D217="Qeyri rəsmi gəlir",AB8))</f>
        <v>0.25600000000000001</v>
      </c>
      <c r="N217" s="547">
        <f>IF(D217="Rəsmi gəlir",AA9,IF(D217="Qeyri rəsmi gəlir",AB9))</f>
        <v>0.28550000000000003</v>
      </c>
      <c r="O217" s="547">
        <f>IF(D217="Rəsmi gəlir",AA10,IF(D217="Qeyri rəsmi gəlir",AB10))</f>
        <v>0</v>
      </c>
      <c r="P217" s="547" t="b">
        <f t="shared" si="18"/>
        <v>0</v>
      </c>
      <c r="Q217" s="548">
        <f t="shared" si="19"/>
        <v>0</v>
      </c>
      <c r="R217" s="543" t="str">
        <f t="shared" si="21"/>
        <v>-</v>
      </c>
      <c r="S217" s="549"/>
      <c r="T217" s="543" t="e">
        <f t="shared" si="22"/>
        <v>#VALUE!</v>
      </c>
      <c r="U217" s="548" t="e">
        <f t="shared" si="20"/>
        <v>#VALUE!</v>
      </c>
      <c r="V217" s="548" t="e">
        <f t="shared" si="23"/>
        <v>#VALUE!</v>
      </c>
      <c r="W217" s="544"/>
      <c r="X217" s="556"/>
    </row>
    <row r="218" spans="1:24">
      <c r="A218" s="552">
        <v>216</v>
      </c>
      <c r="B218" s="560"/>
      <c r="C218" s="554"/>
      <c r="D218" s="544" t="s">
        <v>799</v>
      </c>
      <c r="E218" s="555"/>
      <c r="F218" s="545">
        <f>E218-(E218*Z13)</f>
        <v>0</v>
      </c>
      <c r="G218" s="546"/>
      <c r="H218" s="547">
        <f>IF(D218="Rəsmi gəlir",AA3,IF(D218="Qeyri rəsmi gəlir",AB3))</f>
        <v>7.0000000000000007E-2</v>
      </c>
      <c r="I218" s="547">
        <f>IF(D218="Rəsmi gəlir",AA4,IF(D218="Qeyri rəsmi gəlir",AB4))</f>
        <v>0.12</v>
      </c>
      <c r="J218" s="547">
        <f>IF(D218="Rəsmi gəlir",AA5,IF(D218="Qeyri rəsmi gəlir",AB5))</f>
        <v>0.16</v>
      </c>
      <c r="K218" s="547">
        <f>IF(D218="Rəsmi gəlir",AA6,IF(D218="Qeyri rəsmi gəlir",AB6))</f>
        <v>0.2</v>
      </c>
      <c r="L218" s="547">
        <f>IF(D218="Rəsmi gəlir",AA7,IF(D218="Qeyri rəsmi gəlir",AB7))</f>
        <v>0.23</v>
      </c>
      <c r="M218" s="547">
        <f>IF(D218="Rəsmi gəlir",AA8,IF(D218="Qeyri rəsmi gəlir",AB8))</f>
        <v>0.25600000000000001</v>
      </c>
      <c r="N218" s="547">
        <f>IF(D218="Rəsmi gəlir",AA9,IF(D218="Qeyri rəsmi gəlir",AB9))</f>
        <v>0.28550000000000003</v>
      </c>
      <c r="O218" s="547">
        <f>IF(D218="Rəsmi gəlir",AA10,IF(D218="Qeyri rəsmi gəlir",AB10))</f>
        <v>0</v>
      </c>
      <c r="P218" s="547" t="b">
        <f t="shared" si="18"/>
        <v>0</v>
      </c>
      <c r="Q218" s="548">
        <f t="shared" si="19"/>
        <v>0</v>
      </c>
      <c r="R218" s="543" t="str">
        <f t="shared" si="21"/>
        <v>-</v>
      </c>
      <c r="S218" s="549"/>
      <c r="T218" s="543" t="e">
        <f t="shared" si="22"/>
        <v>#VALUE!</v>
      </c>
      <c r="U218" s="548" t="e">
        <f t="shared" si="20"/>
        <v>#VALUE!</v>
      </c>
      <c r="V218" s="548" t="e">
        <f t="shared" si="23"/>
        <v>#VALUE!</v>
      </c>
      <c r="W218" s="544"/>
      <c r="X218" s="556"/>
    </row>
    <row r="219" spans="1:24">
      <c r="A219" s="552">
        <v>217</v>
      </c>
      <c r="B219" s="560"/>
      <c r="C219" s="554"/>
      <c r="D219" s="544" t="s">
        <v>799</v>
      </c>
      <c r="E219" s="555"/>
      <c r="F219" s="545">
        <f>E219-(E219*Z13)</f>
        <v>0</v>
      </c>
      <c r="G219" s="546"/>
      <c r="H219" s="547">
        <f>IF(D219="Rəsmi gəlir",AA3,IF(D219="Qeyri rəsmi gəlir",AB3))</f>
        <v>7.0000000000000007E-2</v>
      </c>
      <c r="I219" s="547">
        <f>IF(D219="Rəsmi gəlir",AA4,IF(D219="Qeyri rəsmi gəlir",AB4))</f>
        <v>0.12</v>
      </c>
      <c r="J219" s="547">
        <f>IF(D219="Rəsmi gəlir",AA5,IF(D219="Qeyri rəsmi gəlir",AB5))</f>
        <v>0.16</v>
      </c>
      <c r="K219" s="547">
        <f>IF(D219="Rəsmi gəlir",AA6,IF(D219="Qeyri rəsmi gəlir",AB6))</f>
        <v>0.2</v>
      </c>
      <c r="L219" s="547">
        <f>IF(D219="Rəsmi gəlir",AA7,IF(D219="Qeyri rəsmi gəlir",AB7))</f>
        <v>0.23</v>
      </c>
      <c r="M219" s="547">
        <f>IF(D219="Rəsmi gəlir",AA8,IF(D219="Qeyri rəsmi gəlir",AB8))</f>
        <v>0.25600000000000001</v>
      </c>
      <c r="N219" s="547">
        <f>IF(D219="Rəsmi gəlir",AA9,IF(D219="Qeyri rəsmi gəlir",AB9))</f>
        <v>0.28550000000000003</v>
      </c>
      <c r="O219" s="547">
        <f>IF(D219="Rəsmi gəlir",AA10,IF(D219="Qeyri rəsmi gəlir",AB10))</f>
        <v>0</v>
      </c>
      <c r="P219" s="547" t="b">
        <f t="shared" si="18"/>
        <v>0</v>
      </c>
      <c r="Q219" s="548">
        <f t="shared" si="19"/>
        <v>0</v>
      </c>
      <c r="R219" s="543" t="str">
        <f t="shared" si="21"/>
        <v>-</v>
      </c>
      <c r="S219" s="549"/>
      <c r="T219" s="543" t="e">
        <f t="shared" si="22"/>
        <v>#VALUE!</v>
      </c>
      <c r="U219" s="548" t="e">
        <f t="shared" si="20"/>
        <v>#VALUE!</v>
      </c>
      <c r="V219" s="548" t="e">
        <f t="shared" si="23"/>
        <v>#VALUE!</v>
      </c>
      <c r="W219" s="544"/>
      <c r="X219" s="556"/>
    </row>
    <row r="220" spans="1:24">
      <c r="A220" s="552">
        <v>218</v>
      </c>
      <c r="B220" s="560"/>
      <c r="C220" s="554"/>
      <c r="D220" s="544" t="s">
        <v>799</v>
      </c>
      <c r="E220" s="555"/>
      <c r="F220" s="545">
        <f>E220-(E220*Z13)</f>
        <v>0</v>
      </c>
      <c r="G220" s="546"/>
      <c r="H220" s="547">
        <f>IF(D220="Rəsmi gəlir",AA3,IF(D220="Qeyri rəsmi gəlir",AB3))</f>
        <v>7.0000000000000007E-2</v>
      </c>
      <c r="I220" s="547">
        <f>IF(D220="Rəsmi gəlir",AA4,IF(D220="Qeyri rəsmi gəlir",AB4))</f>
        <v>0.12</v>
      </c>
      <c r="J220" s="547">
        <f>IF(D220="Rəsmi gəlir",AA5,IF(D220="Qeyri rəsmi gəlir",AB5))</f>
        <v>0.16</v>
      </c>
      <c r="K220" s="547">
        <f>IF(D220="Rəsmi gəlir",AA6,IF(D220="Qeyri rəsmi gəlir",AB6))</f>
        <v>0.2</v>
      </c>
      <c r="L220" s="547">
        <f>IF(D220="Rəsmi gəlir",AA7,IF(D220="Qeyri rəsmi gəlir",AB7))</f>
        <v>0.23</v>
      </c>
      <c r="M220" s="547">
        <f>IF(D220="Rəsmi gəlir",AA8,IF(D220="Qeyri rəsmi gəlir",AB8))</f>
        <v>0.25600000000000001</v>
      </c>
      <c r="N220" s="547">
        <f>IF(D220="Rəsmi gəlir",AA9,IF(D220="Qeyri rəsmi gəlir",AB9))</f>
        <v>0.28550000000000003</v>
      </c>
      <c r="O220" s="547">
        <f>IF(D220="Rəsmi gəlir",AA10,IF(D220="Qeyri rəsmi gəlir",AB10))</f>
        <v>0</v>
      </c>
      <c r="P220" s="547" t="b">
        <f t="shared" si="18"/>
        <v>0</v>
      </c>
      <c r="Q220" s="548">
        <f t="shared" si="19"/>
        <v>0</v>
      </c>
      <c r="R220" s="543" t="str">
        <f t="shared" si="21"/>
        <v>-</v>
      </c>
      <c r="S220" s="549"/>
      <c r="T220" s="543" t="e">
        <f t="shared" si="22"/>
        <v>#VALUE!</v>
      </c>
      <c r="U220" s="548" t="e">
        <f t="shared" si="20"/>
        <v>#VALUE!</v>
      </c>
      <c r="V220" s="548" t="e">
        <f t="shared" si="23"/>
        <v>#VALUE!</v>
      </c>
      <c r="W220" s="544"/>
      <c r="X220" s="556"/>
    </row>
    <row r="221" spans="1:24">
      <c r="A221" s="552">
        <v>219</v>
      </c>
      <c r="B221" s="560"/>
      <c r="C221" s="554"/>
      <c r="D221" s="544" t="s">
        <v>799</v>
      </c>
      <c r="E221" s="555"/>
      <c r="F221" s="545">
        <f>E221-(E221*Z13)</f>
        <v>0</v>
      </c>
      <c r="G221" s="546"/>
      <c r="H221" s="547">
        <f>IF(D221="Rəsmi gəlir",AA3,IF(D221="Qeyri rəsmi gəlir",AB3))</f>
        <v>7.0000000000000007E-2</v>
      </c>
      <c r="I221" s="547">
        <f>IF(D221="Rəsmi gəlir",AA4,IF(D221="Qeyri rəsmi gəlir",AB4))</f>
        <v>0.12</v>
      </c>
      <c r="J221" s="547">
        <f>IF(D221="Rəsmi gəlir",AA5,IF(D221="Qeyri rəsmi gəlir",AB5))</f>
        <v>0.16</v>
      </c>
      <c r="K221" s="547">
        <f>IF(D221="Rəsmi gəlir",AA6,IF(D221="Qeyri rəsmi gəlir",AB6))</f>
        <v>0.2</v>
      </c>
      <c r="L221" s="547">
        <f>IF(D221="Rəsmi gəlir",AA7,IF(D221="Qeyri rəsmi gəlir",AB7))</f>
        <v>0.23</v>
      </c>
      <c r="M221" s="547">
        <f>IF(D221="Rəsmi gəlir",AA8,IF(D221="Qeyri rəsmi gəlir",AB8))</f>
        <v>0.25600000000000001</v>
      </c>
      <c r="N221" s="547">
        <f>IF(D221="Rəsmi gəlir",AA9,IF(D221="Qeyri rəsmi gəlir",AB9))</f>
        <v>0.28550000000000003</v>
      </c>
      <c r="O221" s="547">
        <f>IF(D221="Rəsmi gəlir",AA10,IF(D221="Qeyri rəsmi gəlir",AB10))</f>
        <v>0</v>
      </c>
      <c r="P221" s="547" t="b">
        <f t="shared" si="18"/>
        <v>0</v>
      </c>
      <c r="Q221" s="548">
        <f t="shared" si="19"/>
        <v>0</v>
      </c>
      <c r="R221" s="543" t="str">
        <f t="shared" si="21"/>
        <v>-</v>
      </c>
      <c r="S221" s="549"/>
      <c r="T221" s="543" t="e">
        <f t="shared" si="22"/>
        <v>#VALUE!</v>
      </c>
      <c r="U221" s="548" t="e">
        <f t="shared" si="20"/>
        <v>#VALUE!</v>
      </c>
      <c r="V221" s="548" t="e">
        <f t="shared" si="23"/>
        <v>#VALUE!</v>
      </c>
      <c r="W221" s="544"/>
      <c r="X221" s="556"/>
    </row>
    <row r="222" spans="1:24">
      <c r="A222" s="552">
        <v>220</v>
      </c>
      <c r="B222" s="560"/>
      <c r="C222" s="554"/>
      <c r="D222" s="544" t="s">
        <v>799</v>
      </c>
      <c r="E222" s="555"/>
      <c r="F222" s="545">
        <f>E222-(E222*Z13)</f>
        <v>0</v>
      </c>
      <c r="G222" s="546"/>
      <c r="H222" s="547">
        <f>IF(D222="Rəsmi gəlir",AA3,IF(D222="Qeyri rəsmi gəlir",AB3))</f>
        <v>7.0000000000000007E-2</v>
      </c>
      <c r="I222" s="547">
        <f>IF(D222="Rəsmi gəlir",AA4,IF(D222="Qeyri rəsmi gəlir",AB4))</f>
        <v>0.12</v>
      </c>
      <c r="J222" s="547">
        <f>IF(D222="Rəsmi gəlir",AA5,IF(D222="Qeyri rəsmi gəlir",AB5))</f>
        <v>0.16</v>
      </c>
      <c r="K222" s="547">
        <f>IF(D222="Rəsmi gəlir",AA6,IF(D222="Qeyri rəsmi gəlir",AB6))</f>
        <v>0.2</v>
      </c>
      <c r="L222" s="547">
        <f>IF(D222="Rəsmi gəlir",AA7,IF(D222="Qeyri rəsmi gəlir",AB7))</f>
        <v>0.23</v>
      </c>
      <c r="M222" s="547">
        <f>IF(D222="Rəsmi gəlir",AA8,IF(D222="Qeyri rəsmi gəlir",AB8))</f>
        <v>0.25600000000000001</v>
      </c>
      <c r="N222" s="547">
        <f>IF(D222="Rəsmi gəlir",AA9,IF(D222="Qeyri rəsmi gəlir",AB9))</f>
        <v>0.28550000000000003</v>
      </c>
      <c r="O222" s="547">
        <f>IF(D222="Rəsmi gəlir",AA10,IF(D222="Qeyri rəsmi gəlir",AB10))</f>
        <v>0</v>
      </c>
      <c r="P222" s="547" t="b">
        <f t="shared" si="18"/>
        <v>0</v>
      </c>
      <c r="Q222" s="548">
        <f t="shared" si="19"/>
        <v>0</v>
      </c>
      <c r="R222" s="543" t="str">
        <f t="shared" si="21"/>
        <v>-</v>
      </c>
      <c r="S222" s="549"/>
      <c r="T222" s="543" t="e">
        <f t="shared" si="22"/>
        <v>#VALUE!</v>
      </c>
      <c r="U222" s="548" t="e">
        <f t="shared" si="20"/>
        <v>#VALUE!</v>
      </c>
      <c r="V222" s="548" t="e">
        <f t="shared" si="23"/>
        <v>#VALUE!</v>
      </c>
      <c r="W222" s="544"/>
      <c r="X222" s="556"/>
    </row>
    <row r="223" spans="1:24">
      <c r="A223" s="552">
        <v>221</v>
      </c>
      <c r="B223" s="560"/>
      <c r="C223" s="554"/>
      <c r="D223" s="544" t="s">
        <v>799</v>
      </c>
      <c r="E223" s="555"/>
      <c r="F223" s="545">
        <f>E223-(E223*Z13)</f>
        <v>0</v>
      </c>
      <c r="G223" s="546"/>
      <c r="H223" s="547">
        <f>IF(D223="Rəsmi gəlir",AA3,IF(D223="Qeyri rəsmi gəlir",AB3))</f>
        <v>7.0000000000000007E-2</v>
      </c>
      <c r="I223" s="547">
        <f>IF(D223="Rəsmi gəlir",AA4,IF(D223="Qeyri rəsmi gəlir",AB4))</f>
        <v>0.12</v>
      </c>
      <c r="J223" s="547">
        <f>IF(D223="Rəsmi gəlir",AA5,IF(D223="Qeyri rəsmi gəlir",AB5))</f>
        <v>0.16</v>
      </c>
      <c r="K223" s="547">
        <f>IF(D223="Rəsmi gəlir",AA6,IF(D223="Qeyri rəsmi gəlir",AB6))</f>
        <v>0.2</v>
      </c>
      <c r="L223" s="547">
        <f>IF(D223="Rəsmi gəlir",AA7,IF(D223="Qeyri rəsmi gəlir",AB7))</f>
        <v>0.23</v>
      </c>
      <c r="M223" s="547">
        <f>IF(D223="Rəsmi gəlir",AA8,IF(D223="Qeyri rəsmi gəlir",AB8))</f>
        <v>0.25600000000000001</v>
      </c>
      <c r="N223" s="547">
        <f>IF(D223="Rəsmi gəlir",AA9,IF(D223="Qeyri rəsmi gəlir",AB9))</f>
        <v>0.28550000000000003</v>
      </c>
      <c r="O223" s="547">
        <f>IF(D223="Rəsmi gəlir",AA10,IF(D223="Qeyri rəsmi gəlir",AB10))</f>
        <v>0</v>
      </c>
      <c r="P223" s="547" t="b">
        <f t="shared" si="18"/>
        <v>0</v>
      </c>
      <c r="Q223" s="548">
        <f t="shared" si="19"/>
        <v>0</v>
      </c>
      <c r="R223" s="543" t="str">
        <f t="shared" si="21"/>
        <v>-</v>
      </c>
      <c r="S223" s="549"/>
      <c r="T223" s="543" t="e">
        <f t="shared" si="22"/>
        <v>#VALUE!</v>
      </c>
      <c r="U223" s="548" t="e">
        <f t="shared" si="20"/>
        <v>#VALUE!</v>
      </c>
      <c r="V223" s="548" t="e">
        <f t="shared" si="23"/>
        <v>#VALUE!</v>
      </c>
      <c r="W223" s="544"/>
      <c r="X223" s="556"/>
    </row>
    <row r="224" spans="1:24">
      <c r="A224" s="552">
        <v>222</v>
      </c>
      <c r="B224" s="560"/>
      <c r="C224" s="554"/>
      <c r="D224" s="544" t="s">
        <v>799</v>
      </c>
      <c r="E224" s="555"/>
      <c r="F224" s="545">
        <f>E224-(E224*Z13)</f>
        <v>0</v>
      </c>
      <c r="G224" s="546"/>
      <c r="H224" s="547">
        <f>IF(D224="Rəsmi gəlir",AA3,IF(D224="Qeyri rəsmi gəlir",AB3))</f>
        <v>7.0000000000000007E-2</v>
      </c>
      <c r="I224" s="547">
        <f>IF(D224="Rəsmi gəlir",AA4,IF(D224="Qeyri rəsmi gəlir",AB4))</f>
        <v>0.12</v>
      </c>
      <c r="J224" s="547">
        <f>IF(D224="Rəsmi gəlir",AA5,IF(D224="Qeyri rəsmi gəlir",AB5))</f>
        <v>0.16</v>
      </c>
      <c r="K224" s="547">
        <f>IF(D224="Rəsmi gəlir",AA6,IF(D224="Qeyri rəsmi gəlir",AB6))</f>
        <v>0.2</v>
      </c>
      <c r="L224" s="547">
        <f>IF(D224="Rəsmi gəlir",AA7,IF(D224="Qeyri rəsmi gəlir",AB7))</f>
        <v>0.23</v>
      </c>
      <c r="M224" s="547">
        <f>IF(D224="Rəsmi gəlir",AA8,IF(D224="Qeyri rəsmi gəlir",AB8))</f>
        <v>0.25600000000000001</v>
      </c>
      <c r="N224" s="547">
        <f>IF(D224="Rəsmi gəlir",AA9,IF(D224="Qeyri rəsmi gəlir",AB9))</f>
        <v>0.28550000000000003</v>
      </c>
      <c r="O224" s="547">
        <f>IF(D224="Rəsmi gəlir",AA10,IF(D224="Qeyri rəsmi gəlir",AB10))</f>
        <v>0</v>
      </c>
      <c r="P224" s="547" t="b">
        <f t="shared" si="18"/>
        <v>0</v>
      </c>
      <c r="Q224" s="548">
        <f t="shared" si="19"/>
        <v>0</v>
      </c>
      <c r="R224" s="543" t="str">
        <f t="shared" si="21"/>
        <v>-</v>
      </c>
      <c r="S224" s="549"/>
      <c r="T224" s="543" t="e">
        <f t="shared" si="22"/>
        <v>#VALUE!</v>
      </c>
      <c r="U224" s="548" t="e">
        <f t="shared" si="20"/>
        <v>#VALUE!</v>
      </c>
      <c r="V224" s="548" t="e">
        <f t="shared" si="23"/>
        <v>#VALUE!</v>
      </c>
      <c r="W224" s="544"/>
      <c r="X224" s="556"/>
    </row>
    <row r="225" spans="1:24">
      <c r="A225" s="552">
        <v>223</v>
      </c>
      <c r="B225" s="560"/>
      <c r="C225" s="554"/>
      <c r="D225" s="544" t="s">
        <v>799</v>
      </c>
      <c r="E225" s="555"/>
      <c r="F225" s="545">
        <f>E225-(E225*Z13)</f>
        <v>0</v>
      </c>
      <c r="G225" s="546"/>
      <c r="H225" s="547">
        <f>IF(D225="Rəsmi gəlir",AA3,IF(D225="Qeyri rəsmi gəlir",AB3))</f>
        <v>7.0000000000000007E-2</v>
      </c>
      <c r="I225" s="547">
        <f>IF(D225="Rəsmi gəlir",AA4,IF(D225="Qeyri rəsmi gəlir",AB4))</f>
        <v>0.12</v>
      </c>
      <c r="J225" s="547">
        <f>IF(D225="Rəsmi gəlir",AA5,IF(D225="Qeyri rəsmi gəlir",AB5))</f>
        <v>0.16</v>
      </c>
      <c r="K225" s="547">
        <f>IF(D225="Rəsmi gəlir",AA6,IF(D225="Qeyri rəsmi gəlir",AB6))</f>
        <v>0.2</v>
      </c>
      <c r="L225" s="547">
        <f>IF(D225="Rəsmi gəlir",AA7,IF(D225="Qeyri rəsmi gəlir",AB7))</f>
        <v>0.23</v>
      </c>
      <c r="M225" s="547">
        <f>IF(D225="Rəsmi gəlir",AA8,IF(D225="Qeyri rəsmi gəlir",AB8))</f>
        <v>0.25600000000000001</v>
      </c>
      <c r="N225" s="547">
        <f>IF(D225="Rəsmi gəlir",AA9,IF(D225="Qeyri rəsmi gəlir",AB9))</f>
        <v>0.28550000000000003</v>
      </c>
      <c r="O225" s="547">
        <f>IF(D225="Rəsmi gəlir",AA10,IF(D225="Qeyri rəsmi gəlir",AB10))</f>
        <v>0</v>
      </c>
      <c r="P225" s="547" t="b">
        <f t="shared" si="18"/>
        <v>0</v>
      </c>
      <c r="Q225" s="548">
        <f t="shared" si="19"/>
        <v>0</v>
      </c>
      <c r="R225" s="543" t="str">
        <f t="shared" si="21"/>
        <v>-</v>
      </c>
      <c r="S225" s="549"/>
      <c r="T225" s="543" t="e">
        <f t="shared" si="22"/>
        <v>#VALUE!</v>
      </c>
      <c r="U225" s="548" t="e">
        <f t="shared" si="20"/>
        <v>#VALUE!</v>
      </c>
      <c r="V225" s="548" t="e">
        <f t="shared" si="23"/>
        <v>#VALUE!</v>
      </c>
      <c r="W225" s="544"/>
      <c r="X225" s="556"/>
    </row>
    <row r="226" spans="1:24">
      <c r="A226" s="552">
        <v>224</v>
      </c>
      <c r="B226" s="560"/>
      <c r="C226" s="554"/>
      <c r="D226" s="544" t="s">
        <v>799</v>
      </c>
      <c r="E226" s="555"/>
      <c r="F226" s="545">
        <f>E226-(E226*Z13)</f>
        <v>0</v>
      </c>
      <c r="G226" s="546"/>
      <c r="H226" s="547">
        <f>IF(D226="Rəsmi gəlir",AA3,IF(D226="Qeyri rəsmi gəlir",AB3))</f>
        <v>7.0000000000000007E-2</v>
      </c>
      <c r="I226" s="547">
        <f>IF(D226="Rəsmi gəlir",AA4,IF(D226="Qeyri rəsmi gəlir",AB4))</f>
        <v>0.12</v>
      </c>
      <c r="J226" s="547">
        <f>IF(D226="Rəsmi gəlir",AA5,IF(D226="Qeyri rəsmi gəlir",AB5))</f>
        <v>0.16</v>
      </c>
      <c r="K226" s="547">
        <f>IF(D226="Rəsmi gəlir",AA6,IF(D226="Qeyri rəsmi gəlir",AB6))</f>
        <v>0.2</v>
      </c>
      <c r="L226" s="547">
        <f>IF(D226="Rəsmi gəlir",AA7,IF(D226="Qeyri rəsmi gəlir",AB7))</f>
        <v>0.23</v>
      </c>
      <c r="M226" s="547">
        <f>IF(D226="Rəsmi gəlir",AA8,IF(D226="Qeyri rəsmi gəlir",AB8))</f>
        <v>0.25600000000000001</v>
      </c>
      <c r="N226" s="547">
        <f>IF(D226="Rəsmi gəlir",AA9,IF(D226="Qeyri rəsmi gəlir",AB9))</f>
        <v>0.28550000000000003</v>
      </c>
      <c r="O226" s="547">
        <f>IF(D226="Rəsmi gəlir",AA10,IF(D226="Qeyri rəsmi gəlir",AB10))</f>
        <v>0</v>
      </c>
      <c r="P226" s="547" t="b">
        <f t="shared" si="18"/>
        <v>0</v>
      </c>
      <c r="Q226" s="548">
        <f t="shared" si="19"/>
        <v>0</v>
      </c>
      <c r="R226" s="543" t="str">
        <f t="shared" si="21"/>
        <v>-</v>
      </c>
      <c r="S226" s="549"/>
      <c r="T226" s="543" t="e">
        <f t="shared" si="22"/>
        <v>#VALUE!</v>
      </c>
      <c r="U226" s="548" t="e">
        <f t="shared" si="20"/>
        <v>#VALUE!</v>
      </c>
      <c r="V226" s="548" t="e">
        <f t="shared" si="23"/>
        <v>#VALUE!</v>
      </c>
      <c r="W226" s="544"/>
      <c r="X226" s="556"/>
    </row>
    <row r="227" spans="1:24">
      <c r="A227" s="552">
        <v>225</v>
      </c>
      <c r="B227" s="560"/>
      <c r="C227" s="554"/>
      <c r="D227" s="544" t="s">
        <v>799</v>
      </c>
      <c r="E227" s="555"/>
      <c r="F227" s="545">
        <f>E227-(E227*Z13)</f>
        <v>0</v>
      </c>
      <c r="G227" s="546"/>
      <c r="H227" s="547">
        <f>IF(D227="Rəsmi gəlir",AA3,IF(D227="Qeyri rəsmi gəlir",AB3))</f>
        <v>7.0000000000000007E-2</v>
      </c>
      <c r="I227" s="547">
        <f>IF(D227="Rəsmi gəlir",AA4,IF(D227="Qeyri rəsmi gəlir",AB4))</f>
        <v>0.12</v>
      </c>
      <c r="J227" s="547">
        <f>IF(D227="Rəsmi gəlir",AA5,IF(D227="Qeyri rəsmi gəlir",AB5))</f>
        <v>0.16</v>
      </c>
      <c r="K227" s="547">
        <f>IF(D227="Rəsmi gəlir",AA6,IF(D227="Qeyri rəsmi gəlir",AB6))</f>
        <v>0.2</v>
      </c>
      <c r="L227" s="547">
        <f>IF(D227="Rəsmi gəlir",AA7,IF(D227="Qeyri rəsmi gəlir",AB7))</f>
        <v>0.23</v>
      </c>
      <c r="M227" s="547">
        <f>IF(D227="Rəsmi gəlir",AA8,IF(D227="Qeyri rəsmi gəlir",AB8))</f>
        <v>0.25600000000000001</v>
      </c>
      <c r="N227" s="547">
        <f>IF(D227="Rəsmi gəlir",AA9,IF(D227="Qeyri rəsmi gəlir",AB9))</f>
        <v>0.28550000000000003</v>
      </c>
      <c r="O227" s="547">
        <f>IF(D227="Rəsmi gəlir",AA10,IF(D227="Qeyri rəsmi gəlir",AB10))</f>
        <v>0</v>
      </c>
      <c r="P227" s="547" t="b">
        <f t="shared" si="18"/>
        <v>0</v>
      </c>
      <c r="Q227" s="548">
        <f t="shared" si="19"/>
        <v>0</v>
      </c>
      <c r="R227" s="543" t="str">
        <f t="shared" si="21"/>
        <v>-</v>
      </c>
      <c r="S227" s="549"/>
      <c r="T227" s="543" t="e">
        <f t="shared" si="22"/>
        <v>#VALUE!</v>
      </c>
      <c r="U227" s="548" t="e">
        <f t="shared" si="20"/>
        <v>#VALUE!</v>
      </c>
      <c r="V227" s="548" t="e">
        <f t="shared" si="23"/>
        <v>#VALUE!</v>
      </c>
      <c r="W227" s="544"/>
      <c r="X227" s="556"/>
    </row>
    <row r="228" spans="1:24">
      <c r="A228" s="552">
        <v>226</v>
      </c>
      <c r="B228" s="560"/>
      <c r="C228" s="554"/>
      <c r="D228" s="544" t="s">
        <v>799</v>
      </c>
      <c r="E228" s="555"/>
      <c r="F228" s="545">
        <f>E228-(E228*Z13)</f>
        <v>0</v>
      </c>
      <c r="G228" s="546"/>
      <c r="H228" s="547">
        <f>IF(D228="Rəsmi gəlir",AA3,IF(D228="Qeyri rəsmi gəlir",AB3))</f>
        <v>7.0000000000000007E-2</v>
      </c>
      <c r="I228" s="547">
        <f>IF(D228="Rəsmi gəlir",AA4,IF(D228="Qeyri rəsmi gəlir",AB4))</f>
        <v>0.12</v>
      </c>
      <c r="J228" s="547">
        <f>IF(D228="Rəsmi gəlir",AA5,IF(D228="Qeyri rəsmi gəlir",AB5))</f>
        <v>0.16</v>
      </c>
      <c r="K228" s="547">
        <f>IF(D228="Rəsmi gəlir",AA6,IF(D228="Qeyri rəsmi gəlir",AB6))</f>
        <v>0.2</v>
      </c>
      <c r="L228" s="547">
        <f>IF(D228="Rəsmi gəlir",AA7,IF(D228="Qeyri rəsmi gəlir",AB7))</f>
        <v>0.23</v>
      </c>
      <c r="M228" s="547">
        <f>IF(D228="Rəsmi gəlir",AA8,IF(D228="Qeyri rəsmi gəlir",AB8))</f>
        <v>0.25600000000000001</v>
      </c>
      <c r="N228" s="547">
        <f>IF(D228="Rəsmi gəlir",AA9,IF(D228="Qeyri rəsmi gəlir",AB9))</f>
        <v>0.28550000000000003</v>
      </c>
      <c r="O228" s="547">
        <f>IF(D228="Rəsmi gəlir",AA10,IF(D228="Qeyri rəsmi gəlir",AB10))</f>
        <v>0</v>
      </c>
      <c r="P228" s="547" t="b">
        <f t="shared" si="18"/>
        <v>0</v>
      </c>
      <c r="Q228" s="548">
        <f t="shared" si="19"/>
        <v>0</v>
      </c>
      <c r="R228" s="543" t="str">
        <f t="shared" si="21"/>
        <v>-</v>
      </c>
      <c r="S228" s="549"/>
      <c r="T228" s="543" t="e">
        <f t="shared" si="22"/>
        <v>#VALUE!</v>
      </c>
      <c r="U228" s="548" t="e">
        <f t="shared" si="20"/>
        <v>#VALUE!</v>
      </c>
      <c r="V228" s="548" t="e">
        <f t="shared" si="23"/>
        <v>#VALUE!</v>
      </c>
      <c r="W228" s="544"/>
      <c r="X228" s="556"/>
    </row>
    <row r="229" spans="1:24">
      <c r="A229" s="552">
        <v>227</v>
      </c>
      <c r="B229" s="560"/>
      <c r="C229" s="554"/>
      <c r="D229" s="544" t="s">
        <v>799</v>
      </c>
      <c r="E229" s="555"/>
      <c r="F229" s="545">
        <f>E229-(E229*Z13)</f>
        <v>0</v>
      </c>
      <c r="G229" s="546"/>
      <c r="H229" s="547">
        <f>IF(D229="Rəsmi gəlir",AA3,IF(D229="Qeyri rəsmi gəlir",AB3))</f>
        <v>7.0000000000000007E-2</v>
      </c>
      <c r="I229" s="547">
        <f>IF(D229="Rəsmi gəlir",AA4,IF(D229="Qeyri rəsmi gəlir",AB4))</f>
        <v>0.12</v>
      </c>
      <c r="J229" s="547">
        <f>IF(D229="Rəsmi gəlir",AA5,IF(D229="Qeyri rəsmi gəlir",AB5))</f>
        <v>0.16</v>
      </c>
      <c r="K229" s="547">
        <f>IF(D229="Rəsmi gəlir",AA6,IF(D229="Qeyri rəsmi gəlir",AB6))</f>
        <v>0.2</v>
      </c>
      <c r="L229" s="547">
        <f>IF(D229="Rəsmi gəlir",AA7,IF(D229="Qeyri rəsmi gəlir",AB7))</f>
        <v>0.23</v>
      </c>
      <c r="M229" s="547">
        <f>IF(D229="Rəsmi gəlir",AA8,IF(D229="Qeyri rəsmi gəlir",AB8))</f>
        <v>0.25600000000000001</v>
      </c>
      <c r="N229" s="547">
        <f>IF(D229="Rəsmi gəlir",AA9,IF(D229="Qeyri rəsmi gəlir",AB9))</f>
        <v>0.28550000000000003</v>
      </c>
      <c r="O229" s="547">
        <f>IF(D229="Rəsmi gəlir",AA10,IF(D229="Qeyri rəsmi gəlir",AB10))</f>
        <v>0</v>
      </c>
      <c r="P229" s="547" t="b">
        <f t="shared" si="18"/>
        <v>0</v>
      </c>
      <c r="Q229" s="548">
        <f t="shared" si="19"/>
        <v>0</v>
      </c>
      <c r="R229" s="543" t="str">
        <f t="shared" si="21"/>
        <v>-</v>
      </c>
      <c r="S229" s="549"/>
      <c r="T229" s="543" t="e">
        <f t="shared" si="22"/>
        <v>#VALUE!</v>
      </c>
      <c r="U229" s="548" t="e">
        <f t="shared" si="20"/>
        <v>#VALUE!</v>
      </c>
      <c r="V229" s="548" t="e">
        <f t="shared" si="23"/>
        <v>#VALUE!</v>
      </c>
      <c r="W229" s="544"/>
      <c r="X229" s="556"/>
    </row>
    <row r="230" spans="1:24">
      <c r="A230" s="552">
        <v>228</v>
      </c>
      <c r="B230" s="560"/>
      <c r="C230" s="554"/>
      <c r="D230" s="544" t="s">
        <v>799</v>
      </c>
      <c r="E230" s="555"/>
      <c r="F230" s="545">
        <f>E230-(E230*Z13)</f>
        <v>0</v>
      </c>
      <c r="G230" s="546"/>
      <c r="H230" s="547">
        <f>IF(D230="Rəsmi gəlir",AA3,IF(D230="Qeyri rəsmi gəlir",AB3))</f>
        <v>7.0000000000000007E-2</v>
      </c>
      <c r="I230" s="547">
        <f>IF(D230="Rəsmi gəlir",AA4,IF(D230="Qeyri rəsmi gəlir",AB4))</f>
        <v>0.12</v>
      </c>
      <c r="J230" s="547">
        <f>IF(D230="Rəsmi gəlir",AA5,IF(D230="Qeyri rəsmi gəlir",AB5))</f>
        <v>0.16</v>
      </c>
      <c r="K230" s="547">
        <f>IF(D230="Rəsmi gəlir",AA6,IF(D230="Qeyri rəsmi gəlir",AB6))</f>
        <v>0.2</v>
      </c>
      <c r="L230" s="547">
        <f>IF(D230="Rəsmi gəlir",AA7,IF(D230="Qeyri rəsmi gəlir",AB7))</f>
        <v>0.23</v>
      </c>
      <c r="M230" s="547">
        <f>IF(D230="Rəsmi gəlir",AA8,IF(D230="Qeyri rəsmi gəlir",AB8))</f>
        <v>0.25600000000000001</v>
      </c>
      <c r="N230" s="547">
        <f>IF(D230="Rəsmi gəlir",AA9,IF(D230="Qeyri rəsmi gəlir",AB9))</f>
        <v>0.28550000000000003</v>
      </c>
      <c r="O230" s="547">
        <f>IF(D230="Rəsmi gəlir",AA10,IF(D230="Qeyri rəsmi gəlir",AB10))</f>
        <v>0</v>
      </c>
      <c r="P230" s="547" t="b">
        <f t="shared" si="18"/>
        <v>0</v>
      </c>
      <c r="Q230" s="548">
        <f t="shared" si="19"/>
        <v>0</v>
      </c>
      <c r="R230" s="543" t="str">
        <f t="shared" si="21"/>
        <v>-</v>
      </c>
      <c r="S230" s="549"/>
      <c r="T230" s="543" t="e">
        <f t="shared" si="22"/>
        <v>#VALUE!</v>
      </c>
      <c r="U230" s="548" t="e">
        <f t="shared" si="20"/>
        <v>#VALUE!</v>
      </c>
      <c r="V230" s="548" t="e">
        <f t="shared" si="23"/>
        <v>#VALUE!</v>
      </c>
      <c r="W230" s="544"/>
      <c r="X230" s="556"/>
    </row>
    <row r="231" spans="1:24">
      <c r="A231" s="552">
        <v>229</v>
      </c>
      <c r="B231" s="560"/>
      <c r="C231" s="554"/>
      <c r="D231" s="544" t="s">
        <v>799</v>
      </c>
      <c r="E231" s="555"/>
      <c r="F231" s="545">
        <f>E231-(E231*Z13)</f>
        <v>0</v>
      </c>
      <c r="G231" s="546"/>
      <c r="H231" s="547">
        <f>IF(D231="Rəsmi gəlir",AA3,IF(D231="Qeyri rəsmi gəlir",AB3))</f>
        <v>7.0000000000000007E-2</v>
      </c>
      <c r="I231" s="547">
        <f>IF(D231="Rəsmi gəlir",AA4,IF(D231="Qeyri rəsmi gəlir",AB4))</f>
        <v>0.12</v>
      </c>
      <c r="J231" s="547">
        <f>IF(D231="Rəsmi gəlir",AA5,IF(D231="Qeyri rəsmi gəlir",AB5))</f>
        <v>0.16</v>
      </c>
      <c r="K231" s="547">
        <f>IF(D231="Rəsmi gəlir",AA6,IF(D231="Qeyri rəsmi gəlir",AB6))</f>
        <v>0.2</v>
      </c>
      <c r="L231" s="547">
        <f>IF(D231="Rəsmi gəlir",AA7,IF(D231="Qeyri rəsmi gəlir",AB7))</f>
        <v>0.23</v>
      </c>
      <c r="M231" s="547">
        <f>IF(D231="Rəsmi gəlir",AA8,IF(D231="Qeyri rəsmi gəlir",AB8))</f>
        <v>0.25600000000000001</v>
      </c>
      <c r="N231" s="547">
        <f>IF(D231="Rəsmi gəlir",AA9,IF(D231="Qeyri rəsmi gəlir",AB9))</f>
        <v>0.28550000000000003</v>
      </c>
      <c r="O231" s="547">
        <f>IF(D231="Rəsmi gəlir",AA10,IF(D231="Qeyri rəsmi gəlir",AB10))</f>
        <v>0</v>
      </c>
      <c r="P231" s="547" t="b">
        <f t="shared" si="18"/>
        <v>0</v>
      </c>
      <c r="Q231" s="548">
        <f t="shared" si="19"/>
        <v>0</v>
      </c>
      <c r="R231" s="543" t="str">
        <f t="shared" si="21"/>
        <v>-</v>
      </c>
      <c r="S231" s="549"/>
      <c r="T231" s="543" t="e">
        <f t="shared" si="22"/>
        <v>#VALUE!</v>
      </c>
      <c r="U231" s="548" t="e">
        <f t="shared" si="20"/>
        <v>#VALUE!</v>
      </c>
      <c r="V231" s="548" t="e">
        <f t="shared" si="23"/>
        <v>#VALUE!</v>
      </c>
      <c r="W231" s="544"/>
      <c r="X231" s="556"/>
    </row>
    <row r="232" spans="1:24">
      <c r="A232" s="552">
        <v>230</v>
      </c>
      <c r="B232" s="560"/>
      <c r="C232" s="554"/>
      <c r="D232" s="544" t="s">
        <v>799</v>
      </c>
      <c r="E232" s="555"/>
      <c r="F232" s="545">
        <f>E232-(E232*Z13)</f>
        <v>0</v>
      </c>
      <c r="G232" s="546"/>
      <c r="H232" s="547">
        <f>IF(D232="Rəsmi gəlir",AA3,IF(D232="Qeyri rəsmi gəlir",AB3))</f>
        <v>7.0000000000000007E-2</v>
      </c>
      <c r="I232" s="547">
        <f>IF(D232="Rəsmi gəlir",AA4,IF(D232="Qeyri rəsmi gəlir",AB4))</f>
        <v>0.12</v>
      </c>
      <c r="J232" s="547">
        <f>IF(D232="Rəsmi gəlir",AA5,IF(D232="Qeyri rəsmi gəlir",AB5))</f>
        <v>0.16</v>
      </c>
      <c r="K232" s="547">
        <f>IF(D232="Rəsmi gəlir",AA6,IF(D232="Qeyri rəsmi gəlir",AB6))</f>
        <v>0.2</v>
      </c>
      <c r="L232" s="547">
        <f>IF(D232="Rəsmi gəlir",AA7,IF(D232="Qeyri rəsmi gəlir",AB7))</f>
        <v>0.23</v>
      </c>
      <c r="M232" s="547">
        <f>IF(D232="Rəsmi gəlir",AA8,IF(D232="Qeyri rəsmi gəlir",AB8))</f>
        <v>0.25600000000000001</v>
      </c>
      <c r="N232" s="547">
        <f>IF(D232="Rəsmi gəlir",AA9,IF(D232="Qeyri rəsmi gəlir",AB9))</f>
        <v>0.28550000000000003</v>
      </c>
      <c r="O232" s="547">
        <f>IF(D232="Rəsmi gəlir",AA10,IF(D232="Qeyri rəsmi gəlir",AB10))</f>
        <v>0</v>
      </c>
      <c r="P232" s="547" t="b">
        <f t="shared" si="18"/>
        <v>0</v>
      </c>
      <c r="Q232" s="548">
        <f t="shared" si="19"/>
        <v>0</v>
      </c>
      <c r="R232" s="543" t="str">
        <f t="shared" si="21"/>
        <v>-</v>
      </c>
      <c r="S232" s="549"/>
      <c r="T232" s="543" t="e">
        <f t="shared" si="22"/>
        <v>#VALUE!</v>
      </c>
      <c r="U232" s="548" t="e">
        <f t="shared" si="20"/>
        <v>#VALUE!</v>
      </c>
      <c r="V232" s="548" t="e">
        <f t="shared" si="23"/>
        <v>#VALUE!</v>
      </c>
      <c r="W232" s="544"/>
      <c r="X232" s="556"/>
    </row>
    <row r="233" spans="1:24">
      <c r="A233" s="552">
        <v>231</v>
      </c>
      <c r="B233" s="560"/>
      <c r="C233" s="554"/>
      <c r="D233" s="544" t="s">
        <v>799</v>
      </c>
      <c r="E233" s="555"/>
      <c r="F233" s="545">
        <f>E233-(E233*Z13)</f>
        <v>0</v>
      </c>
      <c r="G233" s="546"/>
      <c r="H233" s="547">
        <f>IF(D233="Rəsmi gəlir",AA3,IF(D233="Qeyri rəsmi gəlir",AB3))</f>
        <v>7.0000000000000007E-2</v>
      </c>
      <c r="I233" s="547">
        <f>IF(D233="Rəsmi gəlir",AA4,IF(D233="Qeyri rəsmi gəlir",AB4))</f>
        <v>0.12</v>
      </c>
      <c r="J233" s="547">
        <f>IF(D233="Rəsmi gəlir",AA5,IF(D233="Qeyri rəsmi gəlir",AB5))</f>
        <v>0.16</v>
      </c>
      <c r="K233" s="547">
        <f>IF(D233="Rəsmi gəlir",AA6,IF(D233="Qeyri rəsmi gəlir",AB6))</f>
        <v>0.2</v>
      </c>
      <c r="L233" s="547">
        <f>IF(D233="Rəsmi gəlir",AA7,IF(D233="Qeyri rəsmi gəlir",AB7))</f>
        <v>0.23</v>
      </c>
      <c r="M233" s="547">
        <f>IF(D233="Rəsmi gəlir",AA8,IF(D233="Qeyri rəsmi gəlir",AB8))</f>
        <v>0.25600000000000001</v>
      </c>
      <c r="N233" s="547">
        <f>IF(D233="Rəsmi gəlir",AA9,IF(D233="Qeyri rəsmi gəlir",AB9))</f>
        <v>0.28550000000000003</v>
      </c>
      <c r="O233" s="547">
        <f>IF(D233="Rəsmi gəlir",AA10,IF(D233="Qeyri rəsmi gəlir",AB10))</f>
        <v>0</v>
      </c>
      <c r="P233" s="547" t="b">
        <f t="shared" si="18"/>
        <v>0</v>
      </c>
      <c r="Q233" s="548">
        <f t="shared" si="19"/>
        <v>0</v>
      </c>
      <c r="R233" s="543" t="str">
        <f t="shared" si="21"/>
        <v>-</v>
      </c>
      <c r="S233" s="549"/>
      <c r="T233" s="543" t="e">
        <f t="shared" si="22"/>
        <v>#VALUE!</v>
      </c>
      <c r="U233" s="548" t="e">
        <f t="shared" si="20"/>
        <v>#VALUE!</v>
      </c>
      <c r="V233" s="548" t="e">
        <f t="shared" si="23"/>
        <v>#VALUE!</v>
      </c>
      <c r="W233" s="544"/>
      <c r="X233" s="556"/>
    </row>
    <row r="234" spans="1:24">
      <c r="A234" s="552">
        <v>232</v>
      </c>
      <c r="B234" s="560"/>
      <c r="C234" s="554"/>
      <c r="D234" s="544" t="s">
        <v>799</v>
      </c>
      <c r="E234" s="555"/>
      <c r="F234" s="545">
        <f>E234-(E234*Z13)</f>
        <v>0</v>
      </c>
      <c r="G234" s="546"/>
      <c r="H234" s="547">
        <f>IF(D234="Rəsmi gəlir",AA3,IF(D234="Qeyri rəsmi gəlir",AB3))</f>
        <v>7.0000000000000007E-2</v>
      </c>
      <c r="I234" s="547">
        <f>IF(D234="Rəsmi gəlir",AA4,IF(D234="Qeyri rəsmi gəlir",AB4))</f>
        <v>0.12</v>
      </c>
      <c r="J234" s="547">
        <f>IF(D234="Rəsmi gəlir",AA5,IF(D234="Qeyri rəsmi gəlir",AB5))</f>
        <v>0.16</v>
      </c>
      <c r="K234" s="547">
        <f>IF(D234="Rəsmi gəlir",AA6,IF(D234="Qeyri rəsmi gəlir",AB6))</f>
        <v>0.2</v>
      </c>
      <c r="L234" s="547">
        <f>IF(D234="Rəsmi gəlir",AA7,IF(D234="Qeyri rəsmi gəlir",AB7))</f>
        <v>0.23</v>
      </c>
      <c r="M234" s="547">
        <f>IF(D234="Rəsmi gəlir",AA8,IF(D234="Qeyri rəsmi gəlir",AB8))</f>
        <v>0.25600000000000001</v>
      </c>
      <c r="N234" s="547">
        <f>IF(D234="Rəsmi gəlir",AA9,IF(D234="Qeyri rəsmi gəlir",AB9))</f>
        <v>0.28550000000000003</v>
      </c>
      <c r="O234" s="547">
        <f>IF(D234="Rəsmi gəlir",AA10,IF(D234="Qeyri rəsmi gəlir",AB10))</f>
        <v>0</v>
      </c>
      <c r="P234" s="547" t="b">
        <f t="shared" si="18"/>
        <v>0</v>
      </c>
      <c r="Q234" s="548">
        <f t="shared" si="19"/>
        <v>0</v>
      </c>
      <c r="R234" s="543" t="str">
        <f t="shared" si="21"/>
        <v>-</v>
      </c>
      <c r="S234" s="549"/>
      <c r="T234" s="543" t="e">
        <f t="shared" si="22"/>
        <v>#VALUE!</v>
      </c>
      <c r="U234" s="548" t="e">
        <f t="shared" si="20"/>
        <v>#VALUE!</v>
      </c>
      <c r="V234" s="548" t="e">
        <f t="shared" si="23"/>
        <v>#VALUE!</v>
      </c>
      <c r="W234" s="544"/>
      <c r="X234" s="556"/>
    </row>
    <row r="235" spans="1:24">
      <c r="A235" s="552">
        <v>233</v>
      </c>
      <c r="B235" s="560"/>
      <c r="C235" s="554"/>
      <c r="D235" s="544" t="s">
        <v>799</v>
      </c>
      <c r="E235" s="555"/>
      <c r="F235" s="545">
        <f>E235-(E235*Z13)</f>
        <v>0</v>
      </c>
      <c r="G235" s="546"/>
      <c r="H235" s="547">
        <f>IF(D235="Rəsmi gəlir",AA3,IF(D235="Qeyri rəsmi gəlir",AB3))</f>
        <v>7.0000000000000007E-2</v>
      </c>
      <c r="I235" s="547">
        <f>IF(D235="Rəsmi gəlir",AA4,IF(D235="Qeyri rəsmi gəlir",AB4))</f>
        <v>0.12</v>
      </c>
      <c r="J235" s="547">
        <f>IF(D235="Rəsmi gəlir",AA5,IF(D235="Qeyri rəsmi gəlir",AB5))</f>
        <v>0.16</v>
      </c>
      <c r="K235" s="547">
        <f>IF(D235="Rəsmi gəlir",AA6,IF(D235="Qeyri rəsmi gəlir",AB6))</f>
        <v>0.2</v>
      </c>
      <c r="L235" s="547">
        <f>IF(D235="Rəsmi gəlir",AA7,IF(D235="Qeyri rəsmi gəlir",AB7))</f>
        <v>0.23</v>
      </c>
      <c r="M235" s="547">
        <f>IF(D235="Rəsmi gəlir",AA8,IF(D235="Qeyri rəsmi gəlir",AB8))</f>
        <v>0.25600000000000001</v>
      </c>
      <c r="N235" s="547">
        <f>IF(D235="Rəsmi gəlir",AA9,IF(D235="Qeyri rəsmi gəlir",AB9))</f>
        <v>0.28550000000000003</v>
      </c>
      <c r="O235" s="547">
        <f>IF(D235="Rəsmi gəlir",AA10,IF(D235="Qeyri rəsmi gəlir",AB10))</f>
        <v>0</v>
      </c>
      <c r="P235" s="547" t="b">
        <f t="shared" si="18"/>
        <v>0</v>
      </c>
      <c r="Q235" s="548">
        <f t="shared" si="19"/>
        <v>0</v>
      </c>
      <c r="R235" s="543" t="str">
        <f t="shared" si="21"/>
        <v>-</v>
      </c>
      <c r="S235" s="549"/>
      <c r="T235" s="543" t="e">
        <f t="shared" si="22"/>
        <v>#VALUE!</v>
      </c>
      <c r="U235" s="548" t="e">
        <f t="shared" si="20"/>
        <v>#VALUE!</v>
      </c>
      <c r="V235" s="548" t="e">
        <f t="shared" si="23"/>
        <v>#VALUE!</v>
      </c>
      <c r="W235" s="544"/>
      <c r="X235" s="556"/>
    </row>
    <row r="236" spans="1:24">
      <c r="A236" s="552">
        <v>234</v>
      </c>
      <c r="B236" s="560"/>
      <c r="C236" s="554"/>
      <c r="D236" s="544" t="s">
        <v>799</v>
      </c>
      <c r="E236" s="555"/>
      <c r="F236" s="545">
        <f>E236-(E236*Z13)</f>
        <v>0</v>
      </c>
      <c r="G236" s="546"/>
      <c r="H236" s="547">
        <f>IF(D236="Rəsmi gəlir",AA3,IF(D236="Qeyri rəsmi gəlir",AB3))</f>
        <v>7.0000000000000007E-2</v>
      </c>
      <c r="I236" s="547">
        <f>IF(D236="Rəsmi gəlir",AA4,IF(D236="Qeyri rəsmi gəlir",AB4))</f>
        <v>0.12</v>
      </c>
      <c r="J236" s="547">
        <f>IF(D236="Rəsmi gəlir",AA5,IF(D236="Qeyri rəsmi gəlir",AB5))</f>
        <v>0.16</v>
      </c>
      <c r="K236" s="547">
        <f>IF(D236="Rəsmi gəlir",AA6,IF(D236="Qeyri rəsmi gəlir",AB6))</f>
        <v>0.2</v>
      </c>
      <c r="L236" s="547">
        <f>IF(D236="Rəsmi gəlir",AA7,IF(D236="Qeyri rəsmi gəlir",AB7))</f>
        <v>0.23</v>
      </c>
      <c r="M236" s="547">
        <f>IF(D236="Rəsmi gəlir",AA8,IF(D236="Qeyri rəsmi gəlir",AB8))</f>
        <v>0.25600000000000001</v>
      </c>
      <c r="N236" s="547">
        <f>IF(D236="Rəsmi gəlir",AA9,IF(D236="Qeyri rəsmi gəlir",AB9))</f>
        <v>0.28550000000000003</v>
      </c>
      <c r="O236" s="547">
        <f>IF(D236="Rəsmi gəlir",AA10,IF(D236="Qeyri rəsmi gəlir",AB10))</f>
        <v>0</v>
      </c>
      <c r="P236" s="547" t="b">
        <f t="shared" si="18"/>
        <v>0</v>
      </c>
      <c r="Q236" s="548">
        <f t="shared" si="19"/>
        <v>0</v>
      </c>
      <c r="R236" s="543" t="str">
        <f t="shared" si="21"/>
        <v>-</v>
      </c>
      <c r="S236" s="549"/>
      <c r="T236" s="543" t="e">
        <f t="shared" si="22"/>
        <v>#VALUE!</v>
      </c>
      <c r="U236" s="548" t="e">
        <f t="shared" si="20"/>
        <v>#VALUE!</v>
      </c>
      <c r="V236" s="548" t="e">
        <f t="shared" si="23"/>
        <v>#VALUE!</v>
      </c>
      <c r="W236" s="544"/>
      <c r="X236" s="556"/>
    </row>
    <row r="237" spans="1:24">
      <c r="A237" s="552">
        <v>235</v>
      </c>
      <c r="B237" s="560"/>
      <c r="C237" s="554"/>
      <c r="D237" s="544" t="s">
        <v>799</v>
      </c>
      <c r="E237" s="555"/>
      <c r="F237" s="545">
        <f>E237-(E237*Z13)</f>
        <v>0</v>
      </c>
      <c r="G237" s="546"/>
      <c r="H237" s="547">
        <f>IF(D237="Rəsmi gəlir",AA3,IF(D237="Qeyri rəsmi gəlir",AB3))</f>
        <v>7.0000000000000007E-2</v>
      </c>
      <c r="I237" s="547">
        <f>IF(D237="Rəsmi gəlir",AA4,IF(D237="Qeyri rəsmi gəlir",AB4))</f>
        <v>0.12</v>
      </c>
      <c r="J237" s="547">
        <f>IF(D237="Rəsmi gəlir",AA5,IF(D237="Qeyri rəsmi gəlir",AB5))</f>
        <v>0.16</v>
      </c>
      <c r="K237" s="547">
        <f>IF(D237="Rəsmi gəlir",AA6,IF(D237="Qeyri rəsmi gəlir",AB6))</f>
        <v>0.2</v>
      </c>
      <c r="L237" s="547">
        <f>IF(D237="Rəsmi gəlir",AA7,IF(D237="Qeyri rəsmi gəlir",AB7))</f>
        <v>0.23</v>
      </c>
      <c r="M237" s="547">
        <f>IF(D237="Rəsmi gəlir",AA8,IF(D237="Qeyri rəsmi gəlir",AB8))</f>
        <v>0.25600000000000001</v>
      </c>
      <c r="N237" s="547">
        <f>IF(D237="Rəsmi gəlir",AA9,IF(D237="Qeyri rəsmi gəlir",AB9))</f>
        <v>0.28550000000000003</v>
      </c>
      <c r="O237" s="547">
        <f>IF(D237="Rəsmi gəlir",AA10,IF(D237="Qeyri rəsmi gəlir",AB10))</f>
        <v>0</v>
      </c>
      <c r="P237" s="547" t="b">
        <f t="shared" si="18"/>
        <v>0</v>
      </c>
      <c r="Q237" s="548">
        <f t="shared" si="19"/>
        <v>0</v>
      </c>
      <c r="R237" s="543" t="str">
        <f t="shared" si="21"/>
        <v>-</v>
      </c>
      <c r="S237" s="549"/>
      <c r="T237" s="543" t="e">
        <f t="shared" si="22"/>
        <v>#VALUE!</v>
      </c>
      <c r="U237" s="548" t="e">
        <f t="shared" si="20"/>
        <v>#VALUE!</v>
      </c>
      <c r="V237" s="548" t="e">
        <f t="shared" si="23"/>
        <v>#VALUE!</v>
      </c>
      <c r="W237" s="544"/>
      <c r="X237" s="556"/>
    </row>
    <row r="238" spans="1:24">
      <c r="A238" s="552">
        <v>236</v>
      </c>
      <c r="B238" s="560"/>
      <c r="C238" s="554"/>
      <c r="D238" s="544" t="s">
        <v>799</v>
      </c>
      <c r="E238" s="555"/>
      <c r="F238" s="545">
        <f>E238-(E238*Z13)</f>
        <v>0</v>
      </c>
      <c r="G238" s="546"/>
      <c r="H238" s="547">
        <f>IF(D238="Rəsmi gəlir",AA3,IF(D238="Qeyri rəsmi gəlir",AB3))</f>
        <v>7.0000000000000007E-2</v>
      </c>
      <c r="I238" s="547">
        <f>IF(D238="Rəsmi gəlir",AA4,IF(D238="Qeyri rəsmi gəlir",AB4))</f>
        <v>0.12</v>
      </c>
      <c r="J238" s="547">
        <f>IF(D238="Rəsmi gəlir",AA5,IF(D238="Qeyri rəsmi gəlir",AB5))</f>
        <v>0.16</v>
      </c>
      <c r="K238" s="547">
        <f>IF(D238="Rəsmi gəlir",AA6,IF(D238="Qeyri rəsmi gəlir",AB6))</f>
        <v>0.2</v>
      </c>
      <c r="L238" s="547">
        <f>IF(D238="Rəsmi gəlir",AA7,IF(D238="Qeyri rəsmi gəlir",AB7))</f>
        <v>0.23</v>
      </c>
      <c r="M238" s="547">
        <f>IF(D238="Rəsmi gəlir",AA8,IF(D238="Qeyri rəsmi gəlir",AB8))</f>
        <v>0.25600000000000001</v>
      </c>
      <c r="N238" s="547">
        <f>IF(D238="Rəsmi gəlir",AA9,IF(D238="Qeyri rəsmi gəlir",AB9))</f>
        <v>0.28550000000000003</v>
      </c>
      <c r="O238" s="547">
        <f>IF(D238="Rəsmi gəlir",AA10,IF(D238="Qeyri rəsmi gəlir",AB10))</f>
        <v>0</v>
      </c>
      <c r="P238" s="547" t="b">
        <f t="shared" si="18"/>
        <v>0</v>
      </c>
      <c r="Q238" s="548">
        <f t="shared" si="19"/>
        <v>0</v>
      </c>
      <c r="R238" s="543" t="str">
        <f t="shared" si="21"/>
        <v>-</v>
      </c>
      <c r="S238" s="549"/>
      <c r="T238" s="543" t="e">
        <f t="shared" si="22"/>
        <v>#VALUE!</v>
      </c>
      <c r="U238" s="548" t="e">
        <f t="shared" si="20"/>
        <v>#VALUE!</v>
      </c>
      <c r="V238" s="548" t="e">
        <f t="shared" si="23"/>
        <v>#VALUE!</v>
      </c>
      <c r="W238" s="544"/>
      <c r="X238" s="556"/>
    </row>
    <row r="239" spans="1:24">
      <c r="A239" s="552">
        <v>237</v>
      </c>
      <c r="B239" s="560"/>
      <c r="C239" s="554"/>
      <c r="D239" s="544" t="s">
        <v>799</v>
      </c>
      <c r="E239" s="555"/>
      <c r="F239" s="545">
        <f>E239-(E239*Z13)</f>
        <v>0</v>
      </c>
      <c r="G239" s="546"/>
      <c r="H239" s="547">
        <f>IF(D239="Rəsmi gəlir",AA3,IF(D239="Qeyri rəsmi gəlir",AB3))</f>
        <v>7.0000000000000007E-2</v>
      </c>
      <c r="I239" s="547">
        <f>IF(D239="Rəsmi gəlir",AA4,IF(D239="Qeyri rəsmi gəlir",AB4))</f>
        <v>0.12</v>
      </c>
      <c r="J239" s="547">
        <f>IF(D239="Rəsmi gəlir",AA5,IF(D239="Qeyri rəsmi gəlir",AB5))</f>
        <v>0.16</v>
      </c>
      <c r="K239" s="547">
        <f>IF(D239="Rəsmi gəlir",AA6,IF(D239="Qeyri rəsmi gəlir",AB6))</f>
        <v>0.2</v>
      </c>
      <c r="L239" s="547">
        <f>IF(D239="Rəsmi gəlir",AA7,IF(D239="Qeyri rəsmi gəlir",AB7))</f>
        <v>0.23</v>
      </c>
      <c r="M239" s="547">
        <f>IF(D239="Rəsmi gəlir",AA8,IF(D239="Qeyri rəsmi gəlir",AB8))</f>
        <v>0.25600000000000001</v>
      </c>
      <c r="N239" s="547">
        <f>IF(D239="Rəsmi gəlir",AA9,IF(D239="Qeyri rəsmi gəlir",AB9))</f>
        <v>0.28550000000000003</v>
      </c>
      <c r="O239" s="547">
        <f>IF(D239="Rəsmi gəlir",AA10,IF(D239="Qeyri rəsmi gəlir",AB10))</f>
        <v>0</v>
      </c>
      <c r="P239" s="547" t="b">
        <f t="shared" si="18"/>
        <v>0</v>
      </c>
      <c r="Q239" s="548">
        <f t="shared" si="19"/>
        <v>0</v>
      </c>
      <c r="R239" s="543" t="str">
        <f t="shared" si="21"/>
        <v>-</v>
      </c>
      <c r="S239" s="549"/>
      <c r="T239" s="543" t="e">
        <f t="shared" si="22"/>
        <v>#VALUE!</v>
      </c>
      <c r="U239" s="548" t="e">
        <f t="shared" si="20"/>
        <v>#VALUE!</v>
      </c>
      <c r="V239" s="548" t="e">
        <f t="shared" si="23"/>
        <v>#VALUE!</v>
      </c>
      <c r="W239" s="544"/>
      <c r="X239" s="556"/>
    </row>
    <row r="240" spans="1:24">
      <c r="A240" s="552">
        <v>238</v>
      </c>
      <c r="B240" s="560"/>
      <c r="C240" s="554"/>
      <c r="D240" s="544" t="s">
        <v>799</v>
      </c>
      <c r="E240" s="555"/>
      <c r="F240" s="545">
        <f>E240-(E240*Z13)</f>
        <v>0</v>
      </c>
      <c r="G240" s="546"/>
      <c r="H240" s="547">
        <f>IF(D240="Rəsmi gəlir",AA3,IF(D240="Qeyri rəsmi gəlir",AB3))</f>
        <v>7.0000000000000007E-2</v>
      </c>
      <c r="I240" s="547">
        <f>IF(D240="Rəsmi gəlir",AA4,IF(D240="Qeyri rəsmi gəlir",AB4))</f>
        <v>0.12</v>
      </c>
      <c r="J240" s="547">
        <f>IF(D240="Rəsmi gəlir",AA5,IF(D240="Qeyri rəsmi gəlir",AB5))</f>
        <v>0.16</v>
      </c>
      <c r="K240" s="547">
        <f>IF(D240="Rəsmi gəlir",AA6,IF(D240="Qeyri rəsmi gəlir",AB6))</f>
        <v>0.2</v>
      </c>
      <c r="L240" s="547">
        <f>IF(D240="Rəsmi gəlir",AA7,IF(D240="Qeyri rəsmi gəlir",AB7))</f>
        <v>0.23</v>
      </c>
      <c r="M240" s="547">
        <f>IF(D240="Rəsmi gəlir",AA8,IF(D240="Qeyri rəsmi gəlir",AB8))</f>
        <v>0.25600000000000001</v>
      </c>
      <c r="N240" s="547">
        <f>IF(D240="Rəsmi gəlir",AA9,IF(D240="Qeyri rəsmi gəlir",AB9))</f>
        <v>0.28550000000000003</v>
      </c>
      <c r="O240" s="547">
        <f>IF(D240="Rəsmi gəlir",AA10,IF(D240="Qeyri rəsmi gəlir",AB10))</f>
        <v>0</v>
      </c>
      <c r="P240" s="547" t="b">
        <f t="shared" si="18"/>
        <v>0</v>
      </c>
      <c r="Q240" s="548">
        <f t="shared" si="19"/>
        <v>0</v>
      </c>
      <c r="R240" s="543" t="str">
        <f t="shared" si="21"/>
        <v>-</v>
      </c>
      <c r="S240" s="549"/>
      <c r="T240" s="543" t="e">
        <f t="shared" si="22"/>
        <v>#VALUE!</v>
      </c>
      <c r="U240" s="548" t="e">
        <f t="shared" si="20"/>
        <v>#VALUE!</v>
      </c>
      <c r="V240" s="548" t="e">
        <f t="shared" si="23"/>
        <v>#VALUE!</v>
      </c>
      <c r="W240" s="544"/>
      <c r="X240" s="556"/>
    </row>
    <row r="241" spans="1:24">
      <c r="A241" s="552">
        <v>239</v>
      </c>
      <c r="B241" s="560"/>
      <c r="C241" s="554"/>
      <c r="D241" s="544" t="s">
        <v>799</v>
      </c>
      <c r="E241" s="555"/>
      <c r="F241" s="545">
        <f>E241-(E241*Z13)</f>
        <v>0</v>
      </c>
      <c r="G241" s="546"/>
      <c r="H241" s="547">
        <f>IF(D241="Rəsmi gəlir",AA3,IF(D241="Qeyri rəsmi gəlir",AB3))</f>
        <v>7.0000000000000007E-2</v>
      </c>
      <c r="I241" s="547">
        <f>IF(D241="Rəsmi gəlir",AA4,IF(D241="Qeyri rəsmi gəlir",AB4))</f>
        <v>0.12</v>
      </c>
      <c r="J241" s="547">
        <f>IF(D241="Rəsmi gəlir",AA5,IF(D241="Qeyri rəsmi gəlir",AB5))</f>
        <v>0.16</v>
      </c>
      <c r="K241" s="547">
        <f>IF(D241="Rəsmi gəlir",AA6,IF(D241="Qeyri rəsmi gəlir",AB6))</f>
        <v>0.2</v>
      </c>
      <c r="L241" s="547">
        <f>IF(D241="Rəsmi gəlir",AA7,IF(D241="Qeyri rəsmi gəlir",AB7))</f>
        <v>0.23</v>
      </c>
      <c r="M241" s="547">
        <f>IF(D241="Rəsmi gəlir",AA8,IF(D241="Qeyri rəsmi gəlir",AB8))</f>
        <v>0.25600000000000001</v>
      </c>
      <c r="N241" s="547">
        <f>IF(D241="Rəsmi gəlir",AA9,IF(D241="Qeyri rəsmi gəlir",AB9))</f>
        <v>0.28550000000000003</v>
      </c>
      <c r="O241" s="547">
        <f>IF(D241="Rəsmi gəlir",AA10,IF(D241="Qeyri rəsmi gəlir",AB10))</f>
        <v>0</v>
      </c>
      <c r="P241" s="547" t="b">
        <f t="shared" si="18"/>
        <v>0</v>
      </c>
      <c r="Q241" s="548">
        <f t="shared" si="19"/>
        <v>0</v>
      </c>
      <c r="R241" s="543" t="str">
        <f t="shared" si="21"/>
        <v>-</v>
      </c>
      <c r="S241" s="549"/>
      <c r="T241" s="543" t="e">
        <f t="shared" si="22"/>
        <v>#VALUE!</v>
      </c>
      <c r="U241" s="548" t="e">
        <f t="shared" si="20"/>
        <v>#VALUE!</v>
      </c>
      <c r="V241" s="548" t="e">
        <f t="shared" si="23"/>
        <v>#VALUE!</v>
      </c>
      <c r="W241" s="544"/>
      <c r="X241" s="556"/>
    </row>
    <row r="242" spans="1:24">
      <c r="A242" s="552">
        <v>240</v>
      </c>
      <c r="B242" s="560"/>
      <c r="C242" s="554"/>
      <c r="D242" s="544" t="s">
        <v>799</v>
      </c>
      <c r="E242" s="555"/>
      <c r="F242" s="545">
        <f>E242-(E242*Z13)</f>
        <v>0</v>
      </c>
      <c r="G242" s="546"/>
      <c r="H242" s="547">
        <f>IF(D242="Rəsmi gəlir",AA3,IF(D242="Qeyri rəsmi gəlir",AB3))</f>
        <v>7.0000000000000007E-2</v>
      </c>
      <c r="I242" s="547">
        <f>IF(D242="Rəsmi gəlir",AA4,IF(D242="Qeyri rəsmi gəlir",AB4))</f>
        <v>0.12</v>
      </c>
      <c r="J242" s="547">
        <f>IF(D242="Rəsmi gəlir",AA5,IF(D242="Qeyri rəsmi gəlir",AB5))</f>
        <v>0.16</v>
      </c>
      <c r="K242" s="547">
        <f>IF(D242="Rəsmi gəlir",AA6,IF(D242="Qeyri rəsmi gəlir",AB6))</f>
        <v>0.2</v>
      </c>
      <c r="L242" s="547">
        <f>IF(D242="Rəsmi gəlir",AA7,IF(D242="Qeyri rəsmi gəlir",AB7))</f>
        <v>0.23</v>
      </c>
      <c r="M242" s="547">
        <f>IF(D242="Rəsmi gəlir",AA8,IF(D242="Qeyri rəsmi gəlir",AB8))</f>
        <v>0.25600000000000001</v>
      </c>
      <c r="N242" s="547">
        <f>IF(D242="Rəsmi gəlir",AA9,IF(D242="Qeyri rəsmi gəlir",AB9))</f>
        <v>0.28550000000000003</v>
      </c>
      <c r="O242" s="547">
        <f>IF(D242="Rəsmi gəlir",AA10,IF(D242="Qeyri rəsmi gəlir",AB10))</f>
        <v>0</v>
      </c>
      <c r="P242" s="547" t="b">
        <f t="shared" si="18"/>
        <v>0</v>
      </c>
      <c r="Q242" s="548">
        <f t="shared" si="19"/>
        <v>0</v>
      </c>
      <c r="R242" s="543" t="str">
        <f t="shared" si="21"/>
        <v>-</v>
      </c>
      <c r="S242" s="549"/>
      <c r="T242" s="543" t="e">
        <f t="shared" si="22"/>
        <v>#VALUE!</v>
      </c>
      <c r="U242" s="548" t="e">
        <f t="shared" si="20"/>
        <v>#VALUE!</v>
      </c>
      <c r="V242" s="548" t="e">
        <f t="shared" si="23"/>
        <v>#VALUE!</v>
      </c>
      <c r="W242" s="544"/>
      <c r="X242" s="556"/>
    </row>
    <row r="243" spans="1:24">
      <c r="A243" s="552">
        <v>241</v>
      </c>
      <c r="B243" s="560"/>
      <c r="C243" s="554"/>
      <c r="D243" s="544" t="s">
        <v>799</v>
      </c>
      <c r="E243" s="555"/>
      <c r="F243" s="545">
        <f>E243-(E243*Z13)</f>
        <v>0</v>
      </c>
      <c r="G243" s="546"/>
      <c r="H243" s="547">
        <f>IF(D243="Rəsmi gəlir",AA3,IF(D243="Qeyri rəsmi gəlir",AB3))</f>
        <v>7.0000000000000007E-2</v>
      </c>
      <c r="I243" s="547">
        <f>IF(D243="Rəsmi gəlir",AA4,IF(D243="Qeyri rəsmi gəlir",AB4))</f>
        <v>0.12</v>
      </c>
      <c r="J243" s="547">
        <f>IF(D243="Rəsmi gəlir",AA5,IF(D243="Qeyri rəsmi gəlir",AB5))</f>
        <v>0.16</v>
      </c>
      <c r="K243" s="547">
        <f>IF(D243="Rəsmi gəlir",AA6,IF(D243="Qeyri rəsmi gəlir",AB6))</f>
        <v>0.2</v>
      </c>
      <c r="L243" s="547">
        <f>IF(D243="Rəsmi gəlir",AA7,IF(D243="Qeyri rəsmi gəlir",AB7))</f>
        <v>0.23</v>
      </c>
      <c r="M243" s="547">
        <f>IF(D243="Rəsmi gəlir",AA8,IF(D243="Qeyri rəsmi gəlir",AB8))</f>
        <v>0.25600000000000001</v>
      </c>
      <c r="N243" s="547">
        <f>IF(D243="Rəsmi gəlir",AA9,IF(D243="Qeyri rəsmi gəlir",AB9))</f>
        <v>0.28550000000000003</v>
      </c>
      <c r="O243" s="547">
        <f>IF(D243="Rəsmi gəlir",AA10,IF(D243="Qeyri rəsmi gəlir",AB10))</f>
        <v>0</v>
      </c>
      <c r="P243" s="547" t="b">
        <f t="shared" si="18"/>
        <v>0</v>
      </c>
      <c r="Q243" s="548">
        <f t="shared" si="19"/>
        <v>0</v>
      </c>
      <c r="R243" s="543" t="str">
        <f t="shared" si="21"/>
        <v>-</v>
      </c>
      <c r="S243" s="549"/>
      <c r="T243" s="543" t="e">
        <f t="shared" si="22"/>
        <v>#VALUE!</v>
      </c>
      <c r="U243" s="548" t="e">
        <f t="shared" si="20"/>
        <v>#VALUE!</v>
      </c>
      <c r="V243" s="548" t="e">
        <f t="shared" si="23"/>
        <v>#VALUE!</v>
      </c>
      <c r="W243" s="544"/>
      <c r="X243" s="556"/>
    </row>
    <row r="244" spans="1:24">
      <c r="A244" s="552">
        <v>242</v>
      </c>
      <c r="B244" s="560"/>
      <c r="C244" s="554"/>
      <c r="D244" s="544" t="s">
        <v>799</v>
      </c>
      <c r="E244" s="555"/>
      <c r="F244" s="545">
        <f>E244-(E244*Z13)</f>
        <v>0</v>
      </c>
      <c r="G244" s="546"/>
      <c r="H244" s="547">
        <f>IF(D244="Rəsmi gəlir",AA3,IF(D244="Qeyri rəsmi gəlir",AB3))</f>
        <v>7.0000000000000007E-2</v>
      </c>
      <c r="I244" s="547">
        <f>IF(D244="Rəsmi gəlir",AA4,IF(D244="Qeyri rəsmi gəlir",AB4))</f>
        <v>0.12</v>
      </c>
      <c r="J244" s="547">
        <f>IF(D244="Rəsmi gəlir",AA5,IF(D244="Qeyri rəsmi gəlir",AB5))</f>
        <v>0.16</v>
      </c>
      <c r="K244" s="547">
        <f>IF(D244="Rəsmi gəlir",AA6,IF(D244="Qeyri rəsmi gəlir",AB6))</f>
        <v>0.2</v>
      </c>
      <c r="L244" s="547">
        <f>IF(D244="Rəsmi gəlir",AA7,IF(D244="Qeyri rəsmi gəlir",AB7))</f>
        <v>0.23</v>
      </c>
      <c r="M244" s="547">
        <f>IF(D244="Rəsmi gəlir",AA8,IF(D244="Qeyri rəsmi gəlir",AB8))</f>
        <v>0.25600000000000001</v>
      </c>
      <c r="N244" s="547">
        <f>IF(D244="Rəsmi gəlir",AA9,IF(D244="Qeyri rəsmi gəlir",AB9))</f>
        <v>0.28550000000000003</v>
      </c>
      <c r="O244" s="547">
        <f>IF(D244="Rəsmi gəlir",AA10,IF(D244="Qeyri rəsmi gəlir",AB10))</f>
        <v>0</v>
      </c>
      <c r="P244" s="547" t="b">
        <f t="shared" si="18"/>
        <v>0</v>
      </c>
      <c r="Q244" s="548">
        <f t="shared" si="19"/>
        <v>0</v>
      </c>
      <c r="R244" s="543" t="str">
        <f t="shared" si="21"/>
        <v>-</v>
      </c>
      <c r="S244" s="549"/>
      <c r="T244" s="543" t="e">
        <f t="shared" si="22"/>
        <v>#VALUE!</v>
      </c>
      <c r="U244" s="548" t="e">
        <f t="shared" si="20"/>
        <v>#VALUE!</v>
      </c>
      <c r="V244" s="548" t="e">
        <f t="shared" si="23"/>
        <v>#VALUE!</v>
      </c>
      <c r="W244" s="544"/>
      <c r="X244" s="556"/>
    </row>
    <row r="245" spans="1:24">
      <c r="A245" s="552">
        <v>243</v>
      </c>
      <c r="B245" s="560"/>
      <c r="C245" s="554"/>
      <c r="D245" s="544" t="s">
        <v>799</v>
      </c>
      <c r="E245" s="555"/>
      <c r="F245" s="545">
        <f>E245-(E245*Z13)</f>
        <v>0</v>
      </c>
      <c r="G245" s="546"/>
      <c r="H245" s="547">
        <f>IF(D245="Rəsmi gəlir",AA3,IF(D245="Qeyri rəsmi gəlir",AB3))</f>
        <v>7.0000000000000007E-2</v>
      </c>
      <c r="I245" s="547">
        <f>IF(D245="Rəsmi gəlir",AA4,IF(D245="Qeyri rəsmi gəlir",AB4))</f>
        <v>0.12</v>
      </c>
      <c r="J245" s="547">
        <f>IF(D245="Rəsmi gəlir",AA5,IF(D245="Qeyri rəsmi gəlir",AB5))</f>
        <v>0.16</v>
      </c>
      <c r="K245" s="547">
        <f>IF(D245="Rəsmi gəlir",AA6,IF(D245="Qeyri rəsmi gəlir",AB6))</f>
        <v>0.2</v>
      </c>
      <c r="L245" s="547">
        <f>IF(D245="Rəsmi gəlir",AA7,IF(D245="Qeyri rəsmi gəlir",AB7))</f>
        <v>0.23</v>
      </c>
      <c r="M245" s="547">
        <f>IF(D245="Rəsmi gəlir",AA8,IF(D245="Qeyri rəsmi gəlir",AB8))</f>
        <v>0.25600000000000001</v>
      </c>
      <c r="N245" s="547">
        <f>IF(D245="Rəsmi gəlir",AA9,IF(D245="Qeyri rəsmi gəlir",AB9))</f>
        <v>0.28550000000000003</v>
      </c>
      <c r="O245" s="547">
        <f>IF(D245="Rəsmi gəlir",AA10,IF(D245="Qeyri rəsmi gəlir",AB10))</f>
        <v>0</v>
      </c>
      <c r="P245" s="547" t="b">
        <f t="shared" si="18"/>
        <v>0</v>
      </c>
      <c r="Q245" s="548">
        <f t="shared" si="19"/>
        <v>0</v>
      </c>
      <c r="R245" s="543" t="str">
        <f t="shared" si="21"/>
        <v>-</v>
      </c>
      <c r="S245" s="549"/>
      <c r="T245" s="543" t="e">
        <f t="shared" si="22"/>
        <v>#VALUE!</v>
      </c>
      <c r="U245" s="548" t="e">
        <f t="shared" si="20"/>
        <v>#VALUE!</v>
      </c>
      <c r="V245" s="548" t="e">
        <f t="shared" si="23"/>
        <v>#VALUE!</v>
      </c>
      <c r="W245" s="544"/>
      <c r="X245" s="556"/>
    </row>
    <row r="246" spans="1:24">
      <c r="A246" s="552">
        <v>244</v>
      </c>
      <c r="B246" s="560"/>
      <c r="C246" s="554"/>
      <c r="D246" s="544" t="s">
        <v>799</v>
      </c>
      <c r="E246" s="555"/>
      <c r="F246" s="545">
        <f>E246-(E246*Z13)</f>
        <v>0</v>
      </c>
      <c r="G246" s="546"/>
      <c r="H246" s="547">
        <f>IF(D246="Rəsmi gəlir",AA3,IF(D246="Qeyri rəsmi gəlir",AB3))</f>
        <v>7.0000000000000007E-2</v>
      </c>
      <c r="I246" s="547">
        <f>IF(D246="Rəsmi gəlir",AA4,IF(D246="Qeyri rəsmi gəlir",AB4))</f>
        <v>0.12</v>
      </c>
      <c r="J246" s="547">
        <f>IF(D246="Rəsmi gəlir",AA5,IF(D246="Qeyri rəsmi gəlir",AB5))</f>
        <v>0.16</v>
      </c>
      <c r="K246" s="547">
        <f>IF(D246="Rəsmi gəlir",AA6,IF(D246="Qeyri rəsmi gəlir",AB6))</f>
        <v>0.2</v>
      </c>
      <c r="L246" s="547">
        <f>IF(D246="Rəsmi gəlir",AA7,IF(D246="Qeyri rəsmi gəlir",AB7))</f>
        <v>0.23</v>
      </c>
      <c r="M246" s="547">
        <f>IF(D246="Rəsmi gəlir",AA8,IF(D246="Qeyri rəsmi gəlir",AB8))</f>
        <v>0.25600000000000001</v>
      </c>
      <c r="N246" s="547">
        <f>IF(D246="Rəsmi gəlir",AA9,IF(D246="Qeyri rəsmi gəlir",AB9))</f>
        <v>0.28550000000000003</v>
      </c>
      <c r="O246" s="547">
        <f>IF(D246="Rəsmi gəlir",AA10,IF(D246="Qeyri rəsmi gəlir",AB10))</f>
        <v>0</v>
      </c>
      <c r="P246" s="547" t="b">
        <f t="shared" si="18"/>
        <v>0</v>
      </c>
      <c r="Q246" s="548">
        <f t="shared" si="19"/>
        <v>0</v>
      </c>
      <c r="R246" s="543" t="str">
        <f t="shared" si="21"/>
        <v>-</v>
      </c>
      <c r="S246" s="549"/>
      <c r="T246" s="543" t="e">
        <f t="shared" si="22"/>
        <v>#VALUE!</v>
      </c>
      <c r="U246" s="548" t="e">
        <f t="shared" si="20"/>
        <v>#VALUE!</v>
      </c>
      <c r="V246" s="548" t="e">
        <f t="shared" si="23"/>
        <v>#VALUE!</v>
      </c>
      <c r="W246" s="544"/>
      <c r="X246" s="556"/>
    </row>
    <row r="247" spans="1:24">
      <c r="A247" s="552">
        <v>245</v>
      </c>
      <c r="B247" s="560"/>
      <c r="C247" s="554"/>
      <c r="D247" s="544" t="s">
        <v>799</v>
      </c>
      <c r="E247" s="555"/>
      <c r="F247" s="545">
        <f>E247-(E247*Z13)</f>
        <v>0</v>
      </c>
      <c r="G247" s="546"/>
      <c r="H247" s="547">
        <f>IF(D247="Rəsmi gəlir",AA3,IF(D247="Qeyri rəsmi gəlir",AB3))</f>
        <v>7.0000000000000007E-2</v>
      </c>
      <c r="I247" s="547">
        <f>IF(D247="Rəsmi gəlir",AA4,IF(D247="Qeyri rəsmi gəlir",AB4))</f>
        <v>0.12</v>
      </c>
      <c r="J247" s="547">
        <f>IF(D247="Rəsmi gəlir",AA5,IF(D247="Qeyri rəsmi gəlir",AB5))</f>
        <v>0.16</v>
      </c>
      <c r="K247" s="547">
        <f>IF(D247="Rəsmi gəlir",AA6,IF(D247="Qeyri rəsmi gəlir",AB6))</f>
        <v>0.2</v>
      </c>
      <c r="L247" s="547">
        <f>IF(D247="Rəsmi gəlir",AA7,IF(D247="Qeyri rəsmi gəlir",AB7))</f>
        <v>0.23</v>
      </c>
      <c r="M247" s="547">
        <f>IF(D247="Rəsmi gəlir",AA8,IF(D247="Qeyri rəsmi gəlir",AB8))</f>
        <v>0.25600000000000001</v>
      </c>
      <c r="N247" s="547">
        <f>IF(D247="Rəsmi gəlir",AA9,IF(D247="Qeyri rəsmi gəlir",AB9))</f>
        <v>0.28550000000000003</v>
      </c>
      <c r="O247" s="547">
        <f>IF(D247="Rəsmi gəlir",AA10,IF(D247="Qeyri rəsmi gəlir",AB10))</f>
        <v>0</v>
      </c>
      <c r="P247" s="547" t="b">
        <f t="shared" si="18"/>
        <v>0</v>
      </c>
      <c r="Q247" s="548">
        <f t="shared" si="19"/>
        <v>0</v>
      </c>
      <c r="R247" s="543" t="str">
        <f t="shared" si="21"/>
        <v>-</v>
      </c>
      <c r="S247" s="549"/>
      <c r="T247" s="543" t="e">
        <f t="shared" si="22"/>
        <v>#VALUE!</v>
      </c>
      <c r="U247" s="548" t="e">
        <f t="shared" si="20"/>
        <v>#VALUE!</v>
      </c>
      <c r="V247" s="548" t="e">
        <f t="shared" si="23"/>
        <v>#VALUE!</v>
      </c>
      <c r="W247" s="544"/>
      <c r="X247" s="556"/>
    </row>
    <row r="248" spans="1:24">
      <c r="A248" s="552">
        <v>246</v>
      </c>
      <c r="B248" s="560"/>
      <c r="C248" s="554"/>
      <c r="D248" s="544" t="s">
        <v>799</v>
      </c>
      <c r="E248" s="555"/>
      <c r="F248" s="545">
        <f>E248-(E248*Z13)</f>
        <v>0</v>
      </c>
      <c r="G248" s="546"/>
      <c r="H248" s="547">
        <f>IF(D248="Rəsmi gəlir",AA3,IF(D248="Qeyri rəsmi gəlir",AB3))</f>
        <v>7.0000000000000007E-2</v>
      </c>
      <c r="I248" s="547">
        <f>IF(D248="Rəsmi gəlir",AA4,IF(D248="Qeyri rəsmi gəlir",AB4))</f>
        <v>0.12</v>
      </c>
      <c r="J248" s="547">
        <f>IF(D248="Rəsmi gəlir",AA5,IF(D248="Qeyri rəsmi gəlir",AB5))</f>
        <v>0.16</v>
      </c>
      <c r="K248" s="547">
        <f>IF(D248="Rəsmi gəlir",AA6,IF(D248="Qeyri rəsmi gəlir",AB6))</f>
        <v>0.2</v>
      </c>
      <c r="L248" s="547">
        <f>IF(D248="Rəsmi gəlir",AA7,IF(D248="Qeyri rəsmi gəlir",AB7))</f>
        <v>0.23</v>
      </c>
      <c r="M248" s="547">
        <f>IF(D248="Rəsmi gəlir",AA8,IF(D248="Qeyri rəsmi gəlir",AB8))</f>
        <v>0.25600000000000001</v>
      </c>
      <c r="N248" s="547">
        <f>IF(D248="Rəsmi gəlir",AA9,IF(D248="Qeyri rəsmi gəlir",AB9))</f>
        <v>0.28550000000000003</v>
      </c>
      <c r="O248" s="547">
        <f>IF(D248="Rəsmi gəlir",AA10,IF(D248="Qeyri rəsmi gəlir",AB10))</f>
        <v>0</v>
      </c>
      <c r="P248" s="547" t="b">
        <f t="shared" si="18"/>
        <v>0</v>
      </c>
      <c r="Q248" s="548">
        <f t="shared" si="19"/>
        <v>0</v>
      </c>
      <c r="R248" s="543" t="str">
        <f t="shared" si="21"/>
        <v>-</v>
      </c>
      <c r="S248" s="549"/>
      <c r="T248" s="543" t="e">
        <f t="shared" si="22"/>
        <v>#VALUE!</v>
      </c>
      <c r="U248" s="548" t="e">
        <f t="shared" si="20"/>
        <v>#VALUE!</v>
      </c>
      <c r="V248" s="548" t="e">
        <f t="shared" si="23"/>
        <v>#VALUE!</v>
      </c>
      <c r="W248" s="544"/>
      <c r="X248" s="556"/>
    </row>
    <row r="249" spans="1:24">
      <c r="A249" s="552">
        <v>247</v>
      </c>
      <c r="B249" s="560"/>
      <c r="C249" s="554"/>
      <c r="D249" s="544" t="s">
        <v>799</v>
      </c>
      <c r="E249" s="555"/>
      <c r="F249" s="545">
        <f>E249-(E249*Z13)</f>
        <v>0</v>
      </c>
      <c r="G249" s="546"/>
      <c r="H249" s="547">
        <f>IF(D249="Rəsmi gəlir",AA3,IF(D249="Qeyri rəsmi gəlir",AB3))</f>
        <v>7.0000000000000007E-2</v>
      </c>
      <c r="I249" s="547">
        <f>IF(D249="Rəsmi gəlir",AA4,IF(D249="Qeyri rəsmi gəlir",AB4))</f>
        <v>0.12</v>
      </c>
      <c r="J249" s="547">
        <f>IF(D249="Rəsmi gəlir",AA5,IF(D249="Qeyri rəsmi gəlir",AB5))</f>
        <v>0.16</v>
      </c>
      <c r="K249" s="547">
        <f>IF(D249="Rəsmi gəlir",AA6,IF(D249="Qeyri rəsmi gəlir",AB6))</f>
        <v>0.2</v>
      </c>
      <c r="L249" s="547">
        <f>IF(D249="Rəsmi gəlir",AA7,IF(D249="Qeyri rəsmi gəlir",AB7))</f>
        <v>0.23</v>
      </c>
      <c r="M249" s="547">
        <f>IF(D249="Rəsmi gəlir",AA8,IF(D249="Qeyri rəsmi gəlir",AB8))</f>
        <v>0.25600000000000001</v>
      </c>
      <c r="N249" s="547">
        <f>IF(D249="Rəsmi gəlir",AA9,IF(D249="Qeyri rəsmi gəlir",AB9))</f>
        <v>0.28550000000000003</v>
      </c>
      <c r="O249" s="547">
        <f>IF(D249="Rəsmi gəlir",AA10,IF(D249="Qeyri rəsmi gəlir",AB10))</f>
        <v>0</v>
      </c>
      <c r="P249" s="547" t="b">
        <f t="shared" si="18"/>
        <v>0</v>
      </c>
      <c r="Q249" s="548">
        <f t="shared" si="19"/>
        <v>0</v>
      </c>
      <c r="R249" s="543" t="str">
        <f t="shared" si="21"/>
        <v>-</v>
      </c>
      <c r="S249" s="549"/>
      <c r="T249" s="543" t="e">
        <f t="shared" si="22"/>
        <v>#VALUE!</v>
      </c>
      <c r="U249" s="548" t="e">
        <f t="shared" si="20"/>
        <v>#VALUE!</v>
      </c>
      <c r="V249" s="548" t="e">
        <f t="shared" si="23"/>
        <v>#VALUE!</v>
      </c>
      <c r="W249" s="544"/>
      <c r="X249" s="556"/>
    </row>
    <row r="250" spans="1:24">
      <c r="A250" s="552">
        <v>248</v>
      </c>
      <c r="B250" s="560"/>
      <c r="C250" s="554"/>
      <c r="D250" s="544" t="s">
        <v>799</v>
      </c>
      <c r="E250" s="555"/>
      <c r="F250" s="545">
        <f>E250-(E250*Z13)</f>
        <v>0</v>
      </c>
      <c r="G250" s="546"/>
      <c r="H250" s="547">
        <f>IF(D250="Rəsmi gəlir",AA3,IF(D250="Qeyri rəsmi gəlir",AB3))</f>
        <v>7.0000000000000007E-2</v>
      </c>
      <c r="I250" s="547">
        <f>IF(D250="Rəsmi gəlir",AA4,IF(D250="Qeyri rəsmi gəlir",AB4))</f>
        <v>0.12</v>
      </c>
      <c r="J250" s="547">
        <f>IF(D250="Rəsmi gəlir",AA5,IF(D250="Qeyri rəsmi gəlir",AB5))</f>
        <v>0.16</v>
      </c>
      <c r="K250" s="547">
        <f>IF(D250="Rəsmi gəlir",AA6,IF(D250="Qeyri rəsmi gəlir",AB6))</f>
        <v>0.2</v>
      </c>
      <c r="L250" s="547">
        <f>IF(D250="Rəsmi gəlir",AA7,IF(D250="Qeyri rəsmi gəlir",AB7))</f>
        <v>0.23</v>
      </c>
      <c r="M250" s="547">
        <f>IF(D250="Rəsmi gəlir",AA8,IF(D250="Qeyri rəsmi gəlir",AB8))</f>
        <v>0.25600000000000001</v>
      </c>
      <c r="N250" s="547">
        <f>IF(D250="Rəsmi gəlir",AA9,IF(D250="Qeyri rəsmi gəlir",AB9))</f>
        <v>0.28550000000000003</v>
      </c>
      <c r="O250" s="547">
        <f>IF(D250="Rəsmi gəlir",AA10,IF(D250="Qeyri rəsmi gəlir",AB10))</f>
        <v>0</v>
      </c>
      <c r="P250" s="547" t="b">
        <f t="shared" si="18"/>
        <v>0</v>
      </c>
      <c r="Q250" s="548">
        <f t="shared" si="19"/>
        <v>0</v>
      </c>
      <c r="R250" s="543" t="str">
        <f t="shared" si="21"/>
        <v>-</v>
      </c>
      <c r="S250" s="549"/>
      <c r="T250" s="543" t="e">
        <f t="shared" si="22"/>
        <v>#VALUE!</v>
      </c>
      <c r="U250" s="548" t="e">
        <f t="shared" si="20"/>
        <v>#VALUE!</v>
      </c>
      <c r="V250" s="548" t="e">
        <f t="shared" si="23"/>
        <v>#VALUE!</v>
      </c>
      <c r="W250" s="544"/>
      <c r="X250" s="556"/>
    </row>
    <row r="251" spans="1:24">
      <c r="A251" s="552">
        <v>249</v>
      </c>
      <c r="B251" s="560"/>
      <c r="C251" s="554"/>
      <c r="D251" s="544" t="s">
        <v>799</v>
      </c>
      <c r="E251" s="555"/>
      <c r="F251" s="545">
        <f>E251-(E251*Z13)</f>
        <v>0</v>
      </c>
      <c r="G251" s="546"/>
      <c r="H251" s="547">
        <f>IF(D251="Rəsmi gəlir",AA3,IF(D251="Qeyri rəsmi gəlir",AB3))</f>
        <v>7.0000000000000007E-2</v>
      </c>
      <c r="I251" s="547">
        <f>IF(D251="Rəsmi gəlir",AA4,IF(D251="Qeyri rəsmi gəlir",AB4))</f>
        <v>0.12</v>
      </c>
      <c r="J251" s="547">
        <f>IF(D251="Rəsmi gəlir",AA5,IF(D251="Qeyri rəsmi gəlir",AB5))</f>
        <v>0.16</v>
      </c>
      <c r="K251" s="547">
        <f>IF(D251="Rəsmi gəlir",AA6,IF(D251="Qeyri rəsmi gəlir",AB6))</f>
        <v>0.2</v>
      </c>
      <c r="L251" s="547">
        <f>IF(D251="Rəsmi gəlir",AA7,IF(D251="Qeyri rəsmi gəlir",AB7))</f>
        <v>0.23</v>
      </c>
      <c r="M251" s="547">
        <f>IF(D251="Rəsmi gəlir",AA8,IF(D251="Qeyri rəsmi gəlir",AB8))</f>
        <v>0.25600000000000001</v>
      </c>
      <c r="N251" s="547">
        <f>IF(D251="Rəsmi gəlir",AA9,IF(D251="Qeyri rəsmi gəlir",AB9))</f>
        <v>0.28550000000000003</v>
      </c>
      <c r="O251" s="547">
        <f>IF(D251="Rəsmi gəlir",AA10,IF(D251="Qeyri rəsmi gəlir",AB10))</f>
        <v>0</v>
      </c>
      <c r="P251" s="547" t="b">
        <f t="shared" si="18"/>
        <v>0</v>
      </c>
      <c r="Q251" s="548">
        <f t="shared" si="19"/>
        <v>0</v>
      </c>
      <c r="R251" s="543" t="str">
        <f t="shared" si="21"/>
        <v>-</v>
      </c>
      <c r="S251" s="549"/>
      <c r="T251" s="543" t="e">
        <f t="shared" si="22"/>
        <v>#VALUE!</v>
      </c>
      <c r="U251" s="548" t="e">
        <f t="shared" si="20"/>
        <v>#VALUE!</v>
      </c>
      <c r="V251" s="548" t="e">
        <f t="shared" si="23"/>
        <v>#VALUE!</v>
      </c>
      <c r="W251" s="544"/>
      <c r="X251" s="556"/>
    </row>
    <row r="252" spans="1:24">
      <c r="A252" s="552">
        <v>250</v>
      </c>
      <c r="B252" s="560"/>
      <c r="C252" s="554"/>
      <c r="D252" s="544" t="s">
        <v>799</v>
      </c>
      <c r="E252" s="555"/>
      <c r="F252" s="545">
        <f>E252-(E252*Z13)</f>
        <v>0</v>
      </c>
      <c r="G252" s="546"/>
      <c r="H252" s="547">
        <f>IF(D252="Rəsmi gəlir",AA3,IF(D252="Qeyri rəsmi gəlir",AB3))</f>
        <v>7.0000000000000007E-2</v>
      </c>
      <c r="I252" s="547">
        <f>IF(D252="Rəsmi gəlir",AA4,IF(D252="Qeyri rəsmi gəlir",AB4))</f>
        <v>0.12</v>
      </c>
      <c r="J252" s="547">
        <f>IF(D252="Rəsmi gəlir",AA5,IF(D252="Qeyri rəsmi gəlir",AB5))</f>
        <v>0.16</v>
      </c>
      <c r="K252" s="547">
        <f>IF(D252="Rəsmi gəlir",AA6,IF(D252="Qeyri rəsmi gəlir",AB6))</f>
        <v>0.2</v>
      </c>
      <c r="L252" s="547">
        <f>IF(D252="Rəsmi gəlir",AA7,IF(D252="Qeyri rəsmi gəlir",AB7))</f>
        <v>0.23</v>
      </c>
      <c r="M252" s="547">
        <f>IF(D252="Rəsmi gəlir",AA8,IF(D252="Qeyri rəsmi gəlir",AB8))</f>
        <v>0.25600000000000001</v>
      </c>
      <c r="N252" s="547">
        <f>IF(D252="Rəsmi gəlir",AA9,IF(D252="Qeyri rəsmi gəlir",AB9))</f>
        <v>0.28550000000000003</v>
      </c>
      <c r="O252" s="547">
        <f>IF(D252="Rəsmi gəlir",AA10,IF(D252="Qeyri rəsmi gəlir",AB10))</f>
        <v>0</v>
      </c>
      <c r="P252" s="547" t="b">
        <f t="shared" si="18"/>
        <v>0</v>
      </c>
      <c r="Q252" s="548">
        <f t="shared" si="19"/>
        <v>0</v>
      </c>
      <c r="R252" s="543" t="str">
        <f t="shared" si="21"/>
        <v>-</v>
      </c>
      <c r="S252" s="549"/>
      <c r="T252" s="543" t="e">
        <f t="shared" si="22"/>
        <v>#VALUE!</v>
      </c>
      <c r="U252" s="548" t="e">
        <f t="shared" si="20"/>
        <v>#VALUE!</v>
      </c>
      <c r="V252" s="548" t="e">
        <f t="shared" si="23"/>
        <v>#VALUE!</v>
      </c>
      <c r="W252" s="544"/>
      <c r="X252" s="556"/>
    </row>
    <row r="253" spans="1:24">
      <c r="A253" s="552">
        <v>251</v>
      </c>
      <c r="B253" s="560"/>
      <c r="C253" s="554"/>
      <c r="D253" s="544" t="s">
        <v>799</v>
      </c>
      <c r="E253" s="555"/>
      <c r="F253" s="545">
        <f>E253-(E253*Z13)</f>
        <v>0</v>
      </c>
      <c r="G253" s="546"/>
      <c r="H253" s="547">
        <f>IF(D253="Rəsmi gəlir",AA3,IF(D253="Qeyri rəsmi gəlir",AB3))</f>
        <v>7.0000000000000007E-2</v>
      </c>
      <c r="I253" s="547">
        <f>IF(D253="Rəsmi gəlir",AA4,IF(D253="Qeyri rəsmi gəlir",AB4))</f>
        <v>0.12</v>
      </c>
      <c r="J253" s="547">
        <f>IF(D253="Rəsmi gəlir",AA5,IF(D253="Qeyri rəsmi gəlir",AB5))</f>
        <v>0.16</v>
      </c>
      <c r="K253" s="547">
        <f>IF(D253="Rəsmi gəlir",AA6,IF(D253="Qeyri rəsmi gəlir",AB6))</f>
        <v>0.2</v>
      </c>
      <c r="L253" s="547">
        <f>IF(D253="Rəsmi gəlir",AA7,IF(D253="Qeyri rəsmi gəlir",AB7))</f>
        <v>0.23</v>
      </c>
      <c r="M253" s="547">
        <f>IF(D253="Rəsmi gəlir",AA8,IF(D253="Qeyri rəsmi gəlir",AB8))</f>
        <v>0.25600000000000001</v>
      </c>
      <c r="N253" s="547">
        <f>IF(D253="Rəsmi gəlir",AA9,IF(D253="Qeyri rəsmi gəlir",AB9))</f>
        <v>0.28550000000000003</v>
      </c>
      <c r="O253" s="547">
        <f>IF(D253="Rəsmi gəlir",AA10,IF(D253="Qeyri rəsmi gəlir",AB10))</f>
        <v>0</v>
      </c>
      <c r="P253" s="547" t="b">
        <f t="shared" si="18"/>
        <v>0</v>
      </c>
      <c r="Q253" s="548">
        <f t="shared" si="19"/>
        <v>0</v>
      </c>
      <c r="R253" s="543" t="str">
        <f t="shared" si="21"/>
        <v>-</v>
      </c>
      <c r="S253" s="549"/>
      <c r="T253" s="543" t="e">
        <f t="shared" si="22"/>
        <v>#VALUE!</v>
      </c>
      <c r="U253" s="548" t="e">
        <f t="shared" si="20"/>
        <v>#VALUE!</v>
      </c>
      <c r="V253" s="548" t="e">
        <f t="shared" si="23"/>
        <v>#VALUE!</v>
      </c>
      <c r="W253" s="544"/>
      <c r="X253" s="556"/>
    </row>
    <row r="254" spans="1:24">
      <c r="A254" s="552">
        <v>252</v>
      </c>
      <c r="B254" s="560"/>
      <c r="C254" s="554"/>
      <c r="D254" s="544" t="s">
        <v>799</v>
      </c>
      <c r="E254" s="555"/>
      <c r="F254" s="545">
        <f>E254-(E254*Z13)</f>
        <v>0</v>
      </c>
      <c r="G254" s="546"/>
      <c r="H254" s="547">
        <f>IF(D254="Rəsmi gəlir",AA3,IF(D254="Qeyri rəsmi gəlir",AB3))</f>
        <v>7.0000000000000007E-2</v>
      </c>
      <c r="I254" s="547">
        <f>IF(D254="Rəsmi gəlir",AA4,IF(D254="Qeyri rəsmi gəlir",AB4))</f>
        <v>0.12</v>
      </c>
      <c r="J254" s="547">
        <f>IF(D254="Rəsmi gəlir",AA5,IF(D254="Qeyri rəsmi gəlir",AB5))</f>
        <v>0.16</v>
      </c>
      <c r="K254" s="547">
        <f>IF(D254="Rəsmi gəlir",AA6,IF(D254="Qeyri rəsmi gəlir",AB6))</f>
        <v>0.2</v>
      </c>
      <c r="L254" s="547">
        <f>IF(D254="Rəsmi gəlir",AA7,IF(D254="Qeyri rəsmi gəlir",AB7))</f>
        <v>0.23</v>
      </c>
      <c r="M254" s="547">
        <f>IF(D254="Rəsmi gəlir",AA8,IF(D254="Qeyri rəsmi gəlir",AB8))</f>
        <v>0.25600000000000001</v>
      </c>
      <c r="N254" s="547">
        <f>IF(D254="Rəsmi gəlir",AA9,IF(D254="Qeyri rəsmi gəlir",AB9))</f>
        <v>0.28550000000000003</v>
      </c>
      <c r="O254" s="547">
        <f>IF(D254="Rəsmi gəlir",AA10,IF(D254="Qeyri rəsmi gəlir",AB10))</f>
        <v>0</v>
      </c>
      <c r="P254" s="547" t="b">
        <f t="shared" si="18"/>
        <v>0</v>
      </c>
      <c r="Q254" s="548">
        <f t="shared" si="19"/>
        <v>0</v>
      </c>
      <c r="R254" s="543" t="str">
        <f t="shared" si="21"/>
        <v>-</v>
      </c>
      <c r="S254" s="549"/>
      <c r="T254" s="543" t="e">
        <f t="shared" si="22"/>
        <v>#VALUE!</v>
      </c>
      <c r="U254" s="548" t="e">
        <f t="shared" si="20"/>
        <v>#VALUE!</v>
      </c>
      <c r="V254" s="548" t="e">
        <f t="shared" si="23"/>
        <v>#VALUE!</v>
      </c>
      <c r="W254" s="544"/>
      <c r="X254" s="556"/>
    </row>
    <row r="255" spans="1:24">
      <c r="A255" s="552">
        <v>253</v>
      </c>
      <c r="B255" s="560"/>
      <c r="C255" s="554"/>
      <c r="D255" s="544" t="s">
        <v>799</v>
      </c>
      <c r="E255" s="555"/>
      <c r="F255" s="545">
        <f>E255-(E255*Z13)</f>
        <v>0</v>
      </c>
      <c r="G255" s="546"/>
      <c r="H255" s="547">
        <f>IF(D255="Rəsmi gəlir",AA3,IF(D255="Qeyri rəsmi gəlir",AB3))</f>
        <v>7.0000000000000007E-2</v>
      </c>
      <c r="I255" s="547">
        <f>IF(D255="Rəsmi gəlir",AA4,IF(D255="Qeyri rəsmi gəlir",AB4))</f>
        <v>0.12</v>
      </c>
      <c r="J255" s="547">
        <f>IF(D255="Rəsmi gəlir",AA5,IF(D255="Qeyri rəsmi gəlir",AB5))</f>
        <v>0.16</v>
      </c>
      <c r="K255" s="547">
        <f>IF(D255="Rəsmi gəlir",AA6,IF(D255="Qeyri rəsmi gəlir",AB6))</f>
        <v>0.2</v>
      </c>
      <c r="L255" s="547">
        <f>IF(D255="Rəsmi gəlir",AA7,IF(D255="Qeyri rəsmi gəlir",AB7))</f>
        <v>0.23</v>
      </c>
      <c r="M255" s="547">
        <f>IF(D255="Rəsmi gəlir",AA8,IF(D255="Qeyri rəsmi gəlir",AB8))</f>
        <v>0.25600000000000001</v>
      </c>
      <c r="N255" s="547">
        <f>IF(D255="Rəsmi gəlir",AA9,IF(D255="Qeyri rəsmi gəlir",AB9))</f>
        <v>0.28550000000000003</v>
      </c>
      <c r="O255" s="547">
        <f>IF(D255="Rəsmi gəlir",AA10,IF(D255="Qeyri rəsmi gəlir",AB10))</f>
        <v>0</v>
      </c>
      <c r="P255" s="547" t="b">
        <f t="shared" si="18"/>
        <v>0</v>
      </c>
      <c r="Q255" s="548">
        <f t="shared" si="19"/>
        <v>0</v>
      </c>
      <c r="R255" s="543" t="str">
        <f t="shared" si="21"/>
        <v>-</v>
      </c>
      <c r="S255" s="549"/>
      <c r="T255" s="543" t="e">
        <f t="shared" si="22"/>
        <v>#VALUE!</v>
      </c>
      <c r="U255" s="548" t="e">
        <f t="shared" si="20"/>
        <v>#VALUE!</v>
      </c>
      <c r="V255" s="548" t="e">
        <f t="shared" si="23"/>
        <v>#VALUE!</v>
      </c>
      <c r="W255" s="544"/>
      <c r="X255" s="556"/>
    </row>
    <row r="256" spans="1:24">
      <c r="A256" s="552">
        <v>254</v>
      </c>
      <c r="B256" s="560"/>
      <c r="C256" s="554"/>
      <c r="D256" s="544" t="s">
        <v>799</v>
      </c>
      <c r="E256" s="555"/>
      <c r="F256" s="545">
        <f>E256-(E256*Z13)</f>
        <v>0</v>
      </c>
      <c r="G256" s="546"/>
      <c r="H256" s="547">
        <f>IF(D256="Rəsmi gəlir",AA3,IF(D256="Qeyri rəsmi gəlir",AB3))</f>
        <v>7.0000000000000007E-2</v>
      </c>
      <c r="I256" s="547">
        <f>IF(D256="Rəsmi gəlir",AA4,IF(D256="Qeyri rəsmi gəlir",AB4))</f>
        <v>0.12</v>
      </c>
      <c r="J256" s="547">
        <f>IF(D256="Rəsmi gəlir",AA5,IF(D256="Qeyri rəsmi gəlir",AB5))</f>
        <v>0.16</v>
      </c>
      <c r="K256" s="547">
        <f>IF(D256="Rəsmi gəlir",AA6,IF(D256="Qeyri rəsmi gəlir",AB6))</f>
        <v>0.2</v>
      </c>
      <c r="L256" s="547">
        <f>IF(D256="Rəsmi gəlir",AA7,IF(D256="Qeyri rəsmi gəlir",AB7))</f>
        <v>0.23</v>
      </c>
      <c r="M256" s="547">
        <f>IF(D256="Rəsmi gəlir",AA8,IF(D256="Qeyri rəsmi gəlir",AB8))</f>
        <v>0.25600000000000001</v>
      </c>
      <c r="N256" s="547">
        <f>IF(D256="Rəsmi gəlir",AA9,IF(D256="Qeyri rəsmi gəlir",AB9))</f>
        <v>0.28550000000000003</v>
      </c>
      <c r="O256" s="547">
        <f>IF(D256="Rəsmi gəlir",AA10,IF(D256="Qeyri rəsmi gəlir",AB10))</f>
        <v>0</v>
      </c>
      <c r="P256" s="547" t="b">
        <f t="shared" si="18"/>
        <v>0</v>
      </c>
      <c r="Q256" s="548">
        <f t="shared" si="19"/>
        <v>0</v>
      </c>
      <c r="R256" s="543" t="str">
        <f t="shared" si="21"/>
        <v>-</v>
      </c>
      <c r="S256" s="549"/>
      <c r="T256" s="543" t="e">
        <f t="shared" si="22"/>
        <v>#VALUE!</v>
      </c>
      <c r="U256" s="548" t="e">
        <f t="shared" si="20"/>
        <v>#VALUE!</v>
      </c>
      <c r="V256" s="548" t="e">
        <f t="shared" si="23"/>
        <v>#VALUE!</v>
      </c>
      <c r="W256" s="544"/>
      <c r="X256" s="556"/>
    </row>
    <row r="257" spans="1:24">
      <c r="A257" s="552">
        <v>255</v>
      </c>
      <c r="B257" s="560"/>
      <c r="C257" s="554"/>
      <c r="D257" s="544" t="s">
        <v>799</v>
      </c>
      <c r="E257" s="555"/>
      <c r="F257" s="545">
        <f>E257-(E257*Z13)</f>
        <v>0</v>
      </c>
      <c r="G257" s="546"/>
      <c r="H257" s="547">
        <f>IF(D257="Rəsmi gəlir",AA3,IF(D257="Qeyri rəsmi gəlir",AB3))</f>
        <v>7.0000000000000007E-2</v>
      </c>
      <c r="I257" s="547">
        <f>IF(D257="Rəsmi gəlir",AA4,IF(D257="Qeyri rəsmi gəlir",AB4))</f>
        <v>0.12</v>
      </c>
      <c r="J257" s="547">
        <f>IF(D257="Rəsmi gəlir",AA5,IF(D257="Qeyri rəsmi gəlir",AB5))</f>
        <v>0.16</v>
      </c>
      <c r="K257" s="547">
        <f>IF(D257="Rəsmi gəlir",AA6,IF(D257="Qeyri rəsmi gəlir",AB6))</f>
        <v>0.2</v>
      </c>
      <c r="L257" s="547">
        <f>IF(D257="Rəsmi gəlir",AA7,IF(D257="Qeyri rəsmi gəlir",AB7))</f>
        <v>0.23</v>
      </c>
      <c r="M257" s="547">
        <f>IF(D257="Rəsmi gəlir",AA8,IF(D257="Qeyri rəsmi gəlir",AB8))</f>
        <v>0.25600000000000001</v>
      </c>
      <c r="N257" s="547">
        <f>IF(D257="Rəsmi gəlir",AA9,IF(D257="Qeyri rəsmi gəlir",AB9))</f>
        <v>0.28550000000000003</v>
      </c>
      <c r="O257" s="547">
        <f>IF(D257="Rəsmi gəlir",AA10,IF(D257="Qeyri rəsmi gəlir",AB10))</f>
        <v>0</v>
      </c>
      <c r="P257" s="547" t="b">
        <f t="shared" si="18"/>
        <v>0</v>
      </c>
      <c r="Q257" s="548">
        <f t="shared" si="19"/>
        <v>0</v>
      </c>
      <c r="R257" s="543" t="str">
        <f t="shared" si="21"/>
        <v>-</v>
      </c>
      <c r="S257" s="549"/>
      <c r="T257" s="543" t="e">
        <f t="shared" si="22"/>
        <v>#VALUE!</v>
      </c>
      <c r="U257" s="548" t="e">
        <f t="shared" si="20"/>
        <v>#VALUE!</v>
      </c>
      <c r="V257" s="548" t="e">
        <f t="shared" si="23"/>
        <v>#VALUE!</v>
      </c>
      <c r="W257" s="544"/>
      <c r="X257" s="556"/>
    </row>
    <row r="258" spans="1:24">
      <c r="A258" s="552">
        <v>256</v>
      </c>
      <c r="B258" s="560"/>
      <c r="C258" s="554"/>
      <c r="D258" s="544" t="s">
        <v>799</v>
      </c>
      <c r="E258" s="555"/>
      <c r="F258" s="545">
        <f>E258-(E258*Z13)</f>
        <v>0</v>
      </c>
      <c r="G258" s="546"/>
      <c r="H258" s="547">
        <f>IF(D258="Rəsmi gəlir",AA3,IF(D258="Qeyri rəsmi gəlir",AB3))</f>
        <v>7.0000000000000007E-2</v>
      </c>
      <c r="I258" s="547">
        <f>IF(D258="Rəsmi gəlir",AA4,IF(D258="Qeyri rəsmi gəlir",AB4))</f>
        <v>0.12</v>
      </c>
      <c r="J258" s="547">
        <f>IF(D258="Rəsmi gəlir",AA5,IF(D258="Qeyri rəsmi gəlir",AB5))</f>
        <v>0.16</v>
      </c>
      <c r="K258" s="547">
        <f>IF(D258="Rəsmi gəlir",AA6,IF(D258="Qeyri rəsmi gəlir",AB6))</f>
        <v>0.2</v>
      </c>
      <c r="L258" s="547">
        <f>IF(D258="Rəsmi gəlir",AA7,IF(D258="Qeyri rəsmi gəlir",AB7))</f>
        <v>0.23</v>
      </c>
      <c r="M258" s="547">
        <f>IF(D258="Rəsmi gəlir",AA8,IF(D258="Qeyri rəsmi gəlir",AB8))</f>
        <v>0.25600000000000001</v>
      </c>
      <c r="N258" s="547">
        <f>IF(D258="Rəsmi gəlir",AA9,IF(D258="Qeyri rəsmi gəlir",AB9))</f>
        <v>0.28550000000000003</v>
      </c>
      <c r="O258" s="547">
        <f>IF(D258="Rəsmi gəlir",AA10,IF(D258="Qeyri rəsmi gəlir",AB10))</f>
        <v>0</v>
      </c>
      <c r="P258" s="547" t="b">
        <f t="shared" si="18"/>
        <v>0</v>
      </c>
      <c r="Q258" s="548">
        <f t="shared" si="19"/>
        <v>0</v>
      </c>
      <c r="R258" s="543" t="str">
        <f t="shared" si="21"/>
        <v>-</v>
      </c>
      <c r="S258" s="549"/>
      <c r="T258" s="543" t="e">
        <f t="shared" si="22"/>
        <v>#VALUE!</v>
      </c>
      <c r="U258" s="548" t="e">
        <f t="shared" si="20"/>
        <v>#VALUE!</v>
      </c>
      <c r="V258" s="548" t="e">
        <f t="shared" si="23"/>
        <v>#VALUE!</v>
      </c>
      <c r="W258" s="544"/>
      <c r="X258" s="556"/>
    </row>
    <row r="259" spans="1:24">
      <c r="A259" s="552">
        <v>257</v>
      </c>
      <c r="B259" s="560"/>
      <c r="C259" s="554"/>
      <c r="D259" s="544" t="s">
        <v>799</v>
      </c>
      <c r="E259" s="555"/>
      <c r="F259" s="545">
        <f>E259-(E259*Z13)</f>
        <v>0</v>
      </c>
      <c r="G259" s="546"/>
      <c r="H259" s="547">
        <f>IF(D259="Rəsmi gəlir",AA3,IF(D259="Qeyri rəsmi gəlir",AB3))</f>
        <v>7.0000000000000007E-2</v>
      </c>
      <c r="I259" s="547">
        <f>IF(D259="Rəsmi gəlir",AA4,IF(D259="Qeyri rəsmi gəlir",AB4))</f>
        <v>0.12</v>
      </c>
      <c r="J259" s="547">
        <f>IF(D259="Rəsmi gəlir",AA5,IF(D259="Qeyri rəsmi gəlir",AB5))</f>
        <v>0.16</v>
      </c>
      <c r="K259" s="547">
        <f>IF(D259="Rəsmi gəlir",AA6,IF(D259="Qeyri rəsmi gəlir",AB6))</f>
        <v>0.2</v>
      </c>
      <c r="L259" s="547">
        <f>IF(D259="Rəsmi gəlir",AA7,IF(D259="Qeyri rəsmi gəlir",AB7))</f>
        <v>0.23</v>
      </c>
      <c r="M259" s="547">
        <f>IF(D259="Rəsmi gəlir",AA8,IF(D259="Qeyri rəsmi gəlir",AB8))</f>
        <v>0.25600000000000001</v>
      </c>
      <c r="N259" s="547">
        <f>IF(D259="Rəsmi gəlir",AA9,IF(D259="Qeyri rəsmi gəlir",AB9))</f>
        <v>0.28550000000000003</v>
      </c>
      <c r="O259" s="547">
        <f>IF(D259="Rəsmi gəlir",AA10,IF(D259="Qeyri rəsmi gəlir",AB10))</f>
        <v>0</v>
      </c>
      <c r="P259" s="547" t="b">
        <f t="shared" ref="P259:P322" si="24">IF(G259="2",H259,IF(G259="3",H259,IF(G259="4",I259,IF(G259="5",I259,IF(G259="6",I259,IF(G259="7",J259,IF(G259="8",J259,IF(G259="9",J259,IF(G259="10",K259,IF(G259="11",K259,IF(G259="12",K259,IF(G259="13",L259,IF(G259="14",L259,IF(G259="15",L259,IF(G259="16",M259,IF(G259="17",M259,IF(G259="18",M259,IF(G259="19",N259,IF(G259="20",N259,IF(G259="21",N259,IF(G259="22",O259,IF(G259="23",O259,IF(G259="24",O259)))))))))))))))))))))))</f>
        <v>0</v>
      </c>
      <c r="Q259" s="548">
        <f t="shared" ref="Q259:Q322" si="25">F259*P259</f>
        <v>0</v>
      </c>
      <c r="R259" s="543" t="str">
        <f t="shared" si="21"/>
        <v>-</v>
      </c>
      <c r="S259" s="549"/>
      <c r="T259" s="543" t="e">
        <f t="shared" si="22"/>
        <v>#VALUE!</v>
      </c>
      <c r="U259" s="548" t="e">
        <f t="shared" ref="U259:U322" si="26">F259-(F259*P259)-R259</f>
        <v>#VALUE!</v>
      </c>
      <c r="V259" s="548" t="e">
        <f t="shared" si="23"/>
        <v>#VALUE!</v>
      </c>
      <c r="W259" s="544"/>
      <c r="X259" s="556"/>
    </row>
    <row r="260" spans="1:24">
      <c r="A260" s="552">
        <v>258</v>
      </c>
      <c r="B260" s="560"/>
      <c r="C260" s="554"/>
      <c r="D260" s="544" t="s">
        <v>799</v>
      </c>
      <c r="E260" s="555"/>
      <c r="F260" s="545">
        <f>E260-(E260*Z13)</f>
        <v>0</v>
      </c>
      <c r="G260" s="546"/>
      <c r="H260" s="547">
        <f>IF(D260="Rəsmi gəlir",AA3,IF(D260="Qeyri rəsmi gəlir",AB3))</f>
        <v>7.0000000000000007E-2</v>
      </c>
      <c r="I260" s="547">
        <f>IF(D260="Rəsmi gəlir",AA4,IF(D260="Qeyri rəsmi gəlir",AB4))</f>
        <v>0.12</v>
      </c>
      <c r="J260" s="547">
        <f>IF(D260="Rəsmi gəlir",AA5,IF(D260="Qeyri rəsmi gəlir",AB5))</f>
        <v>0.16</v>
      </c>
      <c r="K260" s="547">
        <f>IF(D260="Rəsmi gəlir",AA6,IF(D260="Qeyri rəsmi gəlir",AB6))</f>
        <v>0.2</v>
      </c>
      <c r="L260" s="547">
        <f>IF(D260="Rəsmi gəlir",AA7,IF(D260="Qeyri rəsmi gəlir",AB7))</f>
        <v>0.23</v>
      </c>
      <c r="M260" s="547">
        <f>IF(D260="Rəsmi gəlir",AA8,IF(D260="Qeyri rəsmi gəlir",AB8))</f>
        <v>0.25600000000000001</v>
      </c>
      <c r="N260" s="547">
        <f>IF(D260="Rəsmi gəlir",AA9,IF(D260="Qeyri rəsmi gəlir",AB9))</f>
        <v>0.28550000000000003</v>
      </c>
      <c r="O260" s="547">
        <f>IF(D260="Rəsmi gəlir",AA10,IF(D260="Qeyri rəsmi gəlir",AB10))</f>
        <v>0</v>
      </c>
      <c r="P260" s="547" t="b">
        <f t="shared" si="24"/>
        <v>0</v>
      </c>
      <c r="Q260" s="548">
        <f t="shared" si="25"/>
        <v>0</v>
      </c>
      <c r="R260" s="543" t="str">
        <f t="shared" ref="R260:R323" si="27">IF(Q260&lt;=0,"-",IF(Q260&gt;0,9))</f>
        <v>-</v>
      </c>
      <c r="S260" s="549"/>
      <c r="T260" s="543" t="e">
        <f t="shared" ref="T260:T323" si="28">U260*S260</f>
        <v>#VALUE!</v>
      </c>
      <c r="U260" s="548" t="e">
        <f t="shared" si="26"/>
        <v>#VALUE!</v>
      </c>
      <c r="V260" s="548" t="e">
        <f t="shared" ref="V260:V323" si="29">U260-T260</f>
        <v>#VALUE!</v>
      </c>
      <c r="W260" s="544"/>
      <c r="X260" s="556"/>
    </row>
    <row r="261" spans="1:24">
      <c r="A261" s="552">
        <v>259</v>
      </c>
      <c r="B261" s="560"/>
      <c r="C261" s="554"/>
      <c r="D261" s="544" t="s">
        <v>799</v>
      </c>
      <c r="E261" s="555"/>
      <c r="F261" s="545">
        <f>E261-(E261*Z13)</f>
        <v>0</v>
      </c>
      <c r="G261" s="546"/>
      <c r="H261" s="547">
        <f>IF(D261="Rəsmi gəlir",AA3,IF(D261="Qeyri rəsmi gəlir",AB3))</f>
        <v>7.0000000000000007E-2</v>
      </c>
      <c r="I261" s="547">
        <f>IF(D261="Rəsmi gəlir",AA4,IF(D261="Qeyri rəsmi gəlir",AB4))</f>
        <v>0.12</v>
      </c>
      <c r="J261" s="547">
        <f>IF(D261="Rəsmi gəlir",AA5,IF(D261="Qeyri rəsmi gəlir",AB5))</f>
        <v>0.16</v>
      </c>
      <c r="K261" s="547">
        <f>IF(D261="Rəsmi gəlir",AA6,IF(D261="Qeyri rəsmi gəlir",AB6))</f>
        <v>0.2</v>
      </c>
      <c r="L261" s="547">
        <f>IF(D261="Rəsmi gəlir",AA7,IF(D261="Qeyri rəsmi gəlir",AB7))</f>
        <v>0.23</v>
      </c>
      <c r="M261" s="547">
        <f>IF(D261="Rəsmi gəlir",AA8,IF(D261="Qeyri rəsmi gəlir",AB8))</f>
        <v>0.25600000000000001</v>
      </c>
      <c r="N261" s="547">
        <f>IF(D261="Rəsmi gəlir",AA9,IF(D261="Qeyri rəsmi gəlir",AB9))</f>
        <v>0.28550000000000003</v>
      </c>
      <c r="O261" s="547">
        <f>IF(D261="Rəsmi gəlir",AA10,IF(D261="Qeyri rəsmi gəlir",AB10))</f>
        <v>0</v>
      </c>
      <c r="P261" s="547" t="b">
        <f t="shared" si="24"/>
        <v>0</v>
      </c>
      <c r="Q261" s="548">
        <f t="shared" si="25"/>
        <v>0</v>
      </c>
      <c r="R261" s="543" t="str">
        <f t="shared" si="27"/>
        <v>-</v>
      </c>
      <c r="S261" s="549"/>
      <c r="T261" s="543" t="e">
        <f t="shared" si="28"/>
        <v>#VALUE!</v>
      </c>
      <c r="U261" s="548" t="e">
        <f t="shared" si="26"/>
        <v>#VALUE!</v>
      </c>
      <c r="V261" s="548" t="e">
        <f t="shared" si="29"/>
        <v>#VALUE!</v>
      </c>
      <c r="W261" s="544"/>
      <c r="X261" s="556"/>
    </row>
    <row r="262" spans="1:24">
      <c r="A262" s="552">
        <v>260</v>
      </c>
      <c r="B262" s="560"/>
      <c r="C262" s="554"/>
      <c r="D262" s="544" t="s">
        <v>799</v>
      </c>
      <c r="E262" s="555"/>
      <c r="F262" s="545">
        <f>E262-(E262*Z13)</f>
        <v>0</v>
      </c>
      <c r="G262" s="546"/>
      <c r="H262" s="547">
        <f>IF(D262="Rəsmi gəlir",AA3,IF(D262="Qeyri rəsmi gəlir",AB3))</f>
        <v>7.0000000000000007E-2</v>
      </c>
      <c r="I262" s="547">
        <f>IF(D262="Rəsmi gəlir",AA4,IF(D262="Qeyri rəsmi gəlir",AB4))</f>
        <v>0.12</v>
      </c>
      <c r="J262" s="547">
        <f>IF(D262="Rəsmi gəlir",AA5,IF(D262="Qeyri rəsmi gəlir",AB5))</f>
        <v>0.16</v>
      </c>
      <c r="K262" s="547">
        <f>IF(D262="Rəsmi gəlir",AA6,IF(D262="Qeyri rəsmi gəlir",AB6))</f>
        <v>0.2</v>
      </c>
      <c r="L262" s="547">
        <f>IF(D262="Rəsmi gəlir",AA7,IF(D262="Qeyri rəsmi gəlir",AB7))</f>
        <v>0.23</v>
      </c>
      <c r="M262" s="547">
        <f>IF(D262="Rəsmi gəlir",AA8,IF(D262="Qeyri rəsmi gəlir",AB8))</f>
        <v>0.25600000000000001</v>
      </c>
      <c r="N262" s="547">
        <f>IF(D262="Rəsmi gəlir",AA9,IF(D262="Qeyri rəsmi gəlir",AB9))</f>
        <v>0.28550000000000003</v>
      </c>
      <c r="O262" s="547">
        <f>IF(D262="Rəsmi gəlir",AA10,IF(D262="Qeyri rəsmi gəlir",AB10))</f>
        <v>0</v>
      </c>
      <c r="P262" s="547" t="b">
        <f t="shared" si="24"/>
        <v>0</v>
      </c>
      <c r="Q262" s="548">
        <f t="shared" si="25"/>
        <v>0</v>
      </c>
      <c r="R262" s="543" t="str">
        <f t="shared" si="27"/>
        <v>-</v>
      </c>
      <c r="S262" s="549"/>
      <c r="T262" s="543" t="e">
        <f t="shared" si="28"/>
        <v>#VALUE!</v>
      </c>
      <c r="U262" s="548" t="e">
        <f t="shared" si="26"/>
        <v>#VALUE!</v>
      </c>
      <c r="V262" s="548" t="e">
        <f t="shared" si="29"/>
        <v>#VALUE!</v>
      </c>
      <c r="W262" s="544"/>
      <c r="X262" s="556"/>
    </row>
    <row r="263" spans="1:24">
      <c r="A263" s="552">
        <v>261</v>
      </c>
      <c r="B263" s="560"/>
      <c r="C263" s="554"/>
      <c r="D263" s="544" t="s">
        <v>799</v>
      </c>
      <c r="E263" s="555"/>
      <c r="F263" s="545">
        <f>E263-(E263*Z13)</f>
        <v>0</v>
      </c>
      <c r="G263" s="546"/>
      <c r="H263" s="547">
        <f>IF(D263="Rəsmi gəlir",AA3,IF(D263="Qeyri rəsmi gəlir",AB3))</f>
        <v>7.0000000000000007E-2</v>
      </c>
      <c r="I263" s="547">
        <f>IF(D263="Rəsmi gəlir",AA4,IF(D263="Qeyri rəsmi gəlir",AB4))</f>
        <v>0.12</v>
      </c>
      <c r="J263" s="547">
        <f>IF(D263="Rəsmi gəlir",AA5,IF(D263="Qeyri rəsmi gəlir",AB5))</f>
        <v>0.16</v>
      </c>
      <c r="K263" s="547">
        <f>IF(D263="Rəsmi gəlir",AA6,IF(D263="Qeyri rəsmi gəlir",AB6))</f>
        <v>0.2</v>
      </c>
      <c r="L263" s="547">
        <f>IF(D263="Rəsmi gəlir",AA7,IF(D263="Qeyri rəsmi gəlir",AB7))</f>
        <v>0.23</v>
      </c>
      <c r="M263" s="547">
        <f>IF(D263="Rəsmi gəlir",AA8,IF(D263="Qeyri rəsmi gəlir",AB8))</f>
        <v>0.25600000000000001</v>
      </c>
      <c r="N263" s="547">
        <f>IF(D263="Rəsmi gəlir",AA9,IF(D263="Qeyri rəsmi gəlir",AB9))</f>
        <v>0.28550000000000003</v>
      </c>
      <c r="O263" s="547">
        <f>IF(D263="Rəsmi gəlir",AA10,IF(D263="Qeyri rəsmi gəlir",AB10))</f>
        <v>0</v>
      </c>
      <c r="P263" s="547" t="b">
        <f t="shared" si="24"/>
        <v>0</v>
      </c>
      <c r="Q263" s="548">
        <f t="shared" si="25"/>
        <v>0</v>
      </c>
      <c r="R263" s="543" t="str">
        <f t="shared" si="27"/>
        <v>-</v>
      </c>
      <c r="S263" s="549"/>
      <c r="T263" s="543" t="e">
        <f t="shared" si="28"/>
        <v>#VALUE!</v>
      </c>
      <c r="U263" s="548" t="e">
        <f t="shared" si="26"/>
        <v>#VALUE!</v>
      </c>
      <c r="V263" s="548" t="e">
        <f t="shared" si="29"/>
        <v>#VALUE!</v>
      </c>
      <c r="W263" s="544"/>
      <c r="X263" s="556"/>
    </row>
    <row r="264" spans="1:24">
      <c r="A264" s="552">
        <v>262</v>
      </c>
      <c r="B264" s="560"/>
      <c r="C264" s="554"/>
      <c r="D264" s="544" t="s">
        <v>799</v>
      </c>
      <c r="E264" s="555"/>
      <c r="F264" s="545">
        <f>E264-(E264*Z13)</f>
        <v>0</v>
      </c>
      <c r="G264" s="546"/>
      <c r="H264" s="547">
        <f>IF(D264="Rəsmi gəlir",AA3,IF(D264="Qeyri rəsmi gəlir",AB3))</f>
        <v>7.0000000000000007E-2</v>
      </c>
      <c r="I264" s="547">
        <f>IF(D264="Rəsmi gəlir",AA4,IF(D264="Qeyri rəsmi gəlir",AB4))</f>
        <v>0.12</v>
      </c>
      <c r="J264" s="547">
        <f>IF(D264="Rəsmi gəlir",AA5,IF(D264="Qeyri rəsmi gəlir",AB5))</f>
        <v>0.16</v>
      </c>
      <c r="K264" s="547">
        <f>IF(D264="Rəsmi gəlir",AA6,IF(D264="Qeyri rəsmi gəlir",AB6))</f>
        <v>0.2</v>
      </c>
      <c r="L264" s="547">
        <f>IF(D264="Rəsmi gəlir",AA7,IF(D264="Qeyri rəsmi gəlir",AB7))</f>
        <v>0.23</v>
      </c>
      <c r="M264" s="547">
        <f>IF(D264="Rəsmi gəlir",AA8,IF(D264="Qeyri rəsmi gəlir",AB8))</f>
        <v>0.25600000000000001</v>
      </c>
      <c r="N264" s="547">
        <f>IF(D264="Rəsmi gəlir",AA9,IF(D264="Qeyri rəsmi gəlir",AB9))</f>
        <v>0.28550000000000003</v>
      </c>
      <c r="O264" s="547">
        <f>IF(D264="Rəsmi gəlir",AA10,IF(D264="Qeyri rəsmi gəlir",AB10))</f>
        <v>0</v>
      </c>
      <c r="P264" s="547" t="b">
        <f t="shared" si="24"/>
        <v>0</v>
      </c>
      <c r="Q264" s="548">
        <f t="shared" si="25"/>
        <v>0</v>
      </c>
      <c r="R264" s="543" t="str">
        <f t="shared" si="27"/>
        <v>-</v>
      </c>
      <c r="S264" s="549"/>
      <c r="T264" s="543" t="e">
        <f t="shared" si="28"/>
        <v>#VALUE!</v>
      </c>
      <c r="U264" s="548" t="e">
        <f t="shared" si="26"/>
        <v>#VALUE!</v>
      </c>
      <c r="V264" s="548" t="e">
        <f t="shared" si="29"/>
        <v>#VALUE!</v>
      </c>
      <c r="W264" s="544"/>
      <c r="X264" s="556"/>
    </row>
    <row r="265" spans="1:24">
      <c r="A265" s="552">
        <v>263</v>
      </c>
      <c r="B265" s="560"/>
      <c r="C265" s="554"/>
      <c r="D265" s="544" t="s">
        <v>799</v>
      </c>
      <c r="E265" s="555"/>
      <c r="F265" s="545">
        <f>E265-(E265*Z13)</f>
        <v>0</v>
      </c>
      <c r="G265" s="546"/>
      <c r="H265" s="547">
        <f>IF(D265="Rəsmi gəlir",AA3,IF(D265="Qeyri rəsmi gəlir",AB3))</f>
        <v>7.0000000000000007E-2</v>
      </c>
      <c r="I265" s="547">
        <f>IF(D265="Rəsmi gəlir",AA4,IF(D265="Qeyri rəsmi gəlir",AB4))</f>
        <v>0.12</v>
      </c>
      <c r="J265" s="547">
        <f>IF(D265="Rəsmi gəlir",AA5,IF(D265="Qeyri rəsmi gəlir",AB5))</f>
        <v>0.16</v>
      </c>
      <c r="K265" s="547">
        <f>IF(D265="Rəsmi gəlir",AA6,IF(D265="Qeyri rəsmi gəlir",AB6))</f>
        <v>0.2</v>
      </c>
      <c r="L265" s="547">
        <f>IF(D265="Rəsmi gəlir",AA7,IF(D265="Qeyri rəsmi gəlir",AB7))</f>
        <v>0.23</v>
      </c>
      <c r="M265" s="547">
        <f>IF(D265="Rəsmi gəlir",AA8,IF(D265="Qeyri rəsmi gəlir",AB8))</f>
        <v>0.25600000000000001</v>
      </c>
      <c r="N265" s="547">
        <f>IF(D265="Rəsmi gəlir",AA9,IF(D265="Qeyri rəsmi gəlir",AB9))</f>
        <v>0.28550000000000003</v>
      </c>
      <c r="O265" s="547">
        <f>IF(D265="Rəsmi gəlir",AA10,IF(D265="Qeyri rəsmi gəlir",AB10))</f>
        <v>0</v>
      </c>
      <c r="P265" s="547" t="b">
        <f t="shared" si="24"/>
        <v>0</v>
      </c>
      <c r="Q265" s="548">
        <f t="shared" si="25"/>
        <v>0</v>
      </c>
      <c r="R265" s="543" t="str">
        <f t="shared" si="27"/>
        <v>-</v>
      </c>
      <c r="S265" s="549"/>
      <c r="T265" s="543" t="e">
        <f t="shared" si="28"/>
        <v>#VALUE!</v>
      </c>
      <c r="U265" s="548" t="e">
        <f t="shared" si="26"/>
        <v>#VALUE!</v>
      </c>
      <c r="V265" s="548" t="e">
        <f t="shared" si="29"/>
        <v>#VALUE!</v>
      </c>
      <c r="W265" s="544"/>
      <c r="X265" s="556"/>
    </row>
    <row r="266" spans="1:24">
      <c r="A266" s="552">
        <v>264</v>
      </c>
      <c r="B266" s="560"/>
      <c r="C266" s="554"/>
      <c r="D266" s="544" t="s">
        <v>799</v>
      </c>
      <c r="E266" s="555"/>
      <c r="F266" s="545">
        <f>E266-(E266*Z13)</f>
        <v>0</v>
      </c>
      <c r="G266" s="546"/>
      <c r="H266" s="547">
        <f>IF(D266="Rəsmi gəlir",AA3,IF(D266="Qeyri rəsmi gəlir",AB3))</f>
        <v>7.0000000000000007E-2</v>
      </c>
      <c r="I266" s="547">
        <f>IF(D266="Rəsmi gəlir",AA4,IF(D266="Qeyri rəsmi gəlir",AB4))</f>
        <v>0.12</v>
      </c>
      <c r="J266" s="547">
        <f>IF(D266="Rəsmi gəlir",AA5,IF(D266="Qeyri rəsmi gəlir",AB5))</f>
        <v>0.16</v>
      </c>
      <c r="K266" s="547">
        <f>IF(D266="Rəsmi gəlir",AA6,IF(D266="Qeyri rəsmi gəlir",AB6))</f>
        <v>0.2</v>
      </c>
      <c r="L266" s="547">
        <f>IF(D266="Rəsmi gəlir",AA7,IF(D266="Qeyri rəsmi gəlir",AB7))</f>
        <v>0.23</v>
      </c>
      <c r="M266" s="547">
        <f>IF(D266="Rəsmi gəlir",AA8,IF(D266="Qeyri rəsmi gəlir",AB8))</f>
        <v>0.25600000000000001</v>
      </c>
      <c r="N266" s="547">
        <f>IF(D266="Rəsmi gəlir",AA9,IF(D266="Qeyri rəsmi gəlir",AB9))</f>
        <v>0.28550000000000003</v>
      </c>
      <c r="O266" s="547">
        <f>IF(D266="Rəsmi gəlir",AA10,IF(D266="Qeyri rəsmi gəlir",AB10))</f>
        <v>0</v>
      </c>
      <c r="P266" s="547" t="b">
        <f t="shared" si="24"/>
        <v>0</v>
      </c>
      <c r="Q266" s="548">
        <f t="shared" si="25"/>
        <v>0</v>
      </c>
      <c r="R266" s="543" t="str">
        <f t="shared" si="27"/>
        <v>-</v>
      </c>
      <c r="S266" s="549"/>
      <c r="T266" s="543" t="e">
        <f t="shared" si="28"/>
        <v>#VALUE!</v>
      </c>
      <c r="U266" s="548" t="e">
        <f t="shared" si="26"/>
        <v>#VALUE!</v>
      </c>
      <c r="V266" s="548" t="e">
        <f t="shared" si="29"/>
        <v>#VALUE!</v>
      </c>
      <c r="W266" s="544"/>
      <c r="X266" s="556"/>
    </row>
    <row r="267" spans="1:24">
      <c r="A267" s="552">
        <v>265</v>
      </c>
      <c r="B267" s="560"/>
      <c r="C267" s="554"/>
      <c r="D267" s="544" t="s">
        <v>799</v>
      </c>
      <c r="E267" s="555"/>
      <c r="F267" s="545">
        <f>E267-(E267*Z13)</f>
        <v>0</v>
      </c>
      <c r="G267" s="546"/>
      <c r="H267" s="547">
        <f>IF(D267="Rəsmi gəlir",AA3,IF(D267="Qeyri rəsmi gəlir",AB3))</f>
        <v>7.0000000000000007E-2</v>
      </c>
      <c r="I267" s="547">
        <f>IF(D267="Rəsmi gəlir",AA4,IF(D267="Qeyri rəsmi gəlir",AB4))</f>
        <v>0.12</v>
      </c>
      <c r="J267" s="547">
        <f>IF(D267="Rəsmi gəlir",AA5,IF(D267="Qeyri rəsmi gəlir",AB5))</f>
        <v>0.16</v>
      </c>
      <c r="K267" s="547">
        <f>IF(D267="Rəsmi gəlir",AA6,IF(D267="Qeyri rəsmi gəlir",AB6))</f>
        <v>0.2</v>
      </c>
      <c r="L267" s="547">
        <f>IF(D267="Rəsmi gəlir",AA7,IF(D267="Qeyri rəsmi gəlir",AB7))</f>
        <v>0.23</v>
      </c>
      <c r="M267" s="547">
        <f>IF(D267="Rəsmi gəlir",AA8,IF(D267="Qeyri rəsmi gəlir",AB8))</f>
        <v>0.25600000000000001</v>
      </c>
      <c r="N267" s="547">
        <f>IF(D267="Rəsmi gəlir",AA9,IF(D267="Qeyri rəsmi gəlir",AB9))</f>
        <v>0.28550000000000003</v>
      </c>
      <c r="O267" s="547">
        <f>IF(D267="Rəsmi gəlir",AA10,IF(D267="Qeyri rəsmi gəlir",AB10))</f>
        <v>0</v>
      </c>
      <c r="P267" s="547" t="b">
        <f t="shared" si="24"/>
        <v>0</v>
      </c>
      <c r="Q267" s="548">
        <f t="shared" si="25"/>
        <v>0</v>
      </c>
      <c r="R267" s="543" t="str">
        <f t="shared" si="27"/>
        <v>-</v>
      </c>
      <c r="S267" s="549"/>
      <c r="T267" s="543" t="e">
        <f t="shared" si="28"/>
        <v>#VALUE!</v>
      </c>
      <c r="U267" s="548" t="e">
        <f t="shared" si="26"/>
        <v>#VALUE!</v>
      </c>
      <c r="V267" s="548" t="e">
        <f t="shared" si="29"/>
        <v>#VALUE!</v>
      </c>
      <c r="W267" s="544"/>
      <c r="X267" s="556"/>
    </row>
    <row r="268" spans="1:24">
      <c r="A268" s="552">
        <v>266</v>
      </c>
      <c r="B268" s="560"/>
      <c r="C268" s="554"/>
      <c r="D268" s="544" t="s">
        <v>799</v>
      </c>
      <c r="E268" s="555"/>
      <c r="F268" s="545">
        <f>E268-(E268*Z13)</f>
        <v>0</v>
      </c>
      <c r="G268" s="546"/>
      <c r="H268" s="547">
        <f>IF(D268="Rəsmi gəlir",AA3,IF(D268="Qeyri rəsmi gəlir",AB3))</f>
        <v>7.0000000000000007E-2</v>
      </c>
      <c r="I268" s="547">
        <f>IF(D268="Rəsmi gəlir",AA4,IF(D268="Qeyri rəsmi gəlir",AB4))</f>
        <v>0.12</v>
      </c>
      <c r="J268" s="547">
        <f>IF(D268="Rəsmi gəlir",AA5,IF(D268="Qeyri rəsmi gəlir",AB5))</f>
        <v>0.16</v>
      </c>
      <c r="K268" s="547">
        <f>IF(D268="Rəsmi gəlir",AA6,IF(D268="Qeyri rəsmi gəlir",AB6))</f>
        <v>0.2</v>
      </c>
      <c r="L268" s="547">
        <f>IF(D268="Rəsmi gəlir",AA7,IF(D268="Qeyri rəsmi gəlir",AB7))</f>
        <v>0.23</v>
      </c>
      <c r="M268" s="547">
        <f>IF(D268="Rəsmi gəlir",AA8,IF(D268="Qeyri rəsmi gəlir",AB8))</f>
        <v>0.25600000000000001</v>
      </c>
      <c r="N268" s="547">
        <f>IF(D268="Rəsmi gəlir",AA9,IF(D268="Qeyri rəsmi gəlir",AB9))</f>
        <v>0.28550000000000003</v>
      </c>
      <c r="O268" s="547">
        <f>IF(D268="Rəsmi gəlir",AA10,IF(D268="Qeyri rəsmi gəlir",AB10))</f>
        <v>0</v>
      </c>
      <c r="P268" s="547" t="b">
        <f t="shared" si="24"/>
        <v>0</v>
      </c>
      <c r="Q268" s="548">
        <f t="shared" si="25"/>
        <v>0</v>
      </c>
      <c r="R268" s="543" t="str">
        <f t="shared" si="27"/>
        <v>-</v>
      </c>
      <c r="S268" s="549"/>
      <c r="T268" s="543" t="e">
        <f t="shared" si="28"/>
        <v>#VALUE!</v>
      </c>
      <c r="U268" s="548" t="e">
        <f t="shared" si="26"/>
        <v>#VALUE!</v>
      </c>
      <c r="V268" s="548" t="e">
        <f t="shared" si="29"/>
        <v>#VALUE!</v>
      </c>
      <c r="W268" s="544"/>
      <c r="X268" s="556"/>
    </row>
    <row r="269" spans="1:24">
      <c r="A269" s="552">
        <v>267</v>
      </c>
      <c r="B269" s="560"/>
      <c r="C269" s="554"/>
      <c r="D269" s="544" t="s">
        <v>799</v>
      </c>
      <c r="E269" s="555"/>
      <c r="F269" s="545">
        <f>E269-(E269*Z13)</f>
        <v>0</v>
      </c>
      <c r="G269" s="546"/>
      <c r="H269" s="547">
        <f>IF(D269="Rəsmi gəlir",AA3,IF(D269="Qeyri rəsmi gəlir",AB3))</f>
        <v>7.0000000000000007E-2</v>
      </c>
      <c r="I269" s="547">
        <f>IF(D269="Rəsmi gəlir",AA4,IF(D269="Qeyri rəsmi gəlir",AB4))</f>
        <v>0.12</v>
      </c>
      <c r="J269" s="547">
        <f>IF(D269="Rəsmi gəlir",AA5,IF(D269="Qeyri rəsmi gəlir",AB5))</f>
        <v>0.16</v>
      </c>
      <c r="K269" s="547">
        <f>IF(D269="Rəsmi gəlir",AA6,IF(D269="Qeyri rəsmi gəlir",AB6))</f>
        <v>0.2</v>
      </c>
      <c r="L269" s="547">
        <f>IF(D269="Rəsmi gəlir",AA7,IF(D269="Qeyri rəsmi gəlir",AB7))</f>
        <v>0.23</v>
      </c>
      <c r="M269" s="547">
        <f>IF(D269="Rəsmi gəlir",AA8,IF(D269="Qeyri rəsmi gəlir",AB8))</f>
        <v>0.25600000000000001</v>
      </c>
      <c r="N269" s="547">
        <f>IF(D269="Rəsmi gəlir",AA9,IF(D269="Qeyri rəsmi gəlir",AB9))</f>
        <v>0.28550000000000003</v>
      </c>
      <c r="O269" s="547">
        <f>IF(D269="Rəsmi gəlir",AA10,IF(D269="Qeyri rəsmi gəlir",AB10))</f>
        <v>0</v>
      </c>
      <c r="P269" s="547" t="b">
        <f t="shared" si="24"/>
        <v>0</v>
      </c>
      <c r="Q269" s="548">
        <f t="shared" si="25"/>
        <v>0</v>
      </c>
      <c r="R269" s="543" t="str">
        <f t="shared" si="27"/>
        <v>-</v>
      </c>
      <c r="S269" s="549"/>
      <c r="T269" s="543" t="e">
        <f t="shared" si="28"/>
        <v>#VALUE!</v>
      </c>
      <c r="U269" s="548" t="e">
        <f t="shared" si="26"/>
        <v>#VALUE!</v>
      </c>
      <c r="V269" s="548" t="e">
        <f t="shared" si="29"/>
        <v>#VALUE!</v>
      </c>
      <c r="W269" s="544"/>
      <c r="X269" s="556"/>
    </row>
    <row r="270" spans="1:24">
      <c r="A270" s="552">
        <v>268</v>
      </c>
      <c r="B270" s="560"/>
      <c r="C270" s="554"/>
      <c r="D270" s="544" t="s">
        <v>799</v>
      </c>
      <c r="E270" s="555"/>
      <c r="F270" s="545">
        <f>E270-(E270*Z13)</f>
        <v>0</v>
      </c>
      <c r="G270" s="546"/>
      <c r="H270" s="547">
        <f>IF(D270="Rəsmi gəlir",AA3,IF(D270="Qeyri rəsmi gəlir",AB3))</f>
        <v>7.0000000000000007E-2</v>
      </c>
      <c r="I270" s="547">
        <f>IF(D270="Rəsmi gəlir",AA4,IF(D270="Qeyri rəsmi gəlir",AB4))</f>
        <v>0.12</v>
      </c>
      <c r="J270" s="547">
        <f>IF(D270="Rəsmi gəlir",AA5,IF(D270="Qeyri rəsmi gəlir",AB5))</f>
        <v>0.16</v>
      </c>
      <c r="K270" s="547">
        <f>IF(D270="Rəsmi gəlir",AA6,IF(D270="Qeyri rəsmi gəlir",AB6))</f>
        <v>0.2</v>
      </c>
      <c r="L270" s="547">
        <f>IF(D270="Rəsmi gəlir",AA7,IF(D270="Qeyri rəsmi gəlir",AB7))</f>
        <v>0.23</v>
      </c>
      <c r="M270" s="547">
        <f>IF(D270="Rəsmi gəlir",AA8,IF(D270="Qeyri rəsmi gəlir",AB8))</f>
        <v>0.25600000000000001</v>
      </c>
      <c r="N270" s="547">
        <f>IF(D270="Rəsmi gəlir",AA9,IF(D270="Qeyri rəsmi gəlir",AB9))</f>
        <v>0.28550000000000003</v>
      </c>
      <c r="O270" s="547">
        <f>IF(D270="Rəsmi gəlir",AA10,IF(D270="Qeyri rəsmi gəlir",AB10))</f>
        <v>0</v>
      </c>
      <c r="P270" s="547" t="b">
        <f t="shared" si="24"/>
        <v>0</v>
      </c>
      <c r="Q270" s="548">
        <f t="shared" si="25"/>
        <v>0</v>
      </c>
      <c r="R270" s="543" t="str">
        <f t="shared" si="27"/>
        <v>-</v>
      </c>
      <c r="S270" s="549"/>
      <c r="T270" s="543" t="e">
        <f t="shared" si="28"/>
        <v>#VALUE!</v>
      </c>
      <c r="U270" s="548" t="e">
        <f t="shared" si="26"/>
        <v>#VALUE!</v>
      </c>
      <c r="V270" s="548" t="e">
        <f t="shared" si="29"/>
        <v>#VALUE!</v>
      </c>
      <c r="W270" s="544"/>
      <c r="X270" s="556"/>
    </row>
    <row r="271" spans="1:24">
      <c r="A271" s="552">
        <v>269</v>
      </c>
      <c r="B271" s="560"/>
      <c r="C271" s="554"/>
      <c r="D271" s="544" t="s">
        <v>799</v>
      </c>
      <c r="E271" s="555"/>
      <c r="F271" s="545">
        <f>E271-(E271*Z13)</f>
        <v>0</v>
      </c>
      <c r="G271" s="546"/>
      <c r="H271" s="547">
        <f>IF(D271="Rəsmi gəlir",AA3,IF(D271="Qeyri rəsmi gəlir",AB3))</f>
        <v>7.0000000000000007E-2</v>
      </c>
      <c r="I271" s="547">
        <f>IF(D271="Rəsmi gəlir",AA4,IF(D271="Qeyri rəsmi gəlir",AB4))</f>
        <v>0.12</v>
      </c>
      <c r="J271" s="547">
        <f>IF(D271="Rəsmi gəlir",AA5,IF(D271="Qeyri rəsmi gəlir",AB5))</f>
        <v>0.16</v>
      </c>
      <c r="K271" s="547">
        <f>IF(D271="Rəsmi gəlir",AA6,IF(D271="Qeyri rəsmi gəlir",AB6))</f>
        <v>0.2</v>
      </c>
      <c r="L271" s="547">
        <f>IF(D271="Rəsmi gəlir",AA7,IF(D271="Qeyri rəsmi gəlir",AB7))</f>
        <v>0.23</v>
      </c>
      <c r="M271" s="547">
        <f>IF(D271="Rəsmi gəlir",AA8,IF(D271="Qeyri rəsmi gəlir",AB8))</f>
        <v>0.25600000000000001</v>
      </c>
      <c r="N271" s="547">
        <f>IF(D271="Rəsmi gəlir",AA9,IF(D271="Qeyri rəsmi gəlir",AB9))</f>
        <v>0.28550000000000003</v>
      </c>
      <c r="O271" s="547">
        <f>IF(D271="Rəsmi gəlir",AA10,IF(D271="Qeyri rəsmi gəlir",AB10))</f>
        <v>0</v>
      </c>
      <c r="P271" s="547" t="b">
        <f t="shared" si="24"/>
        <v>0</v>
      </c>
      <c r="Q271" s="548">
        <f t="shared" si="25"/>
        <v>0</v>
      </c>
      <c r="R271" s="543" t="str">
        <f t="shared" si="27"/>
        <v>-</v>
      </c>
      <c r="S271" s="549"/>
      <c r="T271" s="543" t="e">
        <f t="shared" si="28"/>
        <v>#VALUE!</v>
      </c>
      <c r="U271" s="548" t="e">
        <f t="shared" si="26"/>
        <v>#VALUE!</v>
      </c>
      <c r="V271" s="548" t="e">
        <f t="shared" si="29"/>
        <v>#VALUE!</v>
      </c>
      <c r="W271" s="544"/>
      <c r="X271" s="556"/>
    </row>
    <row r="272" spans="1:24">
      <c r="A272" s="552">
        <v>270</v>
      </c>
      <c r="B272" s="560"/>
      <c r="C272" s="554"/>
      <c r="D272" s="544" t="s">
        <v>799</v>
      </c>
      <c r="E272" s="555"/>
      <c r="F272" s="545">
        <f>E272-(E272*Z13)</f>
        <v>0</v>
      </c>
      <c r="G272" s="546"/>
      <c r="H272" s="547">
        <f>IF(D272="Rəsmi gəlir",AA3,IF(D272="Qeyri rəsmi gəlir",AB3))</f>
        <v>7.0000000000000007E-2</v>
      </c>
      <c r="I272" s="547">
        <f>IF(D272="Rəsmi gəlir",AA4,IF(D272="Qeyri rəsmi gəlir",AB4))</f>
        <v>0.12</v>
      </c>
      <c r="J272" s="547">
        <f>IF(D272="Rəsmi gəlir",AA5,IF(D272="Qeyri rəsmi gəlir",AB5))</f>
        <v>0.16</v>
      </c>
      <c r="K272" s="547">
        <f>IF(D272="Rəsmi gəlir",AA6,IF(D272="Qeyri rəsmi gəlir",AB6))</f>
        <v>0.2</v>
      </c>
      <c r="L272" s="547">
        <f>IF(D272="Rəsmi gəlir",AA7,IF(D272="Qeyri rəsmi gəlir",AB7))</f>
        <v>0.23</v>
      </c>
      <c r="M272" s="547">
        <f>IF(D272="Rəsmi gəlir",AA8,IF(D272="Qeyri rəsmi gəlir",AB8))</f>
        <v>0.25600000000000001</v>
      </c>
      <c r="N272" s="547">
        <f>IF(D272="Rəsmi gəlir",AA9,IF(D272="Qeyri rəsmi gəlir",AB9))</f>
        <v>0.28550000000000003</v>
      </c>
      <c r="O272" s="547">
        <f>IF(D272="Rəsmi gəlir",AA10,IF(D272="Qeyri rəsmi gəlir",AB10))</f>
        <v>0</v>
      </c>
      <c r="P272" s="547" t="b">
        <f t="shared" si="24"/>
        <v>0</v>
      </c>
      <c r="Q272" s="548">
        <f t="shared" si="25"/>
        <v>0</v>
      </c>
      <c r="R272" s="543" t="str">
        <f t="shared" si="27"/>
        <v>-</v>
      </c>
      <c r="S272" s="549"/>
      <c r="T272" s="543" t="e">
        <f t="shared" si="28"/>
        <v>#VALUE!</v>
      </c>
      <c r="U272" s="548" t="e">
        <f t="shared" si="26"/>
        <v>#VALUE!</v>
      </c>
      <c r="V272" s="548" t="e">
        <f t="shared" si="29"/>
        <v>#VALUE!</v>
      </c>
      <c r="W272" s="544"/>
      <c r="X272" s="556"/>
    </row>
    <row r="273" spans="1:24">
      <c r="A273" s="552">
        <v>271</v>
      </c>
      <c r="B273" s="560"/>
      <c r="C273" s="554"/>
      <c r="D273" s="544" t="s">
        <v>799</v>
      </c>
      <c r="E273" s="555"/>
      <c r="F273" s="545">
        <f>E273-(E273*Z13)</f>
        <v>0</v>
      </c>
      <c r="G273" s="546"/>
      <c r="H273" s="547">
        <f>IF(D273="Rəsmi gəlir",AA3,IF(D273="Qeyri rəsmi gəlir",AB3))</f>
        <v>7.0000000000000007E-2</v>
      </c>
      <c r="I273" s="547">
        <f>IF(D273="Rəsmi gəlir",AA4,IF(D273="Qeyri rəsmi gəlir",AB4))</f>
        <v>0.12</v>
      </c>
      <c r="J273" s="547">
        <f>IF(D273="Rəsmi gəlir",AA5,IF(D273="Qeyri rəsmi gəlir",AB5))</f>
        <v>0.16</v>
      </c>
      <c r="K273" s="547">
        <f>IF(D273="Rəsmi gəlir",AA6,IF(D273="Qeyri rəsmi gəlir",AB6))</f>
        <v>0.2</v>
      </c>
      <c r="L273" s="547">
        <f>IF(D273="Rəsmi gəlir",AA7,IF(D273="Qeyri rəsmi gəlir",AB7))</f>
        <v>0.23</v>
      </c>
      <c r="M273" s="547">
        <f>IF(D273="Rəsmi gəlir",AA8,IF(D273="Qeyri rəsmi gəlir",AB8))</f>
        <v>0.25600000000000001</v>
      </c>
      <c r="N273" s="547">
        <f>IF(D273="Rəsmi gəlir",AA9,IF(D273="Qeyri rəsmi gəlir",AB9))</f>
        <v>0.28550000000000003</v>
      </c>
      <c r="O273" s="547">
        <f>IF(D273="Rəsmi gəlir",AA10,IF(D273="Qeyri rəsmi gəlir",AB10))</f>
        <v>0</v>
      </c>
      <c r="P273" s="547" t="b">
        <f t="shared" si="24"/>
        <v>0</v>
      </c>
      <c r="Q273" s="548">
        <f t="shared" si="25"/>
        <v>0</v>
      </c>
      <c r="R273" s="543" t="str">
        <f t="shared" si="27"/>
        <v>-</v>
      </c>
      <c r="S273" s="549"/>
      <c r="T273" s="543" t="e">
        <f t="shared" si="28"/>
        <v>#VALUE!</v>
      </c>
      <c r="U273" s="548" t="e">
        <f t="shared" si="26"/>
        <v>#VALUE!</v>
      </c>
      <c r="V273" s="548" t="e">
        <f t="shared" si="29"/>
        <v>#VALUE!</v>
      </c>
      <c r="W273" s="544"/>
      <c r="X273" s="556"/>
    </row>
    <row r="274" spans="1:24">
      <c r="A274" s="552">
        <v>272</v>
      </c>
      <c r="B274" s="560"/>
      <c r="C274" s="554"/>
      <c r="D274" s="544" t="s">
        <v>799</v>
      </c>
      <c r="E274" s="555"/>
      <c r="F274" s="545">
        <f>E274-(E274*Z13)</f>
        <v>0</v>
      </c>
      <c r="G274" s="546"/>
      <c r="H274" s="547">
        <f>IF(D274="Rəsmi gəlir",AA3,IF(D274="Qeyri rəsmi gəlir",AB3))</f>
        <v>7.0000000000000007E-2</v>
      </c>
      <c r="I274" s="547">
        <f>IF(D274="Rəsmi gəlir",AA4,IF(D274="Qeyri rəsmi gəlir",AB4))</f>
        <v>0.12</v>
      </c>
      <c r="J274" s="547">
        <f>IF(D274="Rəsmi gəlir",AA5,IF(D274="Qeyri rəsmi gəlir",AB5))</f>
        <v>0.16</v>
      </c>
      <c r="K274" s="547">
        <f>IF(D274="Rəsmi gəlir",AA6,IF(D274="Qeyri rəsmi gəlir",AB6))</f>
        <v>0.2</v>
      </c>
      <c r="L274" s="547">
        <f>IF(D274="Rəsmi gəlir",AA7,IF(D274="Qeyri rəsmi gəlir",AB7))</f>
        <v>0.23</v>
      </c>
      <c r="M274" s="547">
        <f>IF(D274="Rəsmi gəlir",AA8,IF(D274="Qeyri rəsmi gəlir",AB8))</f>
        <v>0.25600000000000001</v>
      </c>
      <c r="N274" s="547">
        <f>IF(D274="Rəsmi gəlir",AA9,IF(D274="Qeyri rəsmi gəlir",AB9))</f>
        <v>0.28550000000000003</v>
      </c>
      <c r="O274" s="547">
        <f>IF(D274="Rəsmi gəlir",AA10,IF(D274="Qeyri rəsmi gəlir",AB10))</f>
        <v>0</v>
      </c>
      <c r="P274" s="547" t="b">
        <f t="shared" si="24"/>
        <v>0</v>
      </c>
      <c r="Q274" s="548">
        <f t="shared" si="25"/>
        <v>0</v>
      </c>
      <c r="R274" s="543" t="str">
        <f t="shared" si="27"/>
        <v>-</v>
      </c>
      <c r="S274" s="549"/>
      <c r="T274" s="543" t="e">
        <f t="shared" si="28"/>
        <v>#VALUE!</v>
      </c>
      <c r="U274" s="548" t="e">
        <f t="shared" si="26"/>
        <v>#VALUE!</v>
      </c>
      <c r="V274" s="548" t="e">
        <f t="shared" si="29"/>
        <v>#VALUE!</v>
      </c>
      <c r="W274" s="544"/>
      <c r="X274" s="556"/>
    </row>
    <row r="275" spans="1:24">
      <c r="A275" s="552">
        <v>273</v>
      </c>
      <c r="B275" s="560"/>
      <c r="C275" s="554"/>
      <c r="D275" s="544" t="s">
        <v>799</v>
      </c>
      <c r="E275" s="555"/>
      <c r="F275" s="545">
        <f>E275-(E275*Z13)</f>
        <v>0</v>
      </c>
      <c r="G275" s="546"/>
      <c r="H275" s="547">
        <f>IF(D275="Rəsmi gəlir",AA3,IF(D275="Qeyri rəsmi gəlir",AB3))</f>
        <v>7.0000000000000007E-2</v>
      </c>
      <c r="I275" s="547">
        <f>IF(D275="Rəsmi gəlir",AA4,IF(D275="Qeyri rəsmi gəlir",AB4))</f>
        <v>0.12</v>
      </c>
      <c r="J275" s="547">
        <f>IF(D275="Rəsmi gəlir",AA5,IF(D275="Qeyri rəsmi gəlir",AB5))</f>
        <v>0.16</v>
      </c>
      <c r="K275" s="547">
        <f>IF(D275="Rəsmi gəlir",AA6,IF(D275="Qeyri rəsmi gəlir",AB6))</f>
        <v>0.2</v>
      </c>
      <c r="L275" s="547">
        <f>IF(D275="Rəsmi gəlir",AA7,IF(D275="Qeyri rəsmi gəlir",AB7))</f>
        <v>0.23</v>
      </c>
      <c r="M275" s="547">
        <f>IF(D275="Rəsmi gəlir",AA8,IF(D275="Qeyri rəsmi gəlir",AB8))</f>
        <v>0.25600000000000001</v>
      </c>
      <c r="N275" s="547">
        <f>IF(D275="Rəsmi gəlir",AA9,IF(D275="Qeyri rəsmi gəlir",AB9))</f>
        <v>0.28550000000000003</v>
      </c>
      <c r="O275" s="547">
        <f>IF(D275="Rəsmi gəlir",AA10,IF(D275="Qeyri rəsmi gəlir",AB10))</f>
        <v>0</v>
      </c>
      <c r="P275" s="547" t="b">
        <f t="shared" si="24"/>
        <v>0</v>
      </c>
      <c r="Q275" s="548">
        <f t="shared" si="25"/>
        <v>0</v>
      </c>
      <c r="R275" s="543" t="str">
        <f t="shared" si="27"/>
        <v>-</v>
      </c>
      <c r="S275" s="549"/>
      <c r="T275" s="543" t="e">
        <f t="shared" si="28"/>
        <v>#VALUE!</v>
      </c>
      <c r="U275" s="548" t="e">
        <f t="shared" si="26"/>
        <v>#VALUE!</v>
      </c>
      <c r="V275" s="548" t="e">
        <f t="shared" si="29"/>
        <v>#VALUE!</v>
      </c>
      <c r="W275" s="544"/>
      <c r="X275" s="556"/>
    </row>
    <row r="276" spans="1:24">
      <c r="A276" s="552">
        <v>274</v>
      </c>
      <c r="B276" s="560"/>
      <c r="C276" s="554"/>
      <c r="D276" s="544" t="s">
        <v>799</v>
      </c>
      <c r="E276" s="555"/>
      <c r="F276" s="545">
        <f>E276-(E276*Z13)</f>
        <v>0</v>
      </c>
      <c r="G276" s="546"/>
      <c r="H276" s="547">
        <f>IF(D276="Rəsmi gəlir",AA3,IF(D276="Qeyri rəsmi gəlir",AB3))</f>
        <v>7.0000000000000007E-2</v>
      </c>
      <c r="I276" s="547">
        <f>IF(D276="Rəsmi gəlir",AA4,IF(D276="Qeyri rəsmi gəlir",AB4))</f>
        <v>0.12</v>
      </c>
      <c r="J276" s="547">
        <f>IF(D276="Rəsmi gəlir",AA5,IF(D276="Qeyri rəsmi gəlir",AB5))</f>
        <v>0.16</v>
      </c>
      <c r="K276" s="547">
        <f>IF(D276="Rəsmi gəlir",AA6,IF(D276="Qeyri rəsmi gəlir",AB6))</f>
        <v>0.2</v>
      </c>
      <c r="L276" s="547">
        <f>IF(D276="Rəsmi gəlir",AA7,IF(D276="Qeyri rəsmi gəlir",AB7))</f>
        <v>0.23</v>
      </c>
      <c r="M276" s="547">
        <f>IF(D276="Rəsmi gəlir",AA8,IF(D276="Qeyri rəsmi gəlir",AB8))</f>
        <v>0.25600000000000001</v>
      </c>
      <c r="N276" s="547">
        <f>IF(D276="Rəsmi gəlir",AA9,IF(D276="Qeyri rəsmi gəlir",AB9))</f>
        <v>0.28550000000000003</v>
      </c>
      <c r="O276" s="547">
        <f>IF(D276="Rəsmi gəlir",AA10,IF(D276="Qeyri rəsmi gəlir",AB10))</f>
        <v>0</v>
      </c>
      <c r="P276" s="547" t="b">
        <f t="shared" si="24"/>
        <v>0</v>
      </c>
      <c r="Q276" s="548">
        <f t="shared" si="25"/>
        <v>0</v>
      </c>
      <c r="R276" s="543" t="str">
        <f t="shared" si="27"/>
        <v>-</v>
      </c>
      <c r="S276" s="549"/>
      <c r="T276" s="543" t="e">
        <f t="shared" si="28"/>
        <v>#VALUE!</v>
      </c>
      <c r="U276" s="548" t="e">
        <f t="shared" si="26"/>
        <v>#VALUE!</v>
      </c>
      <c r="V276" s="548" t="e">
        <f t="shared" si="29"/>
        <v>#VALUE!</v>
      </c>
      <c r="W276" s="544"/>
      <c r="X276" s="556"/>
    </row>
    <row r="277" spans="1:24">
      <c r="A277" s="552">
        <v>275</v>
      </c>
      <c r="B277" s="560"/>
      <c r="C277" s="554"/>
      <c r="D277" s="544" t="s">
        <v>799</v>
      </c>
      <c r="E277" s="555"/>
      <c r="F277" s="545">
        <f>E277-(E277*Z13)</f>
        <v>0</v>
      </c>
      <c r="G277" s="546"/>
      <c r="H277" s="547">
        <f>IF(D277="Rəsmi gəlir",AA3,IF(D277="Qeyri rəsmi gəlir",AB3))</f>
        <v>7.0000000000000007E-2</v>
      </c>
      <c r="I277" s="547">
        <f>IF(D277="Rəsmi gəlir",AA4,IF(D277="Qeyri rəsmi gəlir",AB4))</f>
        <v>0.12</v>
      </c>
      <c r="J277" s="547">
        <f>IF(D277="Rəsmi gəlir",AA5,IF(D277="Qeyri rəsmi gəlir",AB5))</f>
        <v>0.16</v>
      </c>
      <c r="K277" s="547">
        <f>IF(D277="Rəsmi gəlir",AA6,IF(D277="Qeyri rəsmi gəlir",AB6))</f>
        <v>0.2</v>
      </c>
      <c r="L277" s="547">
        <f>IF(D277="Rəsmi gəlir",AA7,IF(D277="Qeyri rəsmi gəlir",AB7))</f>
        <v>0.23</v>
      </c>
      <c r="M277" s="547">
        <f>IF(D277="Rəsmi gəlir",AA8,IF(D277="Qeyri rəsmi gəlir",AB8))</f>
        <v>0.25600000000000001</v>
      </c>
      <c r="N277" s="547">
        <f>IF(D277="Rəsmi gəlir",AA9,IF(D277="Qeyri rəsmi gəlir",AB9))</f>
        <v>0.28550000000000003</v>
      </c>
      <c r="O277" s="547">
        <f>IF(D277="Rəsmi gəlir",AA10,IF(D277="Qeyri rəsmi gəlir",AB10))</f>
        <v>0</v>
      </c>
      <c r="P277" s="547" t="b">
        <f t="shared" si="24"/>
        <v>0</v>
      </c>
      <c r="Q277" s="548">
        <f t="shared" si="25"/>
        <v>0</v>
      </c>
      <c r="R277" s="543" t="str">
        <f t="shared" si="27"/>
        <v>-</v>
      </c>
      <c r="S277" s="549"/>
      <c r="T277" s="543" t="e">
        <f t="shared" si="28"/>
        <v>#VALUE!</v>
      </c>
      <c r="U277" s="548" t="e">
        <f t="shared" si="26"/>
        <v>#VALUE!</v>
      </c>
      <c r="V277" s="548" t="e">
        <f t="shared" si="29"/>
        <v>#VALUE!</v>
      </c>
      <c r="W277" s="544"/>
      <c r="X277" s="556"/>
    </row>
    <row r="278" spans="1:24">
      <c r="A278" s="552">
        <v>276</v>
      </c>
      <c r="B278" s="560"/>
      <c r="C278" s="554"/>
      <c r="D278" s="544" t="s">
        <v>799</v>
      </c>
      <c r="E278" s="555"/>
      <c r="F278" s="545">
        <f>E278-(E278*Z13)</f>
        <v>0</v>
      </c>
      <c r="G278" s="546"/>
      <c r="H278" s="547">
        <f>IF(D278="Rəsmi gəlir",AA3,IF(D278="Qeyri rəsmi gəlir",AB3))</f>
        <v>7.0000000000000007E-2</v>
      </c>
      <c r="I278" s="547">
        <f>IF(D278="Rəsmi gəlir",AA4,IF(D278="Qeyri rəsmi gəlir",AB4))</f>
        <v>0.12</v>
      </c>
      <c r="J278" s="547">
        <f>IF(D278="Rəsmi gəlir",AA5,IF(D278="Qeyri rəsmi gəlir",AB5))</f>
        <v>0.16</v>
      </c>
      <c r="K278" s="547">
        <f>IF(D278="Rəsmi gəlir",AA6,IF(D278="Qeyri rəsmi gəlir",AB6))</f>
        <v>0.2</v>
      </c>
      <c r="L278" s="547">
        <f>IF(D278="Rəsmi gəlir",AA7,IF(D278="Qeyri rəsmi gəlir",AB7))</f>
        <v>0.23</v>
      </c>
      <c r="M278" s="547">
        <f>IF(D278="Rəsmi gəlir",AA8,IF(D278="Qeyri rəsmi gəlir",AB8))</f>
        <v>0.25600000000000001</v>
      </c>
      <c r="N278" s="547">
        <f>IF(D278="Rəsmi gəlir",AA9,IF(D278="Qeyri rəsmi gəlir",AB9))</f>
        <v>0.28550000000000003</v>
      </c>
      <c r="O278" s="547">
        <f>IF(D278="Rəsmi gəlir",AA10,IF(D278="Qeyri rəsmi gəlir",AB10))</f>
        <v>0</v>
      </c>
      <c r="P278" s="547" t="b">
        <f t="shared" si="24"/>
        <v>0</v>
      </c>
      <c r="Q278" s="548">
        <f t="shared" si="25"/>
        <v>0</v>
      </c>
      <c r="R278" s="543" t="str">
        <f t="shared" si="27"/>
        <v>-</v>
      </c>
      <c r="S278" s="549"/>
      <c r="T278" s="543" t="e">
        <f t="shared" si="28"/>
        <v>#VALUE!</v>
      </c>
      <c r="U278" s="548" t="e">
        <f t="shared" si="26"/>
        <v>#VALUE!</v>
      </c>
      <c r="V278" s="548" t="e">
        <f t="shared" si="29"/>
        <v>#VALUE!</v>
      </c>
      <c r="W278" s="544"/>
      <c r="X278" s="556"/>
    </row>
    <row r="279" spans="1:24">
      <c r="A279" s="552">
        <v>277</v>
      </c>
      <c r="B279" s="560"/>
      <c r="C279" s="554"/>
      <c r="D279" s="544" t="s">
        <v>799</v>
      </c>
      <c r="E279" s="555"/>
      <c r="F279" s="545">
        <f>E279-(E279*Z13)</f>
        <v>0</v>
      </c>
      <c r="G279" s="546"/>
      <c r="H279" s="547">
        <f>IF(D279="Rəsmi gəlir",AA3,IF(D279="Qeyri rəsmi gəlir",AB3))</f>
        <v>7.0000000000000007E-2</v>
      </c>
      <c r="I279" s="547">
        <f>IF(D279="Rəsmi gəlir",AA4,IF(D279="Qeyri rəsmi gəlir",AB4))</f>
        <v>0.12</v>
      </c>
      <c r="J279" s="547">
        <f>IF(D279="Rəsmi gəlir",AA5,IF(D279="Qeyri rəsmi gəlir",AB5))</f>
        <v>0.16</v>
      </c>
      <c r="K279" s="547">
        <f>IF(D279="Rəsmi gəlir",AA6,IF(D279="Qeyri rəsmi gəlir",AB6))</f>
        <v>0.2</v>
      </c>
      <c r="L279" s="547">
        <f>IF(D279="Rəsmi gəlir",AA7,IF(D279="Qeyri rəsmi gəlir",AB7))</f>
        <v>0.23</v>
      </c>
      <c r="M279" s="547">
        <f>IF(D279="Rəsmi gəlir",AA8,IF(D279="Qeyri rəsmi gəlir",AB8))</f>
        <v>0.25600000000000001</v>
      </c>
      <c r="N279" s="547">
        <f>IF(D279="Rəsmi gəlir",AA9,IF(D279="Qeyri rəsmi gəlir",AB9))</f>
        <v>0.28550000000000003</v>
      </c>
      <c r="O279" s="547">
        <f>IF(D279="Rəsmi gəlir",AA10,IF(D279="Qeyri rəsmi gəlir",AB10))</f>
        <v>0</v>
      </c>
      <c r="P279" s="547" t="b">
        <f t="shared" si="24"/>
        <v>0</v>
      </c>
      <c r="Q279" s="548">
        <f t="shared" si="25"/>
        <v>0</v>
      </c>
      <c r="R279" s="543" t="str">
        <f t="shared" si="27"/>
        <v>-</v>
      </c>
      <c r="S279" s="549"/>
      <c r="T279" s="543" t="e">
        <f t="shared" si="28"/>
        <v>#VALUE!</v>
      </c>
      <c r="U279" s="548" t="e">
        <f t="shared" si="26"/>
        <v>#VALUE!</v>
      </c>
      <c r="V279" s="548" t="e">
        <f t="shared" si="29"/>
        <v>#VALUE!</v>
      </c>
      <c r="W279" s="544"/>
      <c r="X279" s="556"/>
    </row>
    <row r="280" spans="1:24">
      <c r="A280" s="552">
        <v>278</v>
      </c>
      <c r="B280" s="560"/>
      <c r="C280" s="554"/>
      <c r="D280" s="544" t="s">
        <v>799</v>
      </c>
      <c r="E280" s="555"/>
      <c r="F280" s="545">
        <f>E280-(E280*Z13)</f>
        <v>0</v>
      </c>
      <c r="G280" s="546"/>
      <c r="H280" s="547">
        <f>IF(D280="Rəsmi gəlir",AA3,IF(D280="Qeyri rəsmi gəlir",AB3))</f>
        <v>7.0000000000000007E-2</v>
      </c>
      <c r="I280" s="547">
        <f>IF(D280="Rəsmi gəlir",AA4,IF(D280="Qeyri rəsmi gəlir",AB4))</f>
        <v>0.12</v>
      </c>
      <c r="J280" s="547">
        <f>IF(D280="Rəsmi gəlir",AA5,IF(D280="Qeyri rəsmi gəlir",AB5))</f>
        <v>0.16</v>
      </c>
      <c r="K280" s="547">
        <f>IF(D280="Rəsmi gəlir",AA6,IF(D280="Qeyri rəsmi gəlir",AB6))</f>
        <v>0.2</v>
      </c>
      <c r="L280" s="547">
        <f>IF(D280="Rəsmi gəlir",AA7,IF(D280="Qeyri rəsmi gəlir",AB7))</f>
        <v>0.23</v>
      </c>
      <c r="M280" s="547">
        <f>IF(D280="Rəsmi gəlir",AA8,IF(D280="Qeyri rəsmi gəlir",AB8))</f>
        <v>0.25600000000000001</v>
      </c>
      <c r="N280" s="547">
        <f>IF(D280="Rəsmi gəlir",AA9,IF(D280="Qeyri rəsmi gəlir",AB9))</f>
        <v>0.28550000000000003</v>
      </c>
      <c r="O280" s="547">
        <f>IF(D280="Rəsmi gəlir",AA10,IF(D280="Qeyri rəsmi gəlir",AB10))</f>
        <v>0</v>
      </c>
      <c r="P280" s="547" t="b">
        <f t="shared" si="24"/>
        <v>0</v>
      </c>
      <c r="Q280" s="548">
        <f t="shared" si="25"/>
        <v>0</v>
      </c>
      <c r="R280" s="543" t="str">
        <f t="shared" si="27"/>
        <v>-</v>
      </c>
      <c r="S280" s="549"/>
      <c r="T280" s="543" t="e">
        <f t="shared" si="28"/>
        <v>#VALUE!</v>
      </c>
      <c r="U280" s="548" t="e">
        <f t="shared" si="26"/>
        <v>#VALUE!</v>
      </c>
      <c r="V280" s="548" t="e">
        <f t="shared" si="29"/>
        <v>#VALUE!</v>
      </c>
      <c r="W280" s="544"/>
      <c r="X280" s="556"/>
    </row>
    <row r="281" spans="1:24">
      <c r="A281" s="552">
        <v>279</v>
      </c>
      <c r="B281" s="560"/>
      <c r="C281" s="554"/>
      <c r="D281" s="544" t="s">
        <v>799</v>
      </c>
      <c r="E281" s="555"/>
      <c r="F281" s="545">
        <f>E281-(E281*Z13)</f>
        <v>0</v>
      </c>
      <c r="G281" s="546"/>
      <c r="H281" s="547">
        <f>IF(D281="Rəsmi gəlir",AA3,IF(D281="Qeyri rəsmi gəlir",AB3))</f>
        <v>7.0000000000000007E-2</v>
      </c>
      <c r="I281" s="547">
        <f>IF(D281="Rəsmi gəlir",AA4,IF(D281="Qeyri rəsmi gəlir",AB4))</f>
        <v>0.12</v>
      </c>
      <c r="J281" s="547">
        <f>IF(D281="Rəsmi gəlir",AA5,IF(D281="Qeyri rəsmi gəlir",AB5))</f>
        <v>0.16</v>
      </c>
      <c r="K281" s="547">
        <f>IF(D281="Rəsmi gəlir",AA6,IF(D281="Qeyri rəsmi gəlir",AB6))</f>
        <v>0.2</v>
      </c>
      <c r="L281" s="547">
        <f>IF(D281="Rəsmi gəlir",AA7,IF(D281="Qeyri rəsmi gəlir",AB7))</f>
        <v>0.23</v>
      </c>
      <c r="M281" s="547">
        <f>IF(D281="Rəsmi gəlir",AA8,IF(D281="Qeyri rəsmi gəlir",AB8))</f>
        <v>0.25600000000000001</v>
      </c>
      <c r="N281" s="547">
        <f>IF(D281="Rəsmi gəlir",AA9,IF(D281="Qeyri rəsmi gəlir",AB9))</f>
        <v>0.28550000000000003</v>
      </c>
      <c r="O281" s="547">
        <f>IF(D281="Rəsmi gəlir",AA10,IF(D281="Qeyri rəsmi gəlir",AB10))</f>
        <v>0</v>
      </c>
      <c r="P281" s="547" t="b">
        <f t="shared" si="24"/>
        <v>0</v>
      </c>
      <c r="Q281" s="548">
        <f t="shared" si="25"/>
        <v>0</v>
      </c>
      <c r="R281" s="543" t="str">
        <f t="shared" si="27"/>
        <v>-</v>
      </c>
      <c r="S281" s="549"/>
      <c r="T281" s="543" t="e">
        <f t="shared" si="28"/>
        <v>#VALUE!</v>
      </c>
      <c r="U281" s="548" t="e">
        <f t="shared" si="26"/>
        <v>#VALUE!</v>
      </c>
      <c r="V281" s="548" t="e">
        <f t="shared" si="29"/>
        <v>#VALUE!</v>
      </c>
      <c r="W281" s="544"/>
      <c r="X281" s="556"/>
    </row>
    <row r="282" spans="1:24">
      <c r="A282" s="552">
        <v>280</v>
      </c>
      <c r="B282" s="560"/>
      <c r="C282" s="554"/>
      <c r="D282" s="544" t="s">
        <v>799</v>
      </c>
      <c r="E282" s="555"/>
      <c r="F282" s="545">
        <f>E282-(E282*Z13)</f>
        <v>0</v>
      </c>
      <c r="G282" s="546"/>
      <c r="H282" s="547">
        <f>IF(D282="Rəsmi gəlir",AA3,IF(D282="Qeyri rəsmi gəlir",AB3))</f>
        <v>7.0000000000000007E-2</v>
      </c>
      <c r="I282" s="547">
        <f>IF(D282="Rəsmi gəlir",AA4,IF(D282="Qeyri rəsmi gəlir",AB4))</f>
        <v>0.12</v>
      </c>
      <c r="J282" s="547">
        <f>IF(D282="Rəsmi gəlir",AA5,IF(D282="Qeyri rəsmi gəlir",AB5))</f>
        <v>0.16</v>
      </c>
      <c r="K282" s="547">
        <f>IF(D282="Rəsmi gəlir",AA6,IF(D282="Qeyri rəsmi gəlir",AB6))</f>
        <v>0.2</v>
      </c>
      <c r="L282" s="547">
        <f>IF(D282="Rəsmi gəlir",AA7,IF(D282="Qeyri rəsmi gəlir",AB7))</f>
        <v>0.23</v>
      </c>
      <c r="M282" s="547">
        <f>IF(D282="Rəsmi gəlir",AA8,IF(D282="Qeyri rəsmi gəlir",AB8))</f>
        <v>0.25600000000000001</v>
      </c>
      <c r="N282" s="547">
        <f>IF(D282="Rəsmi gəlir",AA9,IF(D282="Qeyri rəsmi gəlir",AB9))</f>
        <v>0.28550000000000003</v>
      </c>
      <c r="O282" s="547">
        <f>IF(D282="Rəsmi gəlir",AA10,IF(D282="Qeyri rəsmi gəlir",AB10))</f>
        <v>0</v>
      </c>
      <c r="P282" s="547" t="b">
        <f t="shared" si="24"/>
        <v>0</v>
      </c>
      <c r="Q282" s="548">
        <f t="shared" si="25"/>
        <v>0</v>
      </c>
      <c r="R282" s="543" t="str">
        <f t="shared" si="27"/>
        <v>-</v>
      </c>
      <c r="S282" s="549"/>
      <c r="T282" s="543" t="e">
        <f t="shared" si="28"/>
        <v>#VALUE!</v>
      </c>
      <c r="U282" s="548" t="e">
        <f t="shared" si="26"/>
        <v>#VALUE!</v>
      </c>
      <c r="V282" s="548" t="e">
        <f t="shared" si="29"/>
        <v>#VALUE!</v>
      </c>
      <c r="W282" s="544"/>
      <c r="X282" s="556"/>
    </row>
    <row r="283" spans="1:24">
      <c r="A283" s="552">
        <v>281</v>
      </c>
      <c r="B283" s="560"/>
      <c r="C283" s="554"/>
      <c r="D283" s="544" t="s">
        <v>799</v>
      </c>
      <c r="E283" s="555"/>
      <c r="F283" s="545">
        <f>E283-(E283*Z13)</f>
        <v>0</v>
      </c>
      <c r="G283" s="546"/>
      <c r="H283" s="547">
        <f>IF(D283="Rəsmi gəlir",AA3,IF(D283="Qeyri rəsmi gəlir",AB3))</f>
        <v>7.0000000000000007E-2</v>
      </c>
      <c r="I283" s="547">
        <f>IF(D283="Rəsmi gəlir",AA4,IF(D283="Qeyri rəsmi gəlir",AB4))</f>
        <v>0.12</v>
      </c>
      <c r="J283" s="547">
        <f>IF(D283="Rəsmi gəlir",AA5,IF(D283="Qeyri rəsmi gəlir",AB5))</f>
        <v>0.16</v>
      </c>
      <c r="K283" s="547">
        <f>IF(D283="Rəsmi gəlir",AA6,IF(D283="Qeyri rəsmi gəlir",AB6))</f>
        <v>0.2</v>
      </c>
      <c r="L283" s="547">
        <f>IF(D283="Rəsmi gəlir",AA7,IF(D283="Qeyri rəsmi gəlir",AB7))</f>
        <v>0.23</v>
      </c>
      <c r="M283" s="547">
        <f>IF(D283="Rəsmi gəlir",AA8,IF(D283="Qeyri rəsmi gəlir",AB8))</f>
        <v>0.25600000000000001</v>
      </c>
      <c r="N283" s="547">
        <f>IF(D283="Rəsmi gəlir",AA9,IF(D283="Qeyri rəsmi gəlir",AB9))</f>
        <v>0.28550000000000003</v>
      </c>
      <c r="O283" s="547">
        <f>IF(D283="Rəsmi gəlir",AA10,IF(D283="Qeyri rəsmi gəlir",AB10))</f>
        <v>0</v>
      </c>
      <c r="P283" s="547" t="b">
        <f t="shared" si="24"/>
        <v>0</v>
      </c>
      <c r="Q283" s="548">
        <f t="shared" si="25"/>
        <v>0</v>
      </c>
      <c r="R283" s="543" t="str">
        <f t="shared" si="27"/>
        <v>-</v>
      </c>
      <c r="S283" s="549"/>
      <c r="T283" s="543" t="e">
        <f t="shared" si="28"/>
        <v>#VALUE!</v>
      </c>
      <c r="U283" s="548" t="e">
        <f t="shared" si="26"/>
        <v>#VALUE!</v>
      </c>
      <c r="V283" s="548" t="e">
        <f t="shared" si="29"/>
        <v>#VALUE!</v>
      </c>
      <c r="W283" s="544"/>
      <c r="X283" s="556"/>
    </row>
    <row r="284" spans="1:24">
      <c r="A284" s="552">
        <v>282</v>
      </c>
      <c r="B284" s="560"/>
      <c r="C284" s="554"/>
      <c r="D284" s="544" t="s">
        <v>799</v>
      </c>
      <c r="E284" s="555"/>
      <c r="F284" s="545">
        <f>E284-(E284*Z13)</f>
        <v>0</v>
      </c>
      <c r="G284" s="546"/>
      <c r="H284" s="547">
        <f>IF(D284="Rəsmi gəlir",AA3,IF(D284="Qeyri rəsmi gəlir",AB3))</f>
        <v>7.0000000000000007E-2</v>
      </c>
      <c r="I284" s="547">
        <f>IF(D284="Rəsmi gəlir",AA4,IF(D284="Qeyri rəsmi gəlir",AB4))</f>
        <v>0.12</v>
      </c>
      <c r="J284" s="547">
        <f>IF(D284="Rəsmi gəlir",AA5,IF(D284="Qeyri rəsmi gəlir",AB5))</f>
        <v>0.16</v>
      </c>
      <c r="K284" s="547">
        <f>IF(D284="Rəsmi gəlir",AA6,IF(D284="Qeyri rəsmi gəlir",AB6))</f>
        <v>0.2</v>
      </c>
      <c r="L284" s="547">
        <f>IF(D284="Rəsmi gəlir",AA7,IF(D284="Qeyri rəsmi gəlir",AB7))</f>
        <v>0.23</v>
      </c>
      <c r="M284" s="547">
        <f>IF(D284="Rəsmi gəlir",AA8,IF(D284="Qeyri rəsmi gəlir",AB8))</f>
        <v>0.25600000000000001</v>
      </c>
      <c r="N284" s="547">
        <f>IF(D284="Rəsmi gəlir",AA9,IF(D284="Qeyri rəsmi gəlir",AB9))</f>
        <v>0.28550000000000003</v>
      </c>
      <c r="O284" s="547">
        <f>IF(D284="Rəsmi gəlir",AA10,IF(D284="Qeyri rəsmi gəlir",AB10))</f>
        <v>0</v>
      </c>
      <c r="P284" s="547" t="b">
        <f t="shared" si="24"/>
        <v>0</v>
      </c>
      <c r="Q284" s="548">
        <f t="shared" si="25"/>
        <v>0</v>
      </c>
      <c r="R284" s="543" t="str">
        <f t="shared" si="27"/>
        <v>-</v>
      </c>
      <c r="S284" s="549"/>
      <c r="T284" s="543" t="e">
        <f t="shared" si="28"/>
        <v>#VALUE!</v>
      </c>
      <c r="U284" s="548" t="e">
        <f t="shared" si="26"/>
        <v>#VALUE!</v>
      </c>
      <c r="V284" s="548" t="e">
        <f t="shared" si="29"/>
        <v>#VALUE!</v>
      </c>
      <c r="W284" s="544"/>
      <c r="X284" s="556"/>
    </row>
    <row r="285" spans="1:24">
      <c r="A285" s="552">
        <v>283</v>
      </c>
      <c r="B285" s="560"/>
      <c r="C285" s="554"/>
      <c r="D285" s="544" t="s">
        <v>799</v>
      </c>
      <c r="E285" s="555"/>
      <c r="F285" s="545">
        <f>E285-(E285*Z13)</f>
        <v>0</v>
      </c>
      <c r="G285" s="546"/>
      <c r="H285" s="547">
        <f>IF(D285="Rəsmi gəlir",AA3,IF(D285="Qeyri rəsmi gəlir",AB3))</f>
        <v>7.0000000000000007E-2</v>
      </c>
      <c r="I285" s="547">
        <f>IF(D285="Rəsmi gəlir",AA4,IF(D285="Qeyri rəsmi gəlir",AB4))</f>
        <v>0.12</v>
      </c>
      <c r="J285" s="547">
        <f>IF(D285="Rəsmi gəlir",AA5,IF(D285="Qeyri rəsmi gəlir",AB5))</f>
        <v>0.16</v>
      </c>
      <c r="K285" s="547">
        <f>IF(D285="Rəsmi gəlir",AA6,IF(D285="Qeyri rəsmi gəlir",AB6))</f>
        <v>0.2</v>
      </c>
      <c r="L285" s="547">
        <f>IF(D285="Rəsmi gəlir",AA7,IF(D285="Qeyri rəsmi gəlir",AB7))</f>
        <v>0.23</v>
      </c>
      <c r="M285" s="547">
        <f>IF(D285="Rəsmi gəlir",AA8,IF(D285="Qeyri rəsmi gəlir",AB8))</f>
        <v>0.25600000000000001</v>
      </c>
      <c r="N285" s="547">
        <f>IF(D285="Rəsmi gəlir",AA9,IF(D285="Qeyri rəsmi gəlir",AB9))</f>
        <v>0.28550000000000003</v>
      </c>
      <c r="O285" s="547">
        <f>IF(D285="Rəsmi gəlir",AA10,IF(D285="Qeyri rəsmi gəlir",AB10))</f>
        <v>0</v>
      </c>
      <c r="P285" s="547" t="b">
        <f t="shared" si="24"/>
        <v>0</v>
      </c>
      <c r="Q285" s="548">
        <f t="shared" si="25"/>
        <v>0</v>
      </c>
      <c r="R285" s="543" t="str">
        <f t="shared" si="27"/>
        <v>-</v>
      </c>
      <c r="S285" s="549"/>
      <c r="T285" s="543" t="e">
        <f t="shared" si="28"/>
        <v>#VALUE!</v>
      </c>
      <c r="U285" s="548" t="e">
        <f t="shared" si="26"/>
        <v>#VALUE!</v>
      </c>
      <c r="V285" s="548" t="e">
        <f t="shared" si="29"/>
        <v>#VALUE!</v>
      </c>
      <c r="W285" s="544"/>
      <c r="X285" s="556"/>
    </row>
    <row r="286" spans="1:24">
      <c r="A286" s="552">
        <v>284</v>
      </c>
      <c r="B286" s="560"/>
      <c r="C286" s="554"/>
      <c r="D286" s="544" t="s">
        <v>799</v>
      </c>
      <c r="E286" s="555"/>
      <c r="F286" s="545">
        <f>E286-(E286*Z13)</f>
        <v>0</v>
      </c>
      <c r="G286" s="546"/>
      <c r="H286" s="547">
        <f>IF(D286="Rəsmi gəlir",AA3,IF(D286="Qeyri rəsmi gəlir",AB3))</f>
        <v>7.0000000000000007E-2</v>
      </c>
      <c r="I286" s="547">
        <f>IF(D286="Rəsmi gəlir",AA4,IF(D286="Qeyri rəsmi gəlir",AB4))</f>
        <v>0.12</v>
      </c>
      <c r="J286" s="547">
        <f>IF(D286="Rəsmi gəlir",AA5,IF(D286="Qeyri rəsmi gəlir",AB5))</f>
        <v>0.16</v>
      </c>
      <c r="K286" s="547">
        <f>IF(D286="Rəsmi gəlir",AA6,IF(D286="Qeyri rəsmi gəlir",AB6))</f>
        <v>0.2</v>
      </c>
      <c r="L286" s="547">
        <f>IF(D286="Rəsmi gəlir",AA7,IF(D286="Qeyri rəsmi gəlir",AB7))</f>
        <v>0.23</v>
      </c>
      <c r="M286" s="547">
        <f>IF(D286="Rəsmi gəlir",AA8,IF(D286="Qeyri rəsmi gəlir",AB8))</f>
        <v>0.25600000000000001</v>
      </c>
      <c r="N286" s="547">
        <f>IF(D286="Rəsmi gəlir",AA9,IF(D286="Qeyri rəsmi gəlir",AB9))</f>
        <v>0.28550000000000003</v>
      </c>
      <c r="O286" s="547">
        <f>IF(D286="Rəsmi gəlir",AA10,IF(D286="Qeyri rəsmi gəlir",AB10))</f>
        <v>0</v>
      </c>
      <c r="P286" s="547" t="b">
        <f t="shared" si="24"/>
        <v>0</v>
      </c>
      <c r="Q286" s="548">
        <f t="shared" si="25"/>
        <v>0</v>
      </c>
      <c r="R286" s="543" t="str">
        <f t="shared" si="27"/>
        <v>-</v>
      </c>
      <c r="S286" s="549"/>
      <c r="T286" s="543" t="e">
        <f t="shared" si="28"/>
        <v>#VALUE!</v>
      </c>
      <c r="U286" s="548" t="e">
        <f t="shared" si="26"/>
        <v>#VALUE!</v>
      </c>
      <c r="V286" s="548" t="e">
        <f t="shared" si="29"/>
        <v>#VALUE!</v>
      </c>
      <c r="W286" s="544"/>
      <c r="X286" s="556"/>
    </row>
    <row r="287" spans="1:24">
      <c r="A287" s="552">
        <v>285</v>
      </c>
      <c r="B287" s="560"/>
      <c r="C287" s="554"/>
      <c r="D287" s="544" t="s">
        <v>799</v>
      </c>
      <c r="E287" s="555"/>
      <c r="F287" s="545">
        <f>E287-(E287*Z13)</f>
        <v>0</v>
      </c>
      <c r="G287" s="546"/>
      <c r="H287" s="547">
        <f>IF(D287="Rəsmi gəlir",AA3,IF(D287="Qeyri rəsmi gəlir",AB3))</f>
        <v>7.0000000000000007E-2</v>
      </c>
      <c r="I287" s="547">
        <f>IF(D287="Rəsmi gəlir",AA4,IF(D287="Qeyri rəsmi gəlir",AB4))</f>
        <v>0.12</v>
      </c>
      <c r="J287" s="547">
        <f>IF(D287="Rəsmi gəlir",AA5,IF(D287="Qeyri rəsmi gəlir",AB5))</f>
        <v>0.16</v>
      </c>
      <c r="K287" s="547">
        <f>IF(D287="Rəsmi gəlir",AA6,IF(D287="Qeyri rəsmi gəlir",AB6))</f>
        <v>0.2</v>
      </c>
      <c r="L287" s="547">
        <f>IF(D287="Rəsmi gəlir",AA7,IF(D287="Qeyri rəsmi gəlir",AB7))</f>
        <v>0.23</v>
      </c>
      <c r="M287" s="547">
        <f>IF(D287="Rəsmi gəlir",AA8,IF(D287="Qeyri rəsmi gəlir",AB8))</f>
        <v>0.25600000000000001</v>
      </c>
      <c r="N287" s="547">
        <f>IF(D287="Rəsmi gəlir",AA9,IF(D287="Qeyri rəsmi gəlir",AB9))</f>
        <v>0.28550000000000003</v>
      </c>
      <c r="O287" s="547">
        <f>IF(D287="Rəsmi gəlir",AA10,IF(D287="Qeyri rəsmi gəlir",AB10))</f>
        <v>0</v>
      </c>
      <c r="P287" s="547" t="b">
        <f t="shared" si="24"/>
        <v>0</v>
      </c>
      <c r="Q287" s="548">
        <f t="shared" si="25"/>
        <v>0</v>
      </c>
      <c r="R287" s="543" t="str">
        <f t="shared" si="27"/>
        <v>-</v>
      </c>
      <c r="S287" s="549"/>
      <c r="T287" s="543" t="e">
        <f t="shared" si="28"/>
        <v>#VALUE!</v>
      </c>
      <c r="U287" s="548" t="e">
        <f t="shared" si="26"/>
        <v>#VALUE!</v>
      </c>
      <c r="V287" s="548" t="e">
        <f t="shared" si="29"/>
        <v>#VALUE!</v>
      </c>
      <c r="W287" s="544"/>
      <c r="X287" s="556"/>
    </row>
    <row r="288" spans="1:24">
      <c r="A288" s="552">
        <v>286</v>
      </c>
      <c r="B288" s="560"/>
      <c r="C288" s="554"/>
      <c r="D288" s="544" t="s">
        <v>799</v>
      </c>
      <c r="E288" s="555"/>
      <c r="F288" s="545">
        <f>E288-(E288*Z13)</f>
        <v>0</v>
      </c>
      <c r="G288" s="546"/>
      <c r="H288" s="547">
        <f>IF(D288="Rəsmi gəlir",AA3,IF(D288="Qeyri rəsmi gəlir",AB3))</f>
        <v>7.0000000000000007E-2</v>
      </c>
      <c r="I288" s="547">
        <f>IF(D288="Rəsmi gəlir",AA4,IF(D288="Qeyri rəsmi gəlir",AB4))</f>
        <v>0.12</v>
      </c>
      <c r="J288" s="547">
        <f>IF(D288="Rəsmi gəlir",AA5,IF(D288="Qeyri rəsmi gəlir",AB5))</f>
        <v>0.16</v>
      </c>
      <c r="K288" s="547">
        <f>IF(D288="Rəsmi gəlir",AA6,IF(D288="Qeyri rəsmi gəlir",AB6))</f>
        <v>0.2</v>
      </c>
      <c r="L288" s="547">
        <f>IF(D288="Rəsmi gəlir",AA7,IF(D288="Qeyri rəsmi gəlir",AB7))</f>
        <v>0.23</v>
      </c>
      <c r="M288" s="547">
        <f>IF(D288="Rəsmi gəlir",AA8,IF(D288="Qeyri rəsmi gəlir",AB8))</f>
        <v>0.25600000000000001</v>
      </c>
      <c r="N288" s="547">
        <f>IF(D288="Rəsmi gəlir",AA9,IF(D288="Qeyri rəsmi gəlir",AB9))</f>
        <v>0.28550000000000003</v>
      </c>
      <c r="O288" s="547">
        <f>IF(D288="Rəsmi gəlir",AA10,IF(D288="Qeyri rəsmi gəlir",AB10))</f>
        <v>0</v>
      </c>
      <c r="P288" s="547" t="b">
        <f t="shared" si="24"/>
        <v>0</v>
      </c>
      <c r="Q288" s="548">
        <f t="shared" si="25"/>
        <v>0</v>
      </c>
      <c r="R288" s="543" t="str">
        <f t="shared" si="27"/>
        <v>-</v>
      </c>
      <c r="S288" s="549"/>
      <c r="T288" s="543" t="e">
        <f t="shared" si="28"/>
        <v>#VALUE!</v>
      </c>
      <c r="U288" s="548" t="e">
        <f t="shared" si="26"/>
        <v>#VALUE!</v>
      </c>
      <c r="V288" s="548" t="e">
        <f t="shared" si="29"/>
        <v>#VALUE!</v>
      </c>
      <c r="W288" s="544"/>
      <c r="X288" s="556"/>
    </row>
    <row r="289" spans="1:24">
      <c r="A289" s="552">
        <v>287</v>
      </c>
      <c r="B289" s="560"/>
      <c r="C289" s="554"/>
      <c r="D289" s="544" t="s">
        <v>799</v>
      </c>
      <c r="E289" s="555"/>
      <c r="F289" s="545">
        <f>E289-(E289*Z13)</f>
        <v>0</v>
      </c>
      <c r="G289" s="546"/>
      <c r="H289" s="547">
        <f>IF(D289="Rəsmi gəlir",AA3,IF(D289="Qeyri rəsmi gəlir",AB3))</f>
        <v>7.0000000000000007E-2</v>
      </c>
      <c r="I289" s="547">
        <f>IF(D289="Rəsmi gəlir",AA4,IF(D289="Qeyri rəsmi gəlir",AB4))</f>
        <v>0.12</v>
      </c>
      <c r="J289" s="547">
        <f>IF(D289="Rəsmi gəlir",AA5,IF(D289="Qeyri rəsmi gəlir",AB5))</f>
        <v>0.16</v>
      </c>
      <c r="K289" s="547">
        <f>IF(D289="Rəsmi gəlir",AA6,IF(D289="Qeyri rəsmi gəlir",AB6))</f>
        <v>0.2</v>
      </c>
      <c r="L289" s="547">
        <f>IF(D289="Rəsmi gəlir",AA7,IF(D289="Qeyri rəsmi gəlir",AB7))</f>
        <v>0.23</v>
      </c>
      <c r="M289" s="547">
        <f>IF(D289="Rəsmi gəlir",AA8,IF(D289="Qeyri rəsmi gəlir",AB8))</f>
        <v>0.25600000000000001</v>
      </c>
      <c r="N289" s="547">
        <f>IF(D289="Rəsmi gəlir",AA9,IF(D289="Qeyri rəsmi gəlir",AB9))</f>
        <v>0.28550000000000003</v>
      </c>
      <c r="O289" s="547">
        <f>IF(D289="Rəsmi gəlir",AA10,IF(D289="Qeyri rəsmi gəlir",AB10))</f>
        <v>0</v>
      </c>
      <c r="P289" s="547" t="b">
        <f t="shared" si="24"/>
        <v>0</v>
      </c>
      <c r="Q289" s="548">
        <f t="shared" si="25"/>
        <v>0</v>
      </c>
      <c r="R289" s="543" t="str">
        <f t="shared" si="27"/>
        <v>-</v>
      </c>
      <c r="S289" s="549"/>
      <c r="T289" s="543" t="e">
        <f t="shared" si="28"/>
        <v>#VALUE!</v>
      </c>
      <c r="U289" s="548" t="e">
        <f t="shared" si="26"/>
        <v>#VALUE!</v>
      </c>
      <c r="V289" s="548" t="e">
        <f t="shared" si="29"/>
        <v>#VALUE!</v>
      </c>
      <c r="W289" s="544"/>
      <c r="X289" s="556"/>
    </row>
    <row r="290" spans="1:24">
      <c r="A290" s="552">
        <v>288</v>
      </c>
      <c r="B290" s="560"/>
      <c r="C290" s="554"/>
      <c r="D290" s="544" t="s">
        <v>799</v>
      </c>
      <c r="E290" s="555"/>
      <c r="F290" s="545">
        <f>E290-(E290*Z13)</f>
        <v>0</v>
      </c>
      <c r="G290" s="546"/>
      <c r="H290" s="547">
        <f>IF(D290="Rəsmi gəlir",AA3,IF(D290="Qeyri rəsmi gəlir",AB3))</f>
        <v>7.0000000000000007E-2</v>
      </c>
      <c r="I290" s="547">
        <f>IF(D290="Rəsmi gəlir",AA4,IF(D290="Qeyri rəsmi gəlir",AB4))</f>
        <v>0.12</v>
      </c>
      <c r="J290" s="547">
        <f>IF(D290="Rəsmi gəlir",AA5,IF(D290="Qeyri rəsmi gəlir",AB5))</f>
        <v>0.16</v>
      </c>
      <c r="K290" s="547">
        <f>IF(D290="Rəsmi gəlir",AA6,IF(D290="Qeyri rəsmi gəlir",AB6))</f>
        <v>0.2</v>
      </c>
      <c r="L290" s="547">
        <f>IF(D290="Rəsmi gəlir",AA7,IF(D290="Qeyri rəsmi gəlir",AB7))</f>
        <v>0.23</v>
      </c>
      <c r="M290" s="547">
        <f>IF(D290="Rəsmi gəlir",AA8,IF(D290="Qeyri rəsmi gəlir",AB8))</f>
        <v>0.25600000000000001</v>
      </c>
      <c r="N290" s="547">
        <f>IF(D290="Rəsmi gəlir",AA9,IF(D290="Qeyri rəsmi gəlir",AB9))</f>
        <v>0.28550000000000003</v>
      </c>
      <c r="O290" s="547">
        <f>IF(D290="Rəsmi gəlir",AA10,IF(D290="Qeyri rəsmi gəlir",AB10))</f>
        <v>0</v>
      </c>
      <c r="P290" s="547" t="b">
        <f t="shared" si="24"/>
        <v>0</v>
      </c>
      <c r="Q290" s="548">
        <f t="shared" si="25"/>
        <v>0</v>
      </c>
      <c r="R290" s="543" t="str">
        <f t="shared" si="27"/>
        <v>-</v>
      </c>
      <c r="S290" s="549"/>
      <c r="T290" s="543" t="e">
        <f t="shared" si="28"/>
        <v>#VALUE!</v>
      </c>
      <c r="U290" s="548" t="e">
        <f t="shared" si="26"/>
        <v>#VALUE!</v>
      </c>
      <c r="V290" s="548" t="e">
        <f t="shared" si="29"/>
        <v>#VALUE!</v>
      </c>
      <c r="W290" s="544"/>
      <c r="X290" s="556"/>
    </row>
    <row r="291" spans="1:24">
      <c r="A291" s="552">
        <v>289</v>
      </c>
      <c r="B291" s="560"/>
      <c r="C291" s="554"/>
      <c r="D291" s="544" t="s">
        <v>799</v>
      </c>
      <c r="E291" s="555"/>
      <c r="F291" s="545">
        <f>E291-(E291*Z13)</f>
        <v>0</v>
      </c>
      <c r="G291" s="546"/>
      <c r="H291" s="547">
        <f>IF(D291="Rəsmi gəlir",AA3,IF(D291="Qeyri rəsmi gəlir",AB3))</f>
        <v>7.0000000000000007E-2</v>
      </c>
      <c r="I291" s="547">
        <f>IF(D291="Rəsmi gəlir",AA4,IF(D291="Qeyri rəsmi gəlir",AB4))</f>
        <v>0.12</v>
      </c>
      <c r="J291" s="547">
        <f>IF(D291="Rəsmi gəlir",AA5,IF(D291="Qeyri rəsmi gəlir",AB5))</f>
        <v>0.16</v>
      </c>
      <c r="K291" s="547">
        <f>IF(D291="Rəsmi gəlir",AA6,IF(D291="Qeyri rəsmi gəlir",AB6))</f>
        <v>0.2</v>
      </c>
      <c r="L291" s="547">
        <f>IF(D291="Rəsmi gəlir",AA7,IF(D291="Qeyri rəsmi gəlir",AB7))</f>
        <v>0.23</v>
      </c>
      <c r="M291" s="547">
        <f>IF(D291="Rəsmi gəlir",AA8,IF(D291="Qeyri rəsmi gəlir",AB8))</f>
        <v>0.25600000000000001</v>
      </c>
      <c r="N291" s="547">
        <f>IF(D291="Rəsmi gəlir",AA9,IF(D291="Qeyri rəsmi gəlir",AB9))</f>
        <v>0.28550000000000003</v>
      </c>
      <c r="O291" s="547">
        <f>IF(D291="Rəsmi gəlir",AA10,IF(D291="Qeyri rəsmi gəlir",AB10))</f>
        <v>0</v>
      </c>
      <c r="P291" s="547" t="b">
        <f t="shared" si="24"/>
        <v>0</v>
      </c>
      <c r="Q291" s="548">
        <f t="shared" si="25"/>
        <v>0</v>
      </c>
      <c r="R291" s="543" t="str">
        <f t="shared" si="27"/>
        <v>-</v>
      </c>
      <c r="S291" s="549"/>
      <c r="T291" s="543" t="e">
        <f t="shared" si="28"/>
        <v>#VALUE!</v>
      </c>
      <c r="U291" s="548" t="e">
        <f t="shared" si="26"/>
        <v>#VALUE!</v>
      </c>
      <c r="V291" s="548" t="e">
        <f t="shared" si="29"/>
        <v>#VALUE!</v>
      </c>
      <c r="W291" s="544"/>
      <c r="X291" s="556"/>
    </row>
    <row r="292" spans="1:24">
      <c r="A292" s="552">
        <v>290</v>
      </c>
      <c r="B292" s="560"/>
      <c r="C292" s="554"/>
      <c r="D292" s="544" t="s">
        <v>799</v>
      </c>
      <c r="E292" s="555"/>
      <c r="F292" s="545">
        <f>E292-(E292*Z13)</f>
        <v>0</v>
      </c>
      <c r="G292" s="546"/>
      <c r="H292" s="547">
        <f>IF(D292="Rəsmi gəlir",AA3,IF(D292="Qeyri rəsmi gəlir",AB3))</f>
        <v>7.0000000000000007E-2</v>
      </c>
      <c r="I292" s="547">
        <f>IF(D292="Rəsmi gəlir",AA4,IF(D292="Qeyri rəsmi gəlir",AB4))</f>
        <v>0.12</v>
      </c>
      <c r="J292" s="547">
        <f>IF(D292="Rəsmi gəlir",AA5,IF(D292="Qeyri rəsmi gəlir",AB5))</f>
        <v>0.16</v>
      </c>
      <c r="K292" s="547">
        <f>IF(D292="Rəsmi gəlir",AA6,IF(D292="Qeyri rəsmi gəlir",AB6))</f>
        <v>0.2</v>
      </c>
      <c r="L292" s="547">
        <f>IF(D292="Rəsmi gəlir",AA7,IF(D292="Qeyri rəsmi gəlir",AB7))</f>
        <v>0.23</v>
      </c>
      <c r="M292" s="547">
        <f>IF(D292="Rəsmi gəlir",AA8,IF(D292="Qeyri rəsmi gəlir",AB8))</f>
        <v>0.25600000000000001</v>
      </c>
      <c r="N292" s="547">
        <f>IF(D292="Rəsmi gəlir",AA9,IF(D292="Qeyri rəsmi gəlir",AB9))</f>
        <v>0.28550000000000003</v>
      </c>
      <c r="O292" s="547">
        <f>IF(D292="Rəsmi gəlir",AA10,IF(D292="Qeyri rəsmi gəlir",AB10))</f>
        <v>0</v>
      </c>
      <c r="P292" s="547" t="b">
        <f t="shared" si="24"/>
        <v>0</v>
      </c>
      <c r="Q292" s="548">
        <f t="shared" si="25"/>
        <v>0</v>
      </c>
      <c r="R292" s="543" t="str">
        <f t="shared" si="27"/>
        <v>-</v>
      </c>
      <c r="S292" s="549"/>
      <c r="T292" s="543" t="e">
        <f t="shared" si="28"/>
        <v>#VALUE!</v>
      </c>
      <c r="U292" s="548" t="e">
        <f t="shared" si="26"/>
        <v>#VALUE!</v>
      </c>
      <c r="V292" s="548" t="e">
        <f t="shared" si="29"/>
        <v>#VALUE!</v>
      </c>
      <c r="W292" s="544"/>
      <c r="X292" s="556"/>
    </row>
    <row r="293" spans="1:24">
      <c r="A293" s="552">
        <v>291</v>
      </c>
      <c r="B293" s="560"/>
      <c r="C293" s="554"/>
      <c r="D293" s="544" t="s">
        <v>799</v>
      </c>
      <c r="E293" s="555"/>
      <c r="F293" s="545">
        <f>E293-(E293*Z13)</f>
        <v>0</v>
      </c>
      <c r="G293" s="546"/>
      <c r="H293" s="547">
        <f>IF(D293="Rəsmi gəlir",AA3,IF(D293="Qeyri rəsmi gəlir",AB3))</f>
        <v>7.0000000000000007E-2</v>
      </c>
      <c r="I293" s="547">
        <f>IF(D293="Rəsmi gəlir",AA4,IF(D293="Qeyri rəsmi gəlir",AB4))</f>
        <v>0.12</v>
      </c>
      <c r="J293" s="547">
        <f>IF(D293="Rəsmi gəlir",AA5,IF(D293="Qeyri rəsmi gəlir",AB5))</f>
        <v>0.16</v>
      </c>
      <c r="K293" s="547">
        <f>IF(D293="Rəsmi gəlir",AA6,IF(D293="Qeyri rəsmi gəlir",AB6))</f>
        <v>0.2</v>
      </c>
      <c r="L293" s="547">
        <f>IF(D293="Rəsmi gəlir",AA7,IF(D293="Qeyri rəsmi gəlir",AB7))</f>
        <v>0.23</v>
      </c>
      <c r="M293" s="547">
        <f>IF(D293="Rəsmi gəlir",AA8,IF(D293="Qeyri rəsmi gəlir",AB8))</f>
        <v>0.25600000000000001</v>
      </c>
      <c r="N293" s="547">
        <f>IF(D293="Rəsmi gəlir",AA9,IF(D293="Qeyri rəsmi gəlir",AB9))</f>
        <v>0.28550000000000003</v>
      </c>
      <c r="O293" s="547">
        <f>IF(D293="Rəsmi gəlir",AA10,IF(D293="Qeyri rəsmi gəlir",AB10))</f>
        <v>0</v>
      </c>
      <c r="P293" s="547" t="b">
        <f t="shared" si="24"/>
        <v>0</v>
      </c>
      <c r="Q293" s="548">
        <f t="shared" si="25"/>
        <v>0</v>
      </c>
      <c r="R293" s="543" t="str">
        <f t="shared" si="27"/>
        <v>-</v>
      </c>
      <c r="S293" s="549"/>
      <c r="T293" s="543" t="e">
        <f t="shared" si="28"/>
        <v>#VALUE!</v>
      </c>
      <c r="U293" s="548" t="e">
        <f t="shared" si="26"/>
        <v>#VALUE!</v>
      </c>
      <c r="V293" s="548" t="e">
        <f t="shared" si="29"/>
        <v>#VALUE!</v>
      </c>
      <c r="W293" s="544"/>
      <c r="X293" s="556"/>
    </row>
    <row r="294" spans="1:24">
      <c r="A294" s="552">
        <v>292</v>
      </c>
      <c r="B294" s="560"/>
      <c r="C294" s="554"/>
      <c r="D294" s="544" t="s">
        <v>799</v>
      </c>
      <c r="E294" s="555"/>
      <c r="F294" s="545">
        <f>E294-(E294*Z13)</f>
        <v>0</v>
      </c>
      <c r="G294" s="546"/>
      <c r="H294" s="547">
        <f>IF(D294="Rəsmi gəlir",AA3,IF(D294="Qeyri rəsmi gəlir",AB3))</f>
        <v>7.0000000000000007E-2</v>
      </c>
      <c r="I294" s="547">
        <f>IF(D294="Rəsmi gəlir",AA4,IF(D294="Qeyri rəsmi gəlir",AB4))</f>
        <v>0.12</v>
      </c>
      <c r="J294" s="547">
        <f>IF(D294="Rəsmi gəlir",AA5,IF(D294="Qeyri rəsmi gəlir",AB5))</f>
        <v>0.16</v>
      </c>
      <c r="K294" s="547">
        <f>IF(D294="Rəsmi gəlir",AA6,IF(D294="Qeyri rəsmi gəlir",AB6))</f>
        <v>0.2</v>
      </c>
      <c r="L294" s="547">
        <f>IF(D294="Rəsmi gəlir",AA7,IF(D294="Qeyri rəsmi gəlir",AB7))</f>
        <v>0.23</v>
      </c>
      <c r="M294" s="547">
        <f>IF(D294="Rəsmi gəlir",AA8,IF(D294="Qeyri rəsmi gəlir",AB8))</f>
        <v>0.25600000000000001</v>
      </c>
      <c r="N294" s="547">
        <f>IF(D294="Rəsmi gəlir",AA9,IF(D294="Qeyri rəsmi gəlir",AB9))</f>
        <v>0.28550000000000003</v>
      </c>
      <c r="O294" s="547">
        <f>IF(D294="Rəsmi gəlir",AA10,IF(D294="Qeyri rəsmi gəlir",AB10))</f>
        <v>0</v>
      </c>
      <c r="P294" s="547" t="b">
        <f t="shared" si="24"/>
        <v>0</v>
      </c>
      <c r="Q294" s="548">
        <f t="shared" si="25"/>
        <v>0</v>
      </c>
      <c r="R294" s="543" t="str">
        <f t="shared" si="27"/>
        <v>-</v>
      </c>
      <c r="S294" s="549"/>
      <c r="T294" s="543" t="e">
        <f t="shared" si="28"/>
        <v>#VALUE!</v>
      </c>
      <c r="U294" s="548" t="e">
        <f t="shared" si="26"/>
        <v>#VALUE!</v>
      </c>
      <c r="V294" s="548" t="e">
        <f t="shared" si="29"/>
        <v>#VALUE!</v>
      </c>
      <c r="W294" s="544"/>
      <c r="X294" s="556"/>
    </row>
    <row r="295" spans="1:24">
      <c r="A295" s="552">
        <v>293</v>
      </c>
      <c r="B295" s="560"/>
      <c r="C295" s="554"/>
      <c r="D295" s="544" t="s">
        <v>799</v>
      </c>
      <c r="E295" s="555"/>
      <c r="F295" s="545">
        <f>E295-(E295*Z13)</f>
        <v>0</v>
      </c>
      <c r="G295" s="546"/>
      <c r="H295" s="547">
        <f>IF(D295="Rəsmi gəlir",AA3,IF(D295="Qeyri rəsmi gəlir",AB3))</f>
        <v>7.0000000000000007E-2</v>
      </c>
      <c r="I295" s="547">
        <f>IF(D295="Rəsmi gəlir",AA4,IF(D295="Qeyri rəsmi gəlir",AB4))</f>
        <v>0.12</v>
      </c>
      <c r="J295" s="547">
        <f>IF(D295="Rəsmi gəlir",AA5,IF(D295="Qeyri rəsmi gəlir",AB5))</f>
        <v>0.16</v>
      </c>
      <c r="K295" s="547">
        <f>IF(D295="Rəsmi gəlir",AA6,IF(D295="Qeyri rəsmi gəlir",AB6))</f>
        <v>0.2</v>
      </c>
      <c r="L295" s="547">
        <f>IF(D295="Rəsmi gəlir",AA7,IF(D295="Qeyri rəsmi gəlir",AB7))</f>
        <v>0.23</v>
      </c>
      <c r="M295" s="547">
        <f>IF(D295="Rəsmi gəlir",AA8,IF(D295="Qeyri rəsmi gəlir",AB8))</f>
        <v>0.25600000000000001</v>
      </c>
      <c r="N295" s="547">
        <f>IF(D295="Rəsmi gəlir",AA9,IF(D295="Qeyri rəsmi gəlir",AB9))</f>
        <v>0.28550000000000003</v>
      </c>
      <c r="O295" s="547">
        <f>IF(D295="Rəsmi gəlir",AA10,IF(D295="Qeyri rəsmi gəlir",AB10))</f>
        <v>0</v>
      </c>
      <c r="P295" s="547" t="b">
        <f t="shared" si="24"/>
        <v>0</v>
      </c>
      <c r="Q295" s="548">
        <f t="shared" si="25"/>
        <v>0</v>
      </c>
      <c r="R295" s="543" t="str">
        <f t="shared" si="27"/>
        <v>-</v>
      </c>
      <c r="S295" s="549"/>
      <c r="T295" s="543" t="e">
        <f t="shared" si="28"/>
        <v>#VALUE!</v>
      </c>
      <c r="U295" s="548" t="e">
        <f t="shared" si="26"/>
        <v>#VALUE!</v>
      </c>
      <c r="V295" s="548" t="e">
        <f t="shared" si="29"/>
        <v>#VALUE!</v>
      </c>
      <c r="W295" s="544"/>
      <c r="X295" s="556"/>
    </row>
    <row r="296" spans="1:24">
      <c r="A296" s="552">
        <v>294</v>
      </c>
      <c r="B296" s="560"/>
      <c r="C296" s="554"/>
      <c r="D296" s="544" t="s">
        <v>799</v>
      </c>
      <c r="E296" s="555"/>
      <c r="F296" s="545">
        <f>E296-(E296*Z13)</f>
        <v>0</v>
      </c>
      <c r="G296" s="546"/>
      <c r="H296" s="547">
        <f>IF(D296="Rəsmi gəlir",AA3,IF(D296="Qeyri rəsmi gəlir",AB3))</f>
        <v>7.0000000000000007E-2</v>
      </c>
      <c r="I296" s="547">
        <f>IF(D296="Rəsmi gəlir",AA4,IF(D296="Qeyri rəsmi gəlir",AB4))</f>
        <v>0.12</v>
      </c>
      <c r="J296" s="547">
        <f>IF(D296="Rəsmi gəlir",AA5,IF(D296="Qeyri rəsmi gəlir",AB5))</f>
        <v>0.16</v>
      </c>
      <c r="K296" s="547">
        <f>IF(D296="Rəsmi gəlir",AA6,IF(D296="Qeyri rəsmi gəlir",AB6))</f>
        <v>0.2</v>
      </c>
      <c r="L296" s="547">
        <f>IF(D296="Rəsmi gəlir",AA7,IF(D296="Qeyri rəsmi gəlir",AB7))</f>
        <v>0.23</v>
      </c>
      <c r="M296" s="547">
        <f>IF(D296="Rəsmi gəlir",AA8,IF(D296="Qeyri rəsmi gəlir",AB8))</f>
        <v>0.25600000000000001</v>
      </c>
      <c r="N296" s="547">
        <f>IF(D296="Rəsmi gəlir",AA9,IF(D296="Qeyri rəsmi gəlir",AB9))</f>
        <v>0.28550000000000003</v>
      </c>
      <c r="O296" s="547">
        <f>IF(D296="Rəsmi gəlir",AA10,IF(D296="Qeyri rəsmi gəlir",AB10))</f>
        <v>0</v>
      </c>
      <c r="P296" s="547" t="b">
        <f t="shared" si="24"/>
        <v>0</v>
      </c>
      <c r="Q296" s="548">
        <f t="shared" si="25"/>
        <v>0</v>
      </c>
      <c r="R296" s="543" t="str">
        <f t="shared" si="27"/>
        <v>-</v>
      </c>
      <c r="S296" s="549"/>
      <c r="T296" s="543" t="e">
        <f t="shared" si="28"/>
        <v>#VALUE!</v>
      </c>
      <c r="U296" s="548" t="e">
        <f t="shared" si="26"/>
        <v>#VALUE!</v>
      </c>
      <c r="V296" s="548" t="e">
        <f t="shared" si="29"/>
        <v>#VALUE!</v>
      </c>
      <c r="W296" s="544"/>
      <c r="X296" s="556"/>
    </row>
    <row r="297" spans="1:24">
      <c r="A297" s="552">
        <v>295</v>
      </c>
      <c r="B297" s="560"/>
      <c r="C297" s="554"/>
      <c r="D297" s="544" t="s">
        <v>799</v>
      </c>
      <c r="E297" s="555"/>
      <c r="F297" s="545">
        <f>E297-(E297*Z13)</f>
        <v>0</v>
      </c>
      <c r="G297" s="546"/>
      <c r="H297" s="547">
        <f>IF(D297="Rəsmi gəlir",AA3,IF(D297="Qeyri rəsmi gəlir",AB3))</f>
        <v>7.0000000000000007E-2</v>
      </c>
      <c r="I297" s="547">
        <f>IF(D297="Rəsmi gəlir",AA4,IF(D297="Qeyri rəsmi gəlir",AB4))</f>
        <v>0.12</v>
      </c>
      <c r="J297" s="547">
        <f>IF(D297="Rəsmi gəlir",AA5,IF(D297="Qeyri rəsmi gəlir",AB5))</f>
        <v>0.16</v>
      </c>
      <c r="K297" s="547">
        <f>IF(D297="Rəsmi gəlir",AA6,IF(D297="Qeyri rəsmi gəlir",AB6))</f>
        <v>0.2</v>
      </c>
      <c r="L297" s="547">
        <f>IF(D297="Rəsmi gəlir",AA7,IF(D297="Qeyri rəsmi gəlir",AB7))</f>
        <v>0.23</v>
      </c>
      <c r="M297" s="547">
        <f>IF(D297="Rəsmi gəlir",AA8,IF(D297="Qeyri rəsmi gəlir",AB8))</f>
        <v>0.25600000000000001</v>
      </c>
      <c r="N297" s="547">
        <f>IF(D297="Rəsmi gəlir",AA9,IF(D297="Qeyri rəsmi gəlir",AB9))</f>
        <v>0.28550000000000003</v>
      </c>
      <c r="O297" s="547">
        <f>IF(D297="Rəsmi gəlir",AA10,IF(D297="Qeyri rəsmi gəlir",AB10))</f>
        <v>0</v>
      </c>
      <c r="P297" s="547" t="b">
        <f t="shared" si="24"/>
        <v>0</v>
      </c>
      <c r="Q297" s="548">
        <f t="shared" si="25"/>
        <v>0</v>
      </c>
      <c r="R297" s="543" t="str">
        <f t="shared" si="27"/>
        <v>-</v>
      </c>
      <c r="S297" s="549"/>
      <c r="T297" s="543" t="e">
        <f t="shared" si="28"/>
        <v>#VALUE!</v>
      </c>
      <c r="U297" s="548" t="e">
        <f t="shared" si="26"/>
        <v>#VALUE!</v>
      </c>
      <c r="V297" s="548" t="e">
        <f t="shared" si="29"/>
        <v>#VALUE!</v>
      </c>
      <c r="W297" s="544"/>
      <c r="X297" s="556"/>
    </row>
    <row r="298" spans="1:24">
      <c r="A298" s="552">
        <v>296</v>
      </c>
      <c r="B298" s="560"/>
      <c r="C298" s="554"/>
      <c r="D298" s="544" t="s">
        <v>799</v>
      </c>
      <c r="E298" s="555"/>
      <c r="F298" s="545">
        <f>E298-(E298*Z13)</f>
        <v>0</v>
      </c>
      <c r="G298" s="546"/>
      <c r="H298" s="547">
        <f>IF(D298="Rəsmi gəlir",AA3,IF(D298="Qeyri rəsmi gəlir",AB3))</f>
        <v>7.0000000000000007E-2</v>
      </c>
      <c r="I298" s="547">
        <f>IF(D298="Rəsmi gəlir",AA4,IF(D298="Qeyri rəsmi gəlir",AB4))</f>
        <v>0.12</v>
      </c>
      <c r="J298" s="547">
        <f>IF(D298="Rəsmi gəlir",AA5,IF(D298="Qeyri rəsmi gəlir",AB5))</f>
        <v>0.16</v>
      </c>
      <c r="K298" s="547">
        <f>IF(D298="Rəsmi gəlir",AA6,IF(D298="Qeyri rəsmi gəlir",AB6))</f>
        <v>0.2</v>
      </c>
      <c r="L298" s="547">
        <f>IF(D298="Rəsmi gəlir",AA7,IF(D298="Qeyri rəsmi gəlir",AB7))</f>
        <v>0.23</v>
      </c>
      <c r="M298" s="547">
        <f>IF(D298="Rəsmi gəlir",AA8,IF(D298="Qeyri rəsmi gəlir",AB8))</f>
        <v>0.25600000000000001</v>
      </c>
      <c r="N298" s="547">
        <f>IF(D298="Rəsmi gəlir",AA9,IF(D298="Qeyri rəsmi gəlir",AB9))</f>
        <v>0.28550000000000003</v>
      </c>
      <c r="O298" s="547">
        <f>IF(D298="Rəsmi gəlir",AA10,IF(D298="Qeyri rəsmi gəlir",AB10))</f>
        <v>0</v>
      </c>
      <c r="P298" s="547" t="b">
        <f t="shared" si="24"/>
        <v>0</v>
      </c>
      <c r="Q298" s="548">
        <f t="shared" si="25"/>
        <v>0</v>
      </c>
      <c r="R298" s="543" t="str">
        <f t="shared" si="27"/>
        <v>-</v>
      </c>
      <c r="S298" s="549"/>
      <c r="T298" s="543" t="e">
        <f t="shared" si="28"/>
        <v>#VALUE!</v>
      </c>
      <c r="U298" s="548" t="e">
        <f t="shared" si="26"/>
        <v>#VALUE!</v>
      </c>
      <c r="V298" s="548" t="e">
        <f t="shared" si="29"/>
        <v>#VALUE!</v>
      </c>
      <c r="W298" s="544"/>
      <c r="X298" s="556"/>
    </row>
    <row r="299" spans="1:24">
      <c r="A299" s="552">
        <v>297</v>
      </c>
      <c r="B299" s="560"/>
      <c r="C299" s="554"/>
      <c r="D299" s="544" t="s">
        <v>799</v>
      </c>
      <c r="E299" s="555"/>
      <c r="F299" s="545">
        <f>E299-(E299*Z13)</f>
        <v>0</v>
      </c>
      <c r="G299" s="546"/>
      <c r="H299" s="547">
        <f>IF(D299="Rəsmi gəlir",AA3,IF(D299="Qeyri rəsmi gəlir",AB3))</f>
        <v>7.0000000000000007E-2</v>
      </c>
      <c r="I299" s="547">
        <f>IF(D299="Rəsmi gəlir",AA4,IF(D299="Qeyri rəsmi gəlir",AB4))</f>
        <v>0.12</v>
      </c>
      <c r="J299" s="547">
        <f>IF(D299="Rəsmi gəlir",AA5,IF(D299="Qeyri rəsmi gəlir",AB5))</f>
        <v>0.16</v>
      </c>
      <c r="K299" s="547">
        <f>IF(D299="Rəsmi gəlir",AA6,IF(D299="Qeyri rəsmi gəlir",AB6))</f>
        <v>0.2</v>
      </c>
      <c r="L299" s="547">
        <f>IF(D299="Rəsmi gəlir",AA7,IF(D299="Qeyri rəsmi gəlir",AB7))</f>
        <v>0.23</v>
      </c>
      <c r="M299" s="547">
        <f>IF(D299="Rəsmi gəlir",AA8,IF(D299="Qeyri rəsmi gəlir",AB8))</f>
        <v>0.25600000000000001</v>
      </c>
      <c r="N299" s="547">
        <f>IF(D299="Rəsmi gəlir",AA9,IF(D299="Qeyri rəsmi gəlir",AB9))</f>
        <v>0.28550000000000003</v>
      </c>
      <c r="O299" s="547">
        <f>IF(D299="Rəsmi gəlir",AA10,IF(D299="Qeyri rəsmi gəlir",AB10))</f>
        <v>0</v>
      </c>
      <c r="P299" s="547" t="b">
        <f t="shared" si="24"/>
        <v>0</v>
      </c>
      <c r="Q299" s="548">
        <f t="shared" si="25"/>
        <v>0</v>
      </c>
      <c r="R299" s="543" t="str">
        <f t="shared" si="27"/>
        <v>-</v>
      </c>
      <c r="S299" s="549"/>
      <c r="T299" s="543" t="e">
        <f t="shared" si="28"/>
        <v>#VALUE!</v>
      </c>
      <c r="U299" s="548" t="e">
        <f t="shared" si="26"/>
        <v>#VALUE!</v>
      </c>
      <c r="V299" s="548" t="e">
        <f t="shared" si="29"/>
        <v>#VALUE!</v>
      </c>
      <c r="W299" s="544"/>
      <c r="X299" s="556"/>
    </row>
    <row r="300" spans="1:24">
      <c r="A300" s="552">
        <v>298</v>
      </c>
      <c r="B300" s="560"/>
      <c r="C300" s="554"/>
      <c r="D300" s="544" t="s">
        <v>799</v>
      </c>
      <c r="E300" s="555"/>
      <c r="F300" s="545">
        <f>E300-(E300*Z13)</f>
        <v>0</v>
      </c>
      <c r="G300" s="546"/>
      <c r="H300" s="547">
        <f>IF(D300="Rəsmi gəlir",AA3,IF(D300="Qeyri rəsmi gəlir",AB3))</f>
        <v>7.0000000000000007E-2</v>
      </c>
      <c r="I300" s="547">
        <f>IF(D300="Rəsmi gəlir",AA4,IF(D300="Qeyri rəsmi gəlir",AB4))</f>
        <v>0.12</v>
      </c>
      <c r="J300" s="547">
        <f>IF(D300="Rəsmi gəlir",AA5,IF(D300="Qeyri rəsmi gəlir",AB5))</f>
        <v>0.16</v>
      </c>
      <c r="K300" s="547">
        <f>IF(D300="Rəsmi gəlir",AA6,IF(D300="Qeyri rəsmi gəlir",AB6))</f>
        <v>0.2</v>
      </c>
      <c r="L300" s="547">
        <f>IF(D300="Rəsmi gəlir",AA7,IF(D300="Qeyri rəsmi gəlir",AB7))</f>
        <v>0.23</v>
      </c>
      <c r="M300" s="547">
        <f>IF(D300="Rəsmi gəlir",AA8,IF(D300="Qeyri rəsmi gəlir",AB8))</f>
        <v>0.25600000000000001</v>
      </c>
      <c r="N300" s="547">
        <f>IF(D300="Rəsmi gəlir",AA9,IF(D300="Qeyri rəsmi gəlir",AB9))</f>
        <v>0.28550000000000003</v>
      </c>
      <c r="O300" s="547">
        <f>IF(D300="Rəsmi gəlir",AA10,IF(D300="Qeyri rəsmi gəlir",AB10))</f>
        <v>0</v>
      </c>
      <c r="P300" s="547" t="b">
        <f t="shared" si="24"/>
        <v>0</v>
      </c>
      <c r="Q300" s="548">
        <f t="shared" si="25"/>
        <v>0</v>
      </c>
      <c r="R300" s="543" t="str">
        <f t="shared" si="27"/>
        <v>-</v>
      </c>
      <c r="S300" s="549"/>
      <c r="T300" s="543" t="e">
        <f t="shared" si="28"/>
        <v>#VALUE!</v>
      </c>
      <c r="U300" s="548" t="e">
        <f t="shared" si="26"/>
        <v>#VALUE!</v>
      </c>
      <c r="V300" s="548" t="e">
        <f t="shared" si="29"/>
        <v>#VALUE!</v>
      </c>
      <c r="W300" s="544"/>
      <c r="X300" s="556"/>
    </row>
    <row r="301" spans="1:24">
      <c r="A301" s="552">
        <v>299</v>
      </c>
      <c r="B301" s="560"/>
      <c r="C301" s="554"/>
      <c r="D301" s="544" t="s">
        <v>799</v>
      </c>
      <c r="E301" s="555"/>
      <c r="F301" s="545">
        <f>E301-(E301*Z13)</f>
        <v>0</v>
      </c>
      <c r="G301" s="546"/>
      <c r="H301" s="547">
        <f>IF(D301="Rəsmi gəlir",AA3,IF(D301="Qeyri rəsmi gəlir",AB3))</f>
        <v>7.0000000000000007E-2</v>
      </c>
      <c r="I301" s="547">
        <f>IF(D301="Rəsmi gəlir",AA4,IF(D301="Qeyri rəsmi gəlir",AB4))</f>
        <v>0.12</v>
      </c>
      <c r="J301" s="547">
        <f>IF(D301="Rəsmi gəlir",AA5,IF(D301="Qeyri rəsmi gəlir",AB5))</f>
        <v>0.16</v>
      </c>
      <c r="K301" s="547">
        <f>IF(D301="Rəsmi gəlir",AA6,IF(D301="Qeyri rəsmi gəlir",AB6))</f>
        <v>0.2</v>
      </c>
      <c r="L301" s="547">
        <f>IF(D301="Rəsmi gəlir",AA7,IF(D301="Qeyri rəsmi gəlir",AB7))</f>
        <v>0.23</v>
      </c>
      <c r="M301" s="547">
        <f>IF(D301="Rəsmi gəlir",AA8,IF(D301="Qeyri rəsmi gəlir",AB8))</f>
        <v>0.25600000000000001</v>
      </c>
      <c r="N301" s="547">
        <f>IF(D301="Rəsmi gəlir",AA9,IF(D301="Qeyri rəsmi gəlir",AB9))</f>
        <v>0.28550000000000003</v>
      </c>
      <c r="O301" s="547">
        <f>IF(D301="Rəsmi gəlir",AA10,IF(D301="Qeyri rəsmi gəlir",AB10))</f>
        <v>0</v>
      </c>
      <c r="P301" s="547" t="b">
        <f t="shared" si="24"/>
        <v>0</v>
      </c>
      <c r="Q301" s="548">
        <f t="shared" si="25"/>
        <v>0</v>
      </c>
      <c r="R301" s="543" t="str">
        <f t="shared" si="27"/>
        <v>-</v>
      </c>
      <c r="S301" s="549"/>
      <c r="T301" s="543" t="e">
        <f t="shared" si="28"/>
        <v>#VALUE!</v>
      </c>
      <c r="U301" s="548" t="e">
        <f t="shared" si="26"/>
        <v>#VALUE!</v>
      </c>
      <c r="V301" s="548" t="e">
        <f t="shared" si="29"/>
        <v>#VALUE!</v>
      </c>
      <c r="W301" s="544"/>
      <c r="X301" s="556"/>
    </row>
    <row r="302" spans="1:24">
      <c r="A302" s="552">
        <v>300</v>
      </c>
      <c r="B302" s="560"/>
      <c r="C302" s="554"/>
      <c r="D302" s="544" t="s">
        <v>799</v>
      </c>
      <c r="E302" s="555"/>
      <c r="F302" s="545">
        <f>E302-(E302*Z13)</f>
        <v>0</v>
      </c>
      <c r="G302" s="546"/>
      <c r="H302" s="547">
        <f>IF(D302="Rəsmi gəlir",AA3,IF(D302="Qeyri rəsmi gəlir",AB3))</f>
        <v>7.0000000000000007E-2</v>
      </c>
      <c r="I302" s="547">
        <f>IF(D302="Rəsmi gəlir",AA4,IF(D302="Qeyri rəsmi gəlir",AB4))</f>
        <v>0.12</v>
      </c>
      <c r="J302" s="547">
        <f>IF(D302="Rəsmi gəlir",AA5,IF(D302="Qeyri rəsmi gəlir",AB5))</f>
        <v>0.16</v>
      </c>
      <c r="K302" s="547">
        <f>IF(D302="Rəsmi gəlir",AA6,IF(D302="Qeyri rəsmi gəlir",AB6))</f>
        <v>0.2</v>
      </c>
      <c r="L302" s="547">
        <f>IF(D302="Rəsmi gəlir",AA7,IF(D302="Qeyri rəsmi gəlir",AB7))</f>
        <v>0.23</v>
      </c>
      <c r="M302" s="547">
        <f>IF(D302="Rəsmi gəlir",AA8,IF(D302="Qeyri rəsmi gəlir",AB8))</f>
        <v>0.25600000000000001</v>
      </c>
      <c r="N302" s="547">
        <f>IF(D302="Rəsmi gəlir",AA9,IF(D302="Qeyri rəsmi gəlir",AB9))</f>
        <v>0.28550000000000003</v>
      </c>
      <c r="O302" s="547">
        <f>IF(D302="Rəsmi gəlir",AA10,IF(D302="Qeyri rəsmi gəlir",AB10))</f>
        <v>0</v>
      </c>
      <c r="P302" s="547" t="b">
        <f t="shared" si="24"/>
        <v>0</v>
      </c>
      <c r="Q302" s="548">
        <f t="shared" si="25"/>
        <v>0</v>
      </c>
      <c r="R302" s="543" t="str">
        <f t="shared" si="27"/>
        <v>-</v>
      </c>
      <c r="S302" s="549"/>
      <c r="T302" s="543" t="e">
        <f t="shared" si="28"/>
        <v>#VALUE!</v>
      </c>
      <c r="U302" s="548" t="e">
        <f t="shared" si="26"/>
        <v>#VALUE!</v>
      </c>
      <c r="V302" s="548" t="e">
        <f t="shared" si="29"/>
        <v>#VALUE!</v>
      </c>
      <c r="W302" s="544"/>
      <c r="X302" s="556"/>
    </row>
    <row r="303" spans="1:24">
      <c r="A303" s="552">
        <v>301</v>
      </c>
      <c r="B303" s="560"/>
      <c r="C303" s="554"/>
      <c r="D303" s="544" t="s">
        <v>799</v>
      </c>
      <c r="E303" s="555"/>
      <c r="F303" s="545">
        <f>E303-(E303*Z13)</f>
        <v>0</v>
      </c>
      <c r="G303" s="546"/>
      <c r="H303" s="547">
        <f>IF(D303="Rəsmi gəlir",AA3,IF(D303="Qeyri rəsmi gəlir",AB3))</f>
        <v>7.0000000000000007E-2</v>
      </c>
      <c r="I303" s="547">
        <f>IF(D303="Rəsmi gəlir",AA4,IF(D303="Qeyri rəsmi gəlir",AB4))</f>
        <v>0.12</v>
      </c>
      <c r="J303" s="547">
        <f>IF(D303="Rəsmi gəlir",AA5,IF(D303="Qeyri rəsmi gəlir",AB5))</f>
        <v>0.16</v>
      </c>
      <c r="K303" s="547">
        <f>IF(D303="Rəsmi gəlir",AA6,IF(D303="Qeyri rəsmi gəlir",AB6))</f>
        <v>0.2</v>
      </c>
      <c r="L303" s="547">
        <f>IF(D303="Rəsmi gəlir",AA7,IF(D303="Qeyri rəsmi gəlir",AB7))</f>
        <v>0.23</v>
      </c>
      <c r="M303" s="547">
        <f>IF(D303="Rəsmi gəlir",AA8,IF(D303="Qeyri rəsmi gəlir",AB8))</f>
        <v>0.25600000000000001</v>
      </c>
      <c r="N303" s="547">
        <f>IF(D303="Rəsmi gəlir",AA9,IF(D303="Qeyri rəsmi gəlir",AB9))</f>
        <v>0.28550000000000003</v>
      </c>
      <c r="O303" s="547">
        <f>IF(D303="Rəsmi gəlir",AA10,IF(D303="Qeyri rəsmi gəlir",AB10))</f>
        <v>0</v>
      </c>
      <c r="P303" s="547" t="b">
        <f t="shared" si="24"/>
        <v>0</v>
      </c>
      <c r="Q303" s="548">
        <f t="shared" si="25"/>
        <v>0</v>
      </c>
      <c r="R303" s="543" t="str">
        <f t="shared" si="27"/>
        <v>-</v>
      </c>
      <c r="S303" s="549"/>
      <c r="T303" s="543" t="e">
        <f t="shared" si="28"/>
        <v>#VALUE!</v>
      </c>
      <c r="U303" s="548" t="e">
        <f t="shared" si="26"/>
        <v>#VALUE!</v>
      </c>
      <c r="V303" s="548" t="e">
        <f t="shared" si="29"/>
        <v>#VALUE!</v>
      </c>
      <c r="W303" s="544"/>
      <c r="X303" s="556"/>
    </row>
    <row r="304" spans="1:24">
      <c r="A304" s="552">
        <v>302</v>
      </c>
      <c r="B304" s="560"/>
      <c r="C304" s="554"/>
      <c r="D304" s="544" t="s">
        <v>799</v>
      </c>
      <c r="E304" s="555"/>
      <c r="F304" s="545">
        <f>E304-(E304*Z13)</f>
        <v>0</v>
      </c>
      <c r="G304" s="546"/>
      <c r="H304" s="547">
        <f>IF(D304="Rəsmi gəlir",AA3,IF(D304="Qeyri rəsmi gəlir",AB3))</f>
        <v>7.0000000000000007E-2</v>
      </c>
      <c r="I304" s="547">
        <f>IF(D304="Rəsmi gəlir",AA4,IF(D304="Qeyri rəsmi gəlir",AB4))</f>
        <v>0.12</v>
      </c>
      <c r="J304" s="547">
        <f>IF(D304="Rəsmi gəlir",AA5,IF(D304="Qeyri rəsmi gəlir",AB5))</f>
        <v>0.16</v>
      </c>
      <c r="K304" s="547">
        <f>IF(D304="Rəsmi gəlir",AA6,IF(D304="Qeyri rəsmi gəlir",AB6))</f>
        <v>0.2</v>
      </c>
      <c r="L304" s="547">
        <f>IF(D304="Rəsmi gəlir",AA7,IF(D304="Qeyri rəsmi gəlir",AB7))</f>
        <v>0.23</v>
      </c>
      <c r="M304" s="547">
        <f>IF(D304="Rəsmi gəlir",AA8,IF(D304="Qeyri rəsmi gəlir",AB8))</f>
        <v>0.25600000000000001</v>
      </c>
      <c r="N304" s="547">
        <f>IF(D304="Rəsmi gəlir",AA9,IF(D304="Qeyri rəsmi gəlir",AB9))</f>
        <v>0.28550000000000003</v>
      </c>
      <c r="O304" s="547">
        <f>IF(D304="Rəsmi gəlir",AA10,IF(D304="Qeyri rəsmi gəlir",AB10))</f>
        <v>0</v>
      </c>
      <c r="P304" s="547" t="b">
        <f t="shared" si="24"/>
        <v>0</v>
      </c>
      <c r="Q304" s="548">
        <f t="shared" si="25"/>
        <v>0</v>
      </c>
      <c r="R304" s="543" t="str">
        <f t="shared" si="27"/>
        <v>-</v>
      </c>
      <c r="S304" s="549"/>
      <c r="T304" s="543" t="e">
        <f t="shared" si="28"/>
        <v>#VALUE!</v>
      </c>
      <c r="U304" s="548" t="e">
        <f t="shared" si="26"/>
        <v>#VALUE!</v>
      </c>
      <c r="V304" s="548" t="e">
        <f t="shared" si="29"/>
        <v>#VALUE!</v>
      </c>
      <c r="W304" s="544"/>
      <c r="X304" s="556"/>
    </row>
    <row r="305" spans="1:24">
      <c r="A305" s="552">
        <v>303</v>
      </c>
      <c r="B305" s="560"/>
      <c r="C305" s="554"/>
      <c r="D305" s="544" t="s">
        <v>799</v>
      </c>
      <c r="E305" s="555"/>
      <c r="F305" s="545">
        <f>E305-(E305*Z13)</f>
        <v>0</v>
      </c>
      <c r="G305" s="546"/>
      <c r="H305" s="547">
        <f>IF(D305="Rəsmi gəlir",AA3,IF(D305="Qeyri rəsmi gəlir",AB3))</f>
        <v>7.0000000000000007E-2</v>
      </c>
      <c r="I305" s="547">
        <f>IF(D305="Rəsmi gəlir",AA4,IF(D305="Qeyri rəsmi gəlir",AB4))</f>
        <v>0.12</v>
      </c>
      <c r="J305" s="547">
        <f>IF(D305="Rəsmi gəlir",AA5,IF(D305="Qeyri rəsmi gəlir",AB5))</f>
        <v>0.16</v>
      </c>
      <c r="K305" s="547">
        <f>IF(D305="Rəsmi gəlir",AA6,IF(D305="Qeyri rəsmi gəlir",AB6))</f>
        <v>0.2</v>
      </c>
      <c r="L305" s="547">
        <f>IF(D305="Rəsmi gəlir",AA7,IF(D305="Qeyri rəsmi gəlir",AB7))</f>
        <v>0.23</v>
      </c>
      <c r="M305" s="547">
        <f>IF(D305="Rəsmi gəlir",AA8,IF(D305="Qeyri rəsmi gəlir",AB8))</f>
        <v>0.25600000000000001</v>
      </c>
      <c r="N305" s="547">
        <f>IF(D305="Rəsmi gəlir",AA9,IF(D305="Qeyri rəsmi gəlir",AB9))</f>
        <v>0.28550000000000003</v>
      </c>
      <c r="O305" s="547">
        <f>IF(D305="Rəsmi gəlir",AA10,IF(D305="Qeyri rəsmi gəlir",AB10))</f>
        <v>0</v>
      </c>
      <c r="P305" s="547" t="b">
        <f t="shared" si="24"/>
        <v>0</v>
      </c>
      <c r="Q305" s="548">
        <f t="shared" si="25"/>
        <v>0</v>
      </c>
      <c r="R305" s="543" t="str">
        <f t="shared" si="27"/>
        <v>-</v>
      </c>
      <c r="S305" s="549"/>
      <c r="T305" s="543" t="e">
        <f t="shared" si="28"/>
        <v>#VALUE!</v>
      </c>
      <c r="U305" s="548" t="e">
        <f t="shared" si="26"/>
        <v>#VALUE!</v>
      </c>
      <c r="V305" s="548" t="e">
        <f t="shared" si="29"/>
        <v>#VALUE!</v>
      </c>
      <c r="W305" s="544"/>
      <c r="X305" s="556"/>
    </row>
    <row r="306" spans="1:24">
      <c r="A306" s="552">
        <v>304</v>
      </c>
      <c r="B306" s="560"/>
      <c r="C306" s="554"/>
      <c r="D306" s="544" t="s">
        <v>799</v>
      </c>
      <c r="E306" s="555"/>
      <c r="F306" s="545">
        <f>E306-(E306*Z13)</f>
        <v>0</v>
      </c>
      <c r="G306" s="546"/>
      <c r="H306" s="547">
        <f>IF(D306="Rəsmi gəlir",AA3,IF(D306="Qeyri rəsmi gəlir",AB3))</f>
        <v>7.0000000000000007E-2</v>
      </c>
      <c r="I306" s="547">
        <f>IF(D306="Rəsmi gəlir",AA4,IF(D306="Qeyri rəsmi gəlir",AB4))</f>
        <v>0.12</v>
      </c>
      <c r="J306" s="547">
        <f>IF(D306="Rəsmi gəlir",AA5,IF(D306="Qeyri rəsmi gəlir",AB5))</f>
        <v>0.16</v>
      </c>
      <c r="K306" s="547">
        <f>IF(D306="Rəsmi gəlir",AA6,IF(D306="Qeyri rəsmi gəlir",AB6))</f>
        <v>0.2</v>
      </c>
      <c r="L306" s="547">
        <f>IF(D306="Rəsmi gəlir",AA7,IF(D306="Qeyri rəsmi gəlir",AB7))</f>
        <v>0.23</v>
      </c>
      <c r="M306" s="547">
        <f>IF(D306="Rəsmi gəlir",AA8,IF(D306="Qeyri rəsmi gəlir",AB8))</f>
        <v>0.25600000000000001</v>
      </c>
      <c r="N306" s="547">
        <f>IF(D306="Rəsmi gəlir",AA9,IF(D306="Qeyri rəsmi gəlir",AB9))</f>
        <v>0.28550000000000003</v>
      </c>
      <c r="O306" s="547">
        <f>IF(D306="Rəsmi gəlir",AA10,IF(D306="Qeyri rəsmi gəlir",AB10))</f>
        <v>0</v>
      </c>
      <c r="P306" s="547" t="b">
        <f t="shared" si="24"/>
        <v>0</v>
      </c>
      <c r="Q306" s="548">
        <f t="shared" si="25"/>
        <v>0</v>
      </c>
      <c r="R306" s="543" t="str">
        <f t="shared" si="27"/>
        <v>-</v>
      </c>
      <c r="S306" s="549"/>
      <c r="T306" s="543" t="e">
        <f t="shared" si="28"/>
        <v>#VALUE!</v>
      </c>
      <c r="U306" s="548" t="e">
        <f t="shared" si="26"/>
        <v>#VALUE!</v>
      </c>
      <c r="V306" s="548" t="e">
        <f t="shared" si="29"/>
        <v>#VALUE!</v>
      </c>
      <c r="W306" s="544"/>
      <c r="X306" s="556"/>
    </row>
    <row r="307" spans="1:24">
      <c r="A307" s="552">
        <v>305</v>
      </c>
      <c r="B307" s="560"/>
      <c r="C307" s="554"/>
      <c r="D307" s="544" t="s">
        <v>799</v>
      </c>
      <c r="E307" s="555"/>
      <c r="F307" s="545">
        <f>E307-(E307*Z13)</f>
        <v>0</v>
      </c>
      <c r="G307" s="546"/>
      <c r="H307" s="547">
        <f>IF(D307="Rəsmi gəlir",AA3,IF(D307="Qeyri rəsmi gəlir",AB3))</f>
        <v>7.0000000000000007E-2</v>
      </c>
      <c r="I307" s="547">
        <f>IF(D307="Rəsmi gəlir",AA4,IF(D307="Qeyri rəsmi gəlir",AB4))</f>
        <v>0.12</v>
      </c>
      <c r="J307" s="547">
        <f>IF(D307="Rəsmi gəlir",AA5,IF(D307="Qeyri rəsmi gəlir",AB5))</f>
        <v>0.16</v>
      </c>
      <c r="K307" s="547">
        <f>IF(D307="Rəsmi gəlir",AA6,IF(D307="Qeyri rəsmi gəlir",AB6))</f>
        <v>0.2</v>
      </c>
      <c r="L307" s="547">
        <f>IF(D307="Rəsmi gəlir",AA7,IF(D307="Qeyri rəsmi gəlir",AB7))</f>
        <v>0.23</v>
      </c>
      <c r="M307" s="547">
        <f>IF(D307="Rəsmi gəlir",AA8,IF(D307="Qeyri rəsmi gəlir",AB8))</f>
        <v>0.25600000000000001</v>
      </c>
      <c r="N307" s="547">
        <f>IF(D307="Rəsmi gəlir",AA9,IF(D307="Qeyri rəsmi gəlir",AB9))</f>
        <v>0.28550000000000003</v>
      </c>
      <c r="O307" s="547">
        <f>IF(D307="Rəsmi gəlir",AA10,IF(D307="Qeyri rəsmi gəlir",AB10))</f>
        <v>0</v>
      </c>
      <c r="P307" s="547" t="b">
        <f t="shared" si="24"/>
        <v>0</v>
      </c>
      <c r="Q307" s="548">
        <f t="shared" si="25"/>
        <v>0</v>
      </c>
      <c r="R307" s="543" t="str">
        <f t="shared" si="27"/>
        <v>-</v>
      </c>
      <c r="S307" s="549"/>
      <c r="T307" s="543" t="e">
        <f t="shared" si="28"/>
        <v>#VALUE!</v>
      </c>
      <c r="U307" s="548" t="e">
        <f t="shared" si="26"/>
        <v>#VALUE!</v>
      </c>
      <c r="V307" s="548" t="e">
        <f t="shared" si="29"/>
        <v>#VALUE!</v>
      </c>
      <c r="W307" s="544"/>
      <c r="X307" s="556"/>
    </row>
    <row r="308" spans="1:24">
      <c r="A308" s="552">
        <v>306</v>
      </c>
      <c r="B308" s="560"/>
      <c r="C308" s="554"/>
      <c r="D308" s="544" t="s">
        <v>799</v>
      </c>
      <c r="E308" s="555"/>
      <c r="F308" s="545">
        <f>E308-(E308*Z13)</f>
        <v>0</v>
      </c>
      <c r="G308" s="546"/>
      <c r="H308" s="547">
        <f>IF(D308="Rəsmi gəlir",AA3,IF(D308="Qeyri rəsmi gəlir",AB3))</f>
        <v>7.0000000000000007E-2</v>
      </c>
      <c r="I308" s="547">
        <f>IF(D308="Rəsmi gəlir",AA4,IF(D308="Qeyri rəsmi gəlir",AB4))</f>
        <v>0.12</v>
      </c>
      <c r="J308" s="547">
        <f>IF(D308="Rəsmi gəlir",AA5,IF(D308="Qeyri rəsmi gəlir",AB5))</f>
        <v>0.16</v>
      </c>
      <c r="K308" s="547">
        <f>IF(D308="Rəsmi gəlir",AA6,IF(D308="Qeyri rəsmi gəlir",AB6))</f>
        <v>0.2</v>
      </c>
      <c r="L308" s="547">
        <f>IF(D308="Rəsmi gəlir",AA7,IF(D308="Qeyri rəsmi gəlir",AB7))</f>
        <v>0.23</v>
      </c>
      <c r="M308" s="547">
        <f>IF(D308="Rəsmi gəlir",AA8,IF(D308="Qeyri rəsmi gəlir",AB8))</f>
        <v>0.25600000000000001</v>
      </c>
      <c r="N308" s="547">
        <f>IF(D308="Rəsmi gəlir",AA9,IF(D308="Qeyri rəsmi gəlir",AB9))</f>
        <v>0.28550000000000003</v>
      </c>
      <c r="O308" s="547">
        <f>IF(D308="Rəsmi gəlir",AA10,IF(D308="Qeyri rəsmi gəlir",AB10))</f>
        <v>0</v>
      </c>
      <c r="P308" s="547" t="b">
        <f t="shared" si="24"/>
        <v>0</v>
      </c>
      <c r="Q308" s="548">
        <f t="shared" si="25"/>
        <v>0</v>
      </c>
      <c r="R308" s="543" t="str">
        <f t="shared" si="27"/>
        <v>-</v>
      </c>
      <c r="S308" s="549"/>
      <c r="T308" s="543" t="e">
        <f t="shared" si="28"/>
        <v>#VALUE!</v>
      </c>
      <c r="U308" s="548" t="e">
        <f t="shared" si="26"/>
        <v>#VALUE!</v>
      </c>
      <c r="V308" s="548" t="e">
        <f t="shared" si="29"/>
        <v>#VALUE!</v>
      </c>
      <c r="W308" s="544"/>
      <c r="X308" s="556"/>
    </row>
    <row r="309" spans="1:24">
      <c r="A309" s="552">
        <v>307</v>
      </c>
      <c r="B309" s="560"/>
      <c r="C309" s="554"/>
      <c r="D309" s="544" t="s">
        <v>799</v>
      </c>
      <c r="E309" s="555"/>
      <c r="F309" s="545">
        <f>E309-(E309*Z13)</f>
        <v>0</v>
      </c>
      <c r="G309" s="546"/>
      <c r="H309" s="547">
        <f>IF(D309="Rəsmi gəlir",AA3,IF(D309="Qeyri rəsmi gəlir",AB3))</f>
        <v>7.0000000000000007E-2</v>
      </c>
      <c r="I309" s="547">
        <f>IF(D309="Rəsmi gəlir",AA4,IF(D309="Qeyri rəsmi gəlir",AB4))</f>
        <v>0.12</v>
      </c>
      <c r="J309" s="547">
        <f>IF(D309="Rəsmi gəlir",AA5,IF(D309="Qeyri rəsmi gəlir",AB5))</f>
        <v>0.16</v>
      </c>
      <c r="K309" s="547">
        <f>IF(D309="Rəsmi gəlir",AA6,IF(D309="Qeyri rəsmi gəlir",AB6))</f>
        <v>0.2</v>
      </c>
      <c r="L309" s="547">
        <f>IF(D309="Rəsmi gəlir",AA7,IF(D309="Qeyri rəsmi gəlir",AB7))</f>
        <v>0.23</v>
      </c>
      <c r="M309" s="547">
        <f>IF(D309="Rəsmi gəlir",AA8,IF(D309="Qeyri rəsmi gəlir",AB8))</f>
        <v>0.25600000000000001</v>
      </c>
      <c r="N309" s="547">
        <f>IF(D309="Rəsmi gəlir",AA9,IF(D309="Qeyri rəsmi gəlir",AB9))</f>
        <v>0.28550000000000003</v>
      </c>
      <c r="O309" s="547">
        <f>IF(D309="Rəsmi gəlir",AA10,IF(D309="Qeyri rəsmi gəlir",AB10))</f>
        <v>0</v>
      </c>
      <c r="P309" s="547" t="b">
        <f t="shared" si="24"/>
        <v>0</v>
      </c>
      <c r="Q309" s="548">
        <f t="shared" si="25"/>
        <v>0</v>
      </c>
      <c r="R309" s="543" t="str">
        <f t="shared" si="27"/>
        <v>-</v>
      </c>
      <c r="S309" s="549"/>
      <c r="T309" s="543" t="e">
        <f t="shared" si="28"/>
        <v>#VALUE!</v>
      </c>
      <c r="U309" s="548" t="e">
        <f t="shared" si="26"/>
        <v>#VALUE!</v>
      </c>
      <c r="V309" s="548" t="e">
        <f t="shared" si="29"/>
        <v>#VALUE!</v>
      </c>
      <c r="W309" s="544"/>
      <c r="X309" s="556"/>
    </row>
    <row r="310" spans="1:24">
      <c r="A310" s="552">
        <v>308</v>
      </c>
      <c r="B310" s="560"/>
      <c r="C310" s="554"/>
      <c r="D310" s="544" t="s">
        <v>799</v>
      </c>
      <c r="E310" s="555"/>
      <c r="F310" s="545">
        <f>E310-(E310*Z13)</f>
        <v>0</v>
      </c>
      <c r="G310" s="546"/>
      <c r="H310" s="547">
        <f>IF(D310="Rəsmi gəlir",AA3,IF(D310="Qeyri rəsmi gəlir",AB3))</f>
        <v>7.0000000000000007E-2</v>
      </c>
      <c r="I310" s="547">
        <f>IF(D310="Rəsmi gəlir",AA4,IF(D310="Qeyri rəsmi gəlir",AB4))</f>
        <v>0.12</v>
      </c>
      <c r="J310" s="547">
        <f>IF(D310="Rəsmi gəlir",AA5,IF(D310="Qeyri rəsmi gəlir",AB5))</f>
        <v>0.16</v>
      </c>
      <c r="K310" s="547">
        <f>IF(D310="Rəsmi gəlir",AA6,IF(D310="Qeyri rəsmi gəlir",AB6))</f>
        <v>0.2</v>
      </c>
      <c r="L310" s="547">
        <f>IF(D310="Rəsmi gəlir",AA7,IF(D310="Qeyri rəsmi gəlir",AB7))</f>
        <v>0.23</v>
      </c>
      <c r="M310" s="547">
        <f>IF(D310="Rəsmi gəlir",AA8,IF(D310="Qeyri rəsmi gəlir",AB8))</f>
        <v>0.25600000000000001</v>
      </c>
      <c r="N310" s="547">
        <f>IF(D310="Rəsmi gəlir",AA9,IF(D310="Qeyri rəsmi gəlir",AB9))</f>
        <v>0.28550000000000003</v>
      </c>
      <c r="O310" s="547">
        <f>IF(D310="Rəsmi gəlir",AA10,IF(D310="Qeyri rəsmi gəlir",AB10))</f>
        <v>0</v>
      </c>
      <c r="P310" s="547" t="b">
        <f t="shared" si="24"/>
        <v>0</v>
      </c>
      <c r="Q310" s="548">
        <f t="shared" si="25"/>
        <v>0</v>
      </c>
      <c r="R310" s="543" t="str">
        <f t="shared" si="27"/>
        <v>-</v>
      </c>
      <c r="S310" s="549"/>
      <c r="T310" s="543" t="e">
        <f t="shared" si="28"/>
        <v>#VALUE!</v>
      </c>
      <c r="U310" s="548" t="e">
        <f t="shared" si="26"/>
        <v>#VALUE!</v>
      </c>
      <c r="V310" s="548" t="e">
        <f t="shared" si="29"/>
        <v>#VALUE!</v>
      </c>
      <c r="W310" s="544"/>
      <c r="X310" s="556"/>
    </row>
    <row r="311" spans="1:24">
      <c r="A311" s="552">
        <v>309</v>
      </c>
      <c r="B311" s="560"/>
      <c r="C311" s="554"/>
      <c r="D311" s="544" t="s">
        <v>799</v>
      </c>
      <c r="E311" s="555"/>
      <c r="F311" s="545">
        <f>E311-(E311*Z13)</f>
        <v>0</v>
      </c>
      <c r="G311" s="546"/>
      <c r="H311" s="547">
        <f>IF(D311="Rəsmi gəlir",AA3,IF(D311="Qeyri rəsmi gəlir",AB3))</f>
        <v>7.0000000000000007E-2</v>
      </c>
      <c r="I311" s="547">
        <f>IF(D311="Rəsmi gəlir",AA4,IF(D311="Qeyri rəsmi gəlir",AB4))</f>
        <v>0.12</v>
      </c>
      <c r="J311" s="547">
        <f>IF(D311="Rəsmi gəlir",AA5,IF(D311="Qeyri rəsmi gəlir",AB5))</f>
        <v>0.16</v>
      </c>
      <c r="K311" s="547">
        <f>IF(D311="Rəsmi gəlir",AA6,IF(D311="Qeyri rəsmi gəlir",AB6))</f>
        <v>0.2</v>
      </c>
      <c r="L311" s="547">
        <f>IF(D311="Rəsmi gəlir",AA7,IF(D311="Qeyri rəsmi gəlir",AB7))</f>
        <v>0.23</v>
      </c>
      <c r="M311" s="547">
        <f>IF(D311="Rəsmi gəlir",AA8,IF(D311="Qeyri rəsmi gəlir",AB8))</f>
        <v>0.25600000000000001</v>
      </c>
      <c r="N311" s="547">
        <f>IF(D311="Rəsmi gəlir",AA9,IF(D311="Qeyri rəsmi gəlir",AB9))</f>
        <v>0.28550000000000003</v>
      </c>
      <c r="O311" s="547">
        <f>IF(D311="Rəsmi gəlir",AA10,IF(D311="Qeyri rəsmi gəlir",AB10))</f>
        <v>0</v>
      </c>
      <c r="P311" s="547" t="b">
        <f t="shared" si="24"/>
        <v>0</v>
      </c>
      <c r="Q311" s="548">
        <f t="shared" si="25"/>
        <v>0</v>
      </c>
      <c r="R311" s="543" t="str">
        <f t="shared" si="27"/>
        <v>-</v>
      </c>
      <c r="S311" s="549"/>
      <c r="T311" s="543" t="e">
        <f t="shared" si="28"/>
        <v>#VALUE!</v>
      </c>
      <c r="U311" s="548" t="e">
        <f t="shared" si="26"/>
        <v>#VALUE!</v>
      </c>
      <c r="V311" s="548" t="e">
        <f t="shared" si="29"/>
        <v>#VALUE!</v>
      </c>
      <c r="W311" s="544"/>
      <c r="X311" s="556"/>
    </row>
    <row r="312" spans="1:24">
      <c r="A312" s="552">
        <v>310</v>
      </c>
      <c r="B312" s="560"/>
      <c r="C312" s="554"/>
      <c r="D312" s="544" t="s">
        <v>799</v>
      </c>
      <c r="E312" s="555"/>
      <c r="F312" s="545">
        <f>E312-(E312*Z13)</f>
        <v>0</v>
      </c>
      <c r="G312" s="546"/>
      <c r="H312" s="547">
        <f>IF(D312="Rəsmi gəlir",AA3,IF(D312="Qeyri rəsmi gəlir",AB3))</f>
        <v>7.0000000000000007E-2</v>
      </c>
      <c r="I312" s="547">
        <f>IF(D312="Rəsmi gəlir",AA4,IF(D312="Qeyri rəsmi gəlir",AB4))</f>
        <v>0.12</v>
      </c>
      <c r="J312" s="547">
        <f>IF(D312="Rəsmi gəlir",AA5,IF(D312="Qeyri rəsmi gəlir",AB5))</f>
        <v>0.16</v>
      </c>
      <c r="K312" s="547">
        <f>IF(D312="Rəsmi gəlir",AA6,IF(D312="Qeyri rəsmi gəlir",AB6))</f>
        <v>0.2</v>
      </c>
      <c r="L312" s="547">
        <f>IF(D312="Rəsmi gəlir",AA7,IF(D312="Qeyri rəsmi gəlir",AB7))</f>
        <v>0.23</v>
      </c>
      <c r="M312" s="547">
        <f>IF(D312="Rəsmi gəlir",AA8,IF(D312="Qeyri rəsmi gəlir",AB8))</f>
        <v>0.25600000000000001</v>
      </c>
      <c r="N312" s="547">
        <f>IF(D312="Rəsmi gəlir",AA9,IF(D312="Qeyri rəsmi gəlir",AB9))</f>
        <v>0.28550000000000003</v>
      </c>
      <c r="O312" s="547">
        <f>IF(D312="Rəsmi gəlir",AA10,IF(D312="Qeyri rəsmi gəlir",AB10))</f>
        <v>0</v>
      </c>
      <c r="P312" s="547" t="b">
        <f t="shared" si="24"/>
        <v>0</v>
      </c>
      <c r="Q312" s="548">
        <f t="shared" si="25"/>
        <v>0</v>
      </c>
      <c r="R312" s="543" t="str">
        <f t="shared" si="27"/>
        <v>-</v>
      </c>
      <c r="S312" s="549"/>
      <c r="T312" s="543" t="e">
        <f t="shared" si="28"/>
        <v>#VALUE!</v>
      </c>
      <c r="U312" s="548" t="e">
        <f t="shared" si="26"/>
        <v>#VALUE!</v>
      </c>
      <c r="V312" s="548" t="e">
        <f t="shared" si="29"/>
        <v>#VALUE!</v>
      </c>
      <c r="W312" s="544"/>
      <c r="X312" s="556"/>
    </row>
    <row r="313" spans="1:24">
      <c r="A313" s="552">
        <v>311</v>
      </c>
      <c r="B313" s="560"/>
      <c r="C313" s="554"/>
      <c r="D313" s="544" t="s">
        <v>799</v>
      </c>
      <c r="E313" s="555"/>
      <c r="F313" s="545">
        <f>E313-(E313*Z13)</f>
        <v>0</v>
      </c>
      <c r="G313" s="546"/>
      <c r="H313" s="547">
        <f>IF(D313="Rəsmi gəlir",AA3,IF(D313="Qeyri rəsmi gəlir",AB3))</f>
        <v>7.0000000000000007E-2</v>
      </c>
      <c r="I313" s="547">
        <f>IF(D313="Rəsmi gəlir",AA4,IF(D313="Qeyri rəsmi gəlir",AB4))</f>
        <v>0.12</v>
      </c>
      <c r="J313" s="547">
        <f>IF(D313="Rəsmi gəlir",AA5,IF(D313="Qeyri rəsmi gəlir",AB5))</f>
        <v>0.16</v>
      </c>
      <c r="K313" s="547">
        <f>IF(D313="Rəsmi gəlir",AA6,IF(D313="Qeyri rəsmi gəlir",AB6))</f>
        <v>0.2</v>
      </c>
      <c r="L313" s="547">
        <f>IF(D313="Rəsmi gəlir",AA7,IF(D313="Qeyri rəsmi gəlir",AB7))</f>
        <v>0.23</v>
      </c>
      <c r="M313" s="547">
        <f>IF(D313="Rəsmi gəlir",AA8,IF(D313="Qeyri rəsmi gəlir",AB8))</f>
        <v>0.25600000000000001</v>
      </c>
      <c r="N313" s="547">
        <f>IF(D313="Rəsmi gəlir",AA9,IF(D313="Qeyri rəsmi gəlir",AB9))</f>
        <v>0.28550000000000003</v>
      </c>
      <c r="O313" s="547">
        <f>IF(D313="Rəsmi gəlir",AA10,IF(D313="Qeyri rəsmi gəlir",AB10))</f>
        <v>0</v>
      </c>
      <c r="P313" s="547" t="b">
        <f t="shared" si="24"/>
        <v>0</v>
      </c>
      <c r="Q313" s="548">
        <f t="shared" si="25"/>
        <v>0</v>
      </c>
      <c r="R313" s="543" t="str">
        <f t="shared" si="27"/>
        <v>-</v>
      </c>
      <c r="S313" s="549"/>
      <c r="T313" s="543" t="e">
        <f t="shared" si="28"/>
        <v>#VALUE!</v>
      </c>
      <c r="U313" s="548" t="e">
        <f t="shared" si="26"/>
        <v>#VALUE!</v>
      </c>
      <c r="V313" s="548" t="e">
        <f t="shared" si="29"/>
        <v>#VALUE!</v>
      </c>
      <c r="W313" s="544"/>
      <c r="X313" s="556"/>
    </row>
    <row r="314" spans="1:24">
      <c r="A314" s="552">
        <v>312</v>
      </c>
      <c r="B314" s="560"/>
      <c r="C314" s="554"/>
      <c r="D314" s="544" t="s">
        <v>799</v>
      </c>
      <c r="E314" s="555"/>
      <c r="F314" s="545">
        <f>E314-(E314*Z13)</f>
        <v>0</v>
      </c>
      <c r="G314" s="546"/>
      <c r="H314" s="547">
        <f>IF(D314="Rəsmi gəlir",AA3,IF(D314="Qeyri rəsmi gəlir",AB3))</f>
        <v>7.0000000000000007E-2</v>
      </c>
      <c r="I314" s="547">
        <f>IF(D314="Rəsmi gəlir",AA4,IF(D314="Qeyri rəsmi gəlir",AB4))</f>
        <v>0.12</v>
      </c>
      <c r="J314" s="547">
        <f>IF(D314="Rəsmi gəlir",AA5,IF(D314="Qeyri rəsmi gəlir",AB5))</f>
        <v>0.16</v>
      </c>
      <c r="K314" s="547">
        <f>IF(D314="Rəsmi gəlir",AA6,IF(D314="Qeyri rəsmi gəlir",AB6))</f>
        <v>0.2</v>
      </c>
      <c r="L314" s="547">
        <f>IF(D314="Rəsmi gəlir",AA7,IF(D314="Qeyri rəsmi gəlir",AB7))</f>
        <v>0.23</v>
      </c>
      <c r="M314" s="547">
        <f>IF(D314="Rəsmi gəlir",AA8,IF(D314="Qeyri rəsmi gəlir",AB8))</f>
        <v>0.25600000000000001</v>
      </c>
      <c r="N314" s="547">
        <f>IF(D314="Rəsmi gəlir",AA9,IF(D314="Qeyri rəsmi gəlir",AB9))</f>
        <v>0.28550000000000003</v>
      </c>
      <c r="O314" s="547">
        <f>IF(D314="Rəsmi gəlir",AA10,IF(D314="Qeyri rəsmi gəlir",AB10))</f>
        <v>0</v>
      </c>
      <c r="P314" s="547" t="b">
        <f t="shared" si="24"/>
        <v>0</v>
      </c>
      <c r="Q314" s="548">
        <f t="shared" si="25"/>
        <v>0</v>
      </c>
      <c r="R314" s="543" t="str">
        <f t="shared" si="27"/>
        <v>-</v>
      </c>
      <c r="S314" s="549"/>
      <c r="T314" s="543" t="e">
        <f t="shared" si="28"/>
        <v>#VALUE!</v>
      </c>
      <c r="U314" s="548" t="e">
        <f t="shared" si="26"/>
        <v>#VALUE!</v>
      </c>
      <c r="V314" s="548" t="e">
        <f t="shared" si="29"/>
        <v>#VALUE!</v>
      </c>
      <c r="W314" s="544"/>
      <c r="X314" s="556"/>
    </row>
    <row r="315" spans="1:24">
      <c r="A315" s="552">
        <v>313</v>
      </c>
      <c r="B315" s="560"/>
      <c r="C315" s="554"/>
      <c r="D315" s="544" t="s">
        <v>799</v>
      </c>
      <c r="E315" s="555"/>
      <c r="F315" s="545">
        <f>E315-(E315*Z13)</f>
        <v>0</v>
      </c>
      <c r="G315" s="546"/>
      <c r="H315" s="547">
        <f>IF(D315="Rəsmi gəlir",AA3,IF(D315="Qeyri rəsmi gəlir",AB3))</f>
        <v>7.0000000000000007E-2</v>
      </c>
      <c r="I315" s="547">
        <f>IF(D315="Rəsmi gəlir",AA4,IF(D315="Qeyri rəsmi gəlir",AB4))</f>
        <v>0.12</v>
      </c>
      <c r="J315" s="547">
        <f>IF(D315="Rəsmi gəlir",AA5,IF(D315="Qeyri rəsmi gəlir",AB5))</f>
        <v>0.16</v>
      </c>
      <c r="K315" s="547">
        <f>IF(D315="Rəsmi gəlir",AA6,IF(D315="Qeyri rəsmi gəlir",AB6))</f>
        <v>0.2</v>
      </c>
      <c r="L315" s="547">
        <f>IF(D315="Rəsmi gəlir",AA7,IF(D315="Qeyri rəsmi gəlir",AB7))</f>
        <v>0.23</v>
      </c>
      <c r="M315" s="547">
        <f>IF(D315="Rəsmi gəlir",AA8,IF(D315="Qeyri rəsmi gəlir",AB8))</f>
        <v>0.25600000000000001</v>
      </c>
      <c r="N315" s="547">
        <f>IF(D315="Rəsmi gəlir",AA9,IF(D315="Qeyri rəsmi gəlir",AB9))</f>
        <v>0.28550000000000003</v>
      </c>
      <c r="O315" s="547">
        <f>IF(D315="Rəsmi gəlir",AA10,IF(D315="Qeyri rəsmi gəlir",AB10))</f>
        <v>0</v>
      </c>
      <c r="P315" s="547" t="b">
        <f t="shared" si="24"/>
        <v>0</v>
      </c>
      <c r="Q315" s="548">
        <f t="shared" si="25"/>
        <v>0</v>
      </c>
      <c r="R315" s="543" t="str">
        <f t="shared" si="27"/>
        <v>-</v>
      </c>
      <c r="S315" s="549"/>
      <c r="T315" s="543" t="e">
        <f t="shared" si="28"/>
        <v>#VALUE!</v>
      </c>
      <c r="U315" s="548" t="e">
        <f t="shared" si="26"/>
        <v>#VALUE!</v>
      </c>
      <c r="V315" s="548" t="e">
        <f t="shared" si="29"/>
        <v>#VALUE!</v>
      </c>
      <c r="W315" s="544"/>
      <c r="X315" s="556"/>
    </row>
    <row r="316" spans="1:24">
      <c r="A316" s="552">
        <v>314</v>
      </c>
      <c r="B316" s="560"/>
      <c r="C316" s="554"/>
      <c r="D316" s="544" t="s">
        <v>799</v>
      </c>
      <c r="E316" s="555"/>
      <c r="F316" s="545">
        <f>E316-(E316*Z13)</f>
        <v>0</v>
      </c>
      <c r="G316" s="546"/>
      <c r="H316" s="547">
        <f>IF(D316="Rəsmi gəlir",AA3,IF(D316="Qeyri rəsmi gəlir",AB3))</f>
        <v>7.0000000000000007E-2</v>
      </c>
      <c r="I316" s="547">
        <f>IF(D316="Rəsmi gəlir",AA4,IF(D316="Qeyri rəsmi gəlir",AB4))</f>
        <v>0.12</v>
      </c>
      <c r="J316" s="547">
        <f>IF(D316="Rəsmi gəlir",AA5,IF(D316="Qeyri rəsmi gəlir",AB5))</f>
        <v>0.16</v>
      </c>
      <c r="K316" s="547">
        <f>IF(D316="Rəsmi gəlir",AA6,IF(D316="Qeyri rəsmi gəlir",AB6))</f>
        <v>0.2</v>
      </c>
      <c r="L316" s="547">
        <f>IF(D316="Rəsmi gəlir",AA7,IF(D316="Qeyri rəsmi gəlir",AB7))</f>
        <v>0.23</v>
      </c>
      <c r="M316" s="547">
        <f>IF(D316="Rəsmi gəlir",AA8,IF(D316="Qeyri rəsmi gəlir",AB8))</f>
        <v>0.25600000000000001</v>
      </c>
      <c r="N316" s="547">
        <f>IF(D316="Rəsmi gəlir",AA9,IF(D316="Qeyri rəsmi gəlir",AB9))</f>
        <v>0.28550000000000003</v>
      </c>
      <c r="O316" s="547">
        <f>IF(D316="Rəsmi gəlir",AA10,IF(D316="Qeyri rəsmi gəlir",AB10))</f>
        <v>0</v>
      </c>
      <c r="P316" s="547" t="b">
        <f t="shared" si="24"/>
        <v>0</v>
      </c>
      <c r="Q316" s="548">
        <f t="shared" si="25"/>
        <v>0</v>
      </c>
      <c r="R316" s="543" t="str">
        <f t="shared" si="27"/>
        <v>-</v>
      </c>
      <c r="S316" s="549"/>
      <c r="T316" s="543" t="e">
        <f t="shared" si="28"/>
        <v>#VALUE!</v>
      </c>
      <c r="U316" s="548" t="e">
        <f t="shared" si="26"/>
        <v>#VALUE!</v>
      </c>
      <c r="V316" s="548" t="e">
        <f t="shared" si="29"/>
        <v>#VALUE!</v>
      </c>
      <c r="W316" s="544"/>
      <c r="X316" s="556"/>
    </row>
    <row r="317" spans="1:24">
      <c r="A317" s="552">
        <v>315</v>
      </c>
      <c r="B317" s="560"/>
      <c r="C317" s="554"/>
      <c r="D317" s="544" t="s">
        <v>799</v>
      </c>
      <c r="E317" s="555"/>
      <c r="F317" s="545">
        <f>E317-(E317*Z13)</f>
        <v>0</v>
      </c>
      <c r="G317" s="546"/>
      <c r="H317" s="547">
        <f>IF(D317="Rəsmi gəlir",AA3,IF(D317="Qeyri rəsmi gəlir",AB3))</f>
        <v>7.0000000000000007E-2</v>
      </c>
      <c r="I317" s="547">
        <f>IF(D317="Rəsmi gəlir",AA4,IF(D317="Qeyri rəsmi gəlir",AB4))</f>
        <v>0.12</v>
      </c>
      <c r="J317" s="547">
        <f>IF(D317="Rəsmi gəlir",AA5,IF(D317="Qeyri rəsmi gəlir",AB5))</f>
        <v>0.16</v>
      </c>
      <c r="K317" s="547">
        <f>IF(D317="Rəsmi gəlir",AA6,IF(D317="Qeyri rəsmi gəlir",AB6))</f>
        <v>0.2</v>
      </c>
      <c r="L317" s="547">
        <f>IF(D317="Rəsmi gəlir",AA7,IF(D317="Qeyri rəsmi gəlir",AB7))</f>
        <v>0.23</v>
      </c>
      <c r="M317" s="547">
        <f>IF(D317="Rəsmi gəlir",AA8,IF(D317="Qeyri rəsmi gəlir",AB8))</f>
        <v>0.25600000000000001</v>
      </c>
      <c r="N317" s="547">
        <f>IF(D317="Rəsmi gəlir",AA9,IF(D317="Qeyri rəsmi gəlir",AB9))</f>
        <v>0.28550000000000003</v>
      </c>
      <c r="O317" s="547">
        <f>IF(D317="Rəsmi gəlir",AA10,IF(D317="Qeyri rəsmi gəlir",AB10))</f>
        <v>0</v>
      </c>
      <c r="P317" s="547" t="b">
        <f t="shared" si="24"/>
        <v>0</v>
      </c>
      <c r="Q317" s="548">
        <f t="shared" si="25"/>
        <v>0</v>
      </c>
      <c r="R317" s="543" t="str">
        <f t="shared" si="27"/>
        <v>-</v>
      </c>
      <c r="S317" s="549"/>
      <c r="T317" s="543" t="e">
        <f t="shared" si="28"/>
        <v>#VALUE!</v>
      </c>
      <c r="U317" s="548" t="e">
        <f t="shared" si="26"/>
        <v>#VALUE!</v>
      </c>
      <c r="V317" s="548" t="e">
        <f t="shared" si="29"/>
        <v>#VALUE!</v>
      </c>
      <c r="W317" s="544"/>
      <c r="X317" s="556"/>
    </row>
    <row r="318" spans="1:24">
      <c r="A318" s="552">
        <v>316</v>
      </c>
      <c r="B318" s="560"/>
      <c r="C318" s="554"/>
      <c r="D318" s="544" t="s">
        <v>799</v>
      </c>
      <c r="E318" s="555"/>
      <c r="F318" s="545">
        <f>E318-(E318*Z13)</f>
        <v>0</v>
      </c>
      <c r="G318" s="546"/>
      <c r="H318" s="547">
        <f>IF(D318="Rəsmi gəlir",AA3,IF(D318="Qeyri rəsmi gəlir",AB3))</f>
        <v>7.0000000000000007E-2</v>
      </c>
      <c r="I318" s="547">
        <f>IF(D318="Rəsmi gəlir",AA4,IF(D318="Qeyri rəsmi gəlir",AB4))</f>
        <v>0.12</v>
      </c>
      <c r="J318" s="547">
        <f>IF(D318="Rəsmi gəlir",AA5,IF(D318="Qeyri rəsmi gəlir",AB5))</f>
        <v>0.16</v>
      </c>
      <c r="K318" s="547">
        <f>IF(D318="Rəsmi gəlir",AA6,IF(D318="Qeyri rəsmi gəlir",AB6))</f>
        <v>0.2</v>
      </c>
      <c r="L318" s="547">
        <f>IF(D318="Rəsmi gəlir",AA7,IF(D318="Qeyri rəsmi gəlir",AB7))</f>
        <v>0.23</v>
      </c>
      <c r="M318" s="547">
        <f>IF(D318="Rəsmi gəlir",AA8,IF(D318="Qeyri rəsmi gəlir",AB8))</f>
        <v>0.25600000000000001</v>
      </c>
      <c r="N318" s="547">
        <f>IF(D318="Rəsmi gəlir",AA9,IF(D318="Qeyri rəsmi gəlir",AB9))</f>
        <v>0.28550000000000003</v>
      </c>
      <c r="O318" s="547">
        <f>IF(D318="Rəsmi gəlir",AA10,IF(D318="Qeyri rəsmi gəlir",AB10))</f>
        <v>0</v>
      </c>
      <c r="P318" s="547" t="b">
        <f t="shared" si="24"/>
        <v>0</v>
      </c>
      <c r="Q318" s="548">
        <f t="shared" si="25"/>
        <v>0</v>
      </c>
      <c r="R318" s="543" t="str">
        <f t="shared" si="27"/>
        <v>-</v>
      </c>
      <c r="S318" s="549"/>
      <c r="T318" s="543" t="e">
        <f t="shared" si="28"/>
        <v>#VALUE!</v>
      </c>
      <c r="U318" s="548" t="e">
        <f t="shared" si="26"/>
        <v>#VALUE!</v>
      </c>
      <c r="V318" s="548" t="e">
        <f t="shared" si="29"/>
        <v>#VALUE!</v>
      </c>
      <c r="W318" s="544"/>
      <c r="X318" s="556"/>
    </row>
    <row r="319" spans="1:24">
      <c r="A319" s="552">
        <v>317</v>
      </c>
      <c r="B319" s="560"/>
      <c r="C319" s="554"/>
      <c r="D319" s="544" t="s">
        <v>799</v>
      </c>
      <c r="E319" s="555"/>
      <c r="F319" s="545">
        <f>E319-(E319*Z13)</f>
        <v>0</v>
      </c>
      <c r="G319" s="546"/>
      <c r="H319" s="547">
        <f>IF(D319="Rəsmi gəlir",AA3,IF(D319="Qeyri rəsmi gəlir",AB3))</f>
        <v>7.0000000000000007E-2</v>
      </c>
      <c r="I319" s="547">
        <f>IF(D319="Rəsmi gəlir",AA4,IF(D319="Qeyri rəsmi gəlir",AB4))</f>
        <v>0.12</v>
      </c>
      <c r="J319" s="547">
        <f>IF(D319="Rəsmi gəlir",AA5,IF(D319="Qeyri rəsmi gəlir",AB5))</f>
        <v>0.16</v>
      </c>
      <c r="K319" s="547">
        <f>IF(D319="Rəsmi gəlir",AA6,IF(D319="Qeyri rəsmi gəlir",AB6))</f>
        <v>0.2</v>
      </c>
      <c r="L319" s="547">
        <f>IF(D319="Rəsmi gəlir",AA7,IF(D319="Qeyri rəsmi gəlir",AB7))</f>
        <v>0.23</v>
      </c>
      <c r="M319" s="547">
        <f>IF(D319="Rəsmi gəlir",AA8,IF(D319="Qeyri rəsmi gəlir",AB8))</f>
        <v>0.25600000000000001</v>
      </c>
      <c r="N319" s="547">
        <f>IF(D319="Rəsmi gəlir",AA9,IF(D319="Qeyri rəsmi gəlir",AB9))</f>
        <v>0.28550000000000003</v>
      </c>
      <c r="O319" s="547">
        <f>IF(D319="Rəsmi gəlir",AA10,IF(D319="Qeyri rəsmi gəlir",AB10))</f>
        <v>0</v>
      </c>
      <c r="P319" s="547" t="b">
        <f t="shared" si="24"/>
        <v>0</v>
      </c>
      <c r="Q319" s="548">
        <f t="shared" si="25"/>
        <v>0</v>
      </c>
      <c r="R319" s="543" t="str">
        <f t="shared" si="27"/>
        <v>-</v>
      </c>
      <c r="S319" s="549"/>
      <c r="T319" s="543" t="e">
        <f t="shared" si="28"/>
        <v>#VALUE!</v>
      </c>
      <c r="U319" s="548" t="e">
        <f t="shared" si="26"/>
        <v>#VALUE!</v>
      </c>
      <c r="V319" s="548" t="e">
        <f t="shared" si="29"/>
        <v>#VALUE!</v>
      </c>
      <c r="W319" s="544"/>
      <c r="X319" s="556"/>
    </row>
    <row r="320" spans="1:24">
      <c r="A320" s="552">
        <v>318</v>
      </c>
      <c r="B320" s="560"/>
      <c r="C320" s="554"/>
      <c r="D320" s="544" t="s">
        <v>799</v>
      </c>
      <c r="E320" s="555"/>
      <c r="F320" s="545">
        <f>E320-(E320*Z13)</f>
        <v>0</v>
      </c>
      <c r="G320" s="546"/>
      <c r="H320" s="547">
        <f>IF(D320="Rəsmi gəlir",AA3,IF(D320="Qeyri rəsmi gəlir",AB3))</f>
        <v>7.0000000000000007E-2</v>
      </c>
      <c r="I320" s="547">
        <f>IF(D320="Rəsmi gəlir",AA4,IF(D320="Qeyri rəsmi gəlir",AB4))</f>
        <v>0.12</v>
      </c>
      <c r="J320" s="547">
        <f>IF(D320="Rəsmi gəlir",AA5,IF(D320="Qeyri rəsmi gəlir",AB5))</f>
        <v>0.16</v>
      </c>
      <c r="K320" s="547">
        <f>IF(D320="Rəsmi gəlir",AA6,IF(D320="Qeyri rəsmi gəlir",AB6))</f>
        <v>0.2</v>
      </c>
      <c r="L320" s="547">
        <f>IF(D320="Rəsmi gəlir",AA7,IF(D320="Qeyri rəsmi gəlir",AB7))</f>
        <v>0.23</v>
      </c>
      <c r="M320" s="547">
        <f>IF(D320="Rəsmi gəlir",AA8,IF(D320="Qeyri rəsmi gəlir",AB8))</f>
        <v>0.25600000000000001</v>
      </c>
      <c r="N320" s="547">
        <f>IF(D320="Rəsmi gəlir",AA9,IF(D320="Qeyri rəsmi gəlir",AB9))</f>
        <v>0.28550000000000003</v>
      </c>
      <c r="O320" s="547">
        <f>IF(D320="Rəsmi gəlir",AA10,IF(D320="Qeyri rəsmi gəlir",AB10))</f>
        <v>0</v>
      </c>
      <c r="P320" s="547" t="b">
        <f t="shared" si="24"/>
        <v>0</v>
      </c>
      <c r="Q320" s="548">
        <f t="shared" si="25"/>
        <v>0</v>
      </c>
      <c r="R320" s="543" t="str">
        <f t="shared" si="27"/>
        <v>-</v>
      </c>
      <c r="S320" s="549"/>
      <c r="T320" s="543" t="e">
        <f t="shared" si="28"/>
        <v>#VALUE!</v>
      </c>
      <c r="U320" s="548" t="e">
        <f t="shared" si="26"/>
        <v>#VALUE!</v>
      </c>
      <c r="V320" s="548" t="e">
        <f t="shared" si="29"/>
        <v>#VALUE!</v>
      </c>
      <c r="W320" s="544"/>
      <c r="X320" s="556"/>
    </row>
    <row r="321" spans="1:24">
      <c r="A321" s="552">
        <v>319</v>
      </c>
      <c r="B321" s="560"/>
      <c r="C321" s="554"/>
      <c r="D321" s="544" t="s">
        <v>799</v>
      </c>
      <c r="E321" s="555"/>
      <c r="F321" s="545">
        <f>E321-(E321*Z13)</f>
        <v>0</v>
      </c>
      <c r="G321" s="546"/>
      <c r="H321" s="547">
        <f>IF(D321="Rəsmi gəlir",AA3,IF(D321="Qeyri rəsmi gəlir",AB3))</f>
        <v>7.0000000000000007E-2</v>
      </c>
      <c r="I321" s="547">
        <f>IF(D321="Rəsmi gəlir",AA4,IF(D321="Qeyri rəsmi gəlir",AB4))</f>
        <v>0.12</v>
      </c>
      <c r="J321" s="547">
        <f>IF(D321="Rəsmi gəlir",AA5,IF(D321="Qeyri rəsmi gəlir",AB5))</f>
        <v>0.16</v>
      </c>
      <c r="K321" s="547">
        <f>IF(D321="Rəsmi gəlir",AA6,IF(D321="Qeyri rəsmi gəlir",AB6))</f>
        <v>0.2</v>
      </c>
      <c r="L321" s="547">
        <f>IF(D321="Rəsmi gəlir",AA7,IF(D321="Qeyri rəsmi gəlir",AB7))</f>
        <v>0.23</v>
      </c>
      <c r="M321" s="547">
        <f>IF(D321="Rəsmi gəlir",AA8,IF(D321="Qeyri rəsmi gəlir",AB8))</f>
        <v>0.25600000000000001</v>
      </c>
      <c r="N321" s="547">
        <f>IF(D321="Rəsmi gəlir",AA9,IF(D321="Qeyri rəsmi gəlir",AB9))</f>
        <v>0.28550000000000003</v>
      </c>
      <c r="O321" s="547">
        <f>IF(D321="Rəsmi gəlir",AA10,IF(D321="Qeyri rəsmi gəlir",AB10))</f>
        <v>0</v>
      </c>
      <c r="P321" s="547" t="b">
        <f t="shared" si="24"/>
        <v>0</v>
      </c>
      <c r="Q321" s="548">
        <f t="shared" si="25"/>
        <v>0</v>
      </c>
      <c r="R321" s="543" t="str">
        <f t="shared" si="27"/>
        <v>-</v>
      </c>
      <c r="S321" s="549"/>
      <c r="T321" s="543" t="e">
        <f t="shared" si="28"/>
        <v>#VALUE!</v>
      </c>
      <c r="U321" s="548" t="e">
        <f t="shared" si="26"/>
        <v>#VALUE!</v>
      </c>
      <c r="V321" s="548" t="e">
        <f t="shared" si="29"/>
        <v>#VALUE!</v>
      </c>
      <c r="W321" s="544"/>
      <c r="X321" s="556"/>
    </row>
    <row r="322" spans="1:24">
      <c r="A322" s="552">
        <v>320</v>
      </c>
      <c r="B322" s="560"/>
      <c r="C322" s="554"/>
      <c r="D322" s="544" t="s">
        <v>799</v>
      </c>
      <c r="E322" s="555"/>
      <c r="F322" s="545">
        <f>E322-(E322*Z13)</f>
        <v>0</v>
      </c>
      <c r="G322" s="546"/>
      <c r="H322" s="547">
        <f>IF(D322="Rəsmi gəlir",AA3,IF(D322="Qeyri rəsmi gəlir",AB3))</f>
        <v>7.0000000000000007E-2</v>
      </c>
      <c r="I322" s="547">
        <f>IF(D322="Rəsmi gəlir",AA4,IF(D322="Qeyri rəsmi gəlir",AB4))</f>
        <v>0.12</v>
      </c>
      <c r="J322" s="547">
        <f>IF(D322="Rəsmi gəlir",AA5,IF(D322="Qeyri rəsmi gəlir",AB5))</f>
        <v>0.16</v>
      </c>
      <c r="K322" s="547">
        <f>IF(D322="Rəsmi gəlir",AA6,IF(D322="Qeyri rəsmi gəlir",AB6))</f>
        <v>0.2</v>
      </c>
      <c r="L322" s="547">
        <f>IF(D322="Rəsmi gəlir",AA7,IF(D322="Qeyri rəsmi gəlir",AB7))</f>
        <v>0.23</v>
      </c>
      <c r="M322" s="547">
        <f>IF(D322="Rəsmi gəlir",AA8,IF(D322="Qeyri rəsmi gəlir",AB8))</f>
        <v>0.25600000000000001</v>
      </c>
      <c r="N322" s="547">
        <f>IF(D322="Rəsmi gəlir",AA9,IF(D322="Qeyri rəsmi gəlir",AB9))</f>
        <v>0.28550000000000003</v>
      </c>
      <c r="O322" s="547">
        <f>IF(D322="Rəsmi gəlir",AA10,IF(D322="Qeyri rəsmi gəlir",AB10))</f>
        <v>0</v>
      </c>
      <c r="P322" s="547" t="b">
        <f t="shared" si="24"/>
        <v>0</v>
      </c>
      <c r="Q322" s="548">
        <f t="shared" si="25"/>
        <v>0</v>
      </c>
      <c r="R322" s="543" t="str">
        <f t="shared" si="27"/>
        <v>-</v>
      </c>
      <c r="S322" s="549"/>
      <c r="T322" s="543" t="e">
        <f t="shared" si="28"/>
        <v>#VALUE!</v>
      </c>
      <c r="U322" s="548" t="e">
        <f t="shared" si="26"/>
        <v>#VALUE!</v>
      </c>
      <c r="V322" s="548" t="e">
        <f t="shared" si="29"/>
        <v>#VALUE!</v>
      </c>
      <c r="W322" s="544"/>
      <c r="X322" s="556"/>
    </row>
    <row r="323" spans="1:24">
      <c r="A323" s="552">
        <v>321</v>
      </c>
      <c r="B323" s="560"/>
      <c r="C323" s="554"/>
      <c r="D323" s="544" t="s">
        <v>799</v>
      </c>
      <c r="E323" s="555"/>
      <c r="F323" s="545">
        <f>E323-(E323*Z13)</f>
        <v>0</v>
      </c>
      <c r="G323" s="546"/>
      <c r="H323" s="547">
        <f>IF(D323="Rəsmi gəlir",AA3,IF(D323="Qeyri rəsmi gəlir",AB3))</f>
        <v>7.0000000000000007E-2</v>
      </c>
      <c r="I323" s="547">
        <f>IF(D323="Rəsmi gəlir",AA4,IF(D323="Qeyri rəsmi gəlir",AB4))</f>
        <v>0.12</v>
      </c>
      <c r="J323" s="547">
        <f>IF(D323="Rəsmi gəlir",AA5,IF(D323="Qeyri rəsmi gəlir",AB5))</f>
        <v>0.16</v>
      </c>
      <c r="K323" s="547">
        <f>IF(D323="Rəsmi gəlir",AA6,IF(D323="Qeyri rəsmi gəlir",AB6))</f>
        <v>0.2</v>
      </c>
      <c r="L323" s="547">
        <f>IF(D323="Rəsmi gəlir",AA7,IF(D323="Qeyri rəsmi gəlir",AB7))</f>
        <v>0.23</v>
      </c>
      <c r="M323" s="547">
        <f>IF(D323="Rəsmi gəlir",AA8,IF(D323="Qeyri rəsmi gəlir",AB8))</f>
        <v>0.25600000000000001</v>
      </c>
      <c r="N323" s="547">
        <f>IF(D323="Rəsmi gəlir",AA9,IF(D323="Qeyri rəsmi gəlir",AB9))</f>
        <v>0.28550000000000003</v>
      </c>
      <c r="O323" s="547">
        <f>IF(D323="Rəsmi gəlir",AA10,IF(D323="Qeyri rəsmi gəlir",AB10))</f>
        <v>0</v>
      </c>
      <c r="P323" s="547" t="b">
        <f t="shared" ref="P323:P386" si="30">IF(G323="2",H323,IF(G323="3",H323,IF(G323="4",I323,IF(G323="5",I323,IF(G323="6",I323,IF(G323="7",J323,IF(G323="8",J323,IF(G323="9",J323,IF(G323="10",K323,IF(G323="11",K323,IF(G323="12",K323,IF(G323="13",L323,IF(G323="14",L323,IF(G323="15",L323,IF(G323="16",M323,IF(G323="17",M323,IF(G323="18",M323,IF(G323="19",N323,IF(G323="20",N323,IF(G323="21",N323,IF(G323="22",O323,IF(G323="23",O323,IF(G323="24",O323)))))))))))))))))))))))</f>
        <v>0</v>
      </c>
      <c r="Q323" s="548">
        <f t="shared" ref="Q323:Q386" si="31">F323*P323</f>
        <v>0</v>
      </c>
      <c r="R323" s="543" t="str">
        <f t="shared" si="27"/>
        <v>-</v>
      </c>
      <c r="S323" s="549"/>
      <c r="T323" s="543" t="e">
        <f t="shared" si="28"/>
        <v>#VALUE!</v>
      </c>
      <c r="U323" s="548" t="e">
        <f t="shared" ref="U323:U386" si="32">F323-(F323*P323)-R323</f>
        <v>#VALUE!</v>
      </c>
      <c r="V323" s="548" t="e">
        <f t="shared" si="29"/>
        <v>#VALUE!</v>
      </c>
      <c r="W323" s="544"/>
      <c r="X323" s="556"/>
    </row>
    <row r="324" spans="1:24">
      <c r="A324" s="552">
        <v>322</v>
      </c>
      <c r="B324" s="560"/>
      <c r="C324" s="554"/>
      <c r="D324" s="544" t="s">
        <v>799</v>
      </c>
      <c r="E324" s="555"/>
      <c r="F324" s="545">
        <f>E324-(E324*Z13)</f>
        <v>0</v>
      </c>
      <c r="G324" s="546"/>
      <c r="H324" s="547">
        <f>IF(D324="Rəsmi gəlir",AA3,IF(D324="Qeyri rəsmi gəlir",AB3))</f>
        <v>7.0000000000000007E-2</v>
      </c>
      <c r="I324" s="547">
        <f>IF(D324="Rəsmi gəlir",AA4,IF(D324="Qeyri rəsmi gəlir",AB4))</f>
        <v>0.12</v>
      </c>
      <c r="J324" s="547">
        <f>IF(D324="Rəsmi gəlir",AA5,IF(D324="Qeyri rəsmi gəlir",AB5))</f>
        <v>0.16</v>
      </c>
      <c r="K324" s="547">
        <f>IF(D324="Rəsmi gəlir",AA6,IF(D324="Qeyri rəsmi gəlir",AB6))</f>
        <v>0.2</v>
      </c>
      <c r="L324" s="547">
        <f>IF(D324="Rəsmi gəlir",AA7,IF(D324="Qeyri rəsmi gəlir",AB7))</f>
        <v>0.23</v>
      </c>
      <c r="M324" s="547">
        <f>IF(D324="Rəsmi gəlir",AA8,IF(D324="Qeyri rəsmi gəlir",AB8))</f>
        <v>0.25600000000000001</v>
      </c>
      <c r="N324" s="547">
        <f>IF(D324="Rəsmi gəlir",AA9,IF(D324="Qeyri rəsmi gəlir",AB9))</f>
        <v>0.28550000000000003</v>
      </c>
      <c r="O324" s="547">
        <f>IF(D324="Rəsmi gəlir",AA10,IF(D324="Qeyri rəsmi gəlir",AB10))</f>
        <v>0</v>
      </c>
      <c r="P324" s="547" t="b">
        <f t="shared" si="30"/>
        <v>0</v>
      </c>
      <c r="Q324" s="548">
        <f t="shared" si="31"/>
        <v>0</v>
      </c>
      <c r="R324" s="543" t="str">
        <f t="shared" ref="R324:R387" si="33">IF(Q324&lt;=0,"-",IF(Q324&gt;0,9))</f>
        <v>-</v>
      </c>
      <c r="S324" s="549"/>
      <c r="T324" s="543" t="e">
        <f t="shared" ref="T324:T387" si="34">U324*S324</f>
        <v>#VALUE!</v>
      </c>
      <c r="U324" s="548" t="e">
        <f t="shared" si="32"/>
        <v>#VALUE!</v>
      </c>
      <c r="V324" s="548" t="e">
        <f t="shared" ref="V324:V387" si="35">U324-T324</f>
        <v>#VALUE!</v>
      </c>
      <c r="W324" s="544"/>
      <c r="X324" s="556"/>
    </row>
    <row r="325" spans="1:24">
      <c r="A325" s="552">
        <v>323</v>
      </c>
      <c r="B325" s="560"/>
      <c r="C325" s="554"/>
      <c r="D325" s="544" t="s">
        <v>799</v>
      </c>
      <c r="E325" s="555"/>
      <c r="F325" s="545">
        <f>E325-(E325*Z13)</f>
        <v>0</v>
      </c>
      <c r="G325" s="546"/>
      <c r="H325" s="547">
        <f>IF(D325="Rəsmi gəlir",AA3,IF(D325="Qeyri rəsmi gəlir",AB3))</f>
        <v>7.0000000000000007E-2</v>
      </c>
      <c r="I325" s="547">
        <f>IF(D325="Rəsmi gəlir",AA4,IF(D325="Qeyri rəsmi gəlir",AB4))</f>
        <v>0.12</v>
      </c>
      <c r="J325" s="547">
        <f>IF(D325="Rəsmi gəlir",AA5,IF(D325="Qeyri rəsmi gəlir",AB5))</f>
        <v>0.16</v>
      </c>
      <c r="K325" s="547">
        <f>IF(D325="Rəsmi gəlir",AA6,IF(D325="Qeyri rəsmi gəlir",AB6))</f>
        <v>0.2</v>
      </c>
      <c r="L325" s="547">
        <f>IF(D325="Rəsmi gəlir",AA7,IF(D325="Qeyri rəsmi gəlir",AB7))</f>
        <v>0.23</v>
      </c>
      <c r="M325" s="547">
        <f>IF(D325="Rəsmi gəlir",AA8,IF(D325="Qeyri rəsmi gəlir",AB8))</f>
        <v>0.25600000000000001</v>
      </c>
      <c r="N325" s="547">
        <f>IF(D325="Rəsmi gəlir",AA9,IF(D325="Qeyri rəsmi gəlir",AB9))</f>
        <v>0.28550000000000003</v>
      </c>
      <c r="O325" s="547">
        <f>IF(D325="Rəsmi gəlir",AA10,IF(D325="Qeyri rəsmi gəlir",AB10))</f>
        <v>0</v>
      </c>
      <c r="P325" s="547" t="b">
        <f t="shared" si="30"/>
        <v>0</v>
      </c>
      <c r="Q325" s="548">
        <f t="shared" si="31"/>
        <v>0</v>
      </c>
      <c r="R325" s="543" t="str">
        <f t="shared" si="33"/>
        <v>-</v>
      </c>
      <c r="S325" s="549"/>
      <c r="T325" s="543" t="e">
        <f t="shared" si="34"/>
        <v>#VALUE!</v>
      </c>
      <c r="U325" s="548" t="e">
        <f t="shared" si="32"/>
        <v>#VALUE!</v>
      </c>
      <c r="V325" s="548" t="e">
        <f t="shared" si="35"/>
        <v>#VALUE!</v>
      </c>
      <c r="W325" s="544"/>
      <c r="X325" s="556"/>
    </row>
    <row r="326" spans="1:24">
      <c r="A326" s="552">
        <v>324</v>
      </c>
      <c r="B326" s="560"/>
      <c r="C326" s="554"/>
      <c r="D326" s="544" t="s">
        <v>799</v>
      </c>
      <c r="E326" s="555"/>
      <c r="F326" s="545">
        <f>E326-(E326*Z13)</f>
        <v>0</v>
      </c>
      <c r="G326" s="546"/>
      <c r="H326" s="547">
        <f>IF(D326="Rəsmi gəlir",AA3,IF(D326="Qeyri rəsmi gəlir",AB3))</f>
        <v>7.0000000000000007E-2</v>
      </c>
      <c r="I326" s="547">
        <f>IF(D326="Rəsmi gəlir",AA4,IF(D326="Qeyri rəsmi gəlir",AB4))</f>
        <v>0.12</v>
      </c>
      <c r="J326" s="547">
        <f>IF(D326="Rəsmi gəlir",AA5,IF(D326="Qeyri rəsmi gəlir",AB5))</f>
        <v>0.16</v>
      </c>
      <c r="K326" s="547">
        <f>IF(D326="Rəsmi gəlir",AA6,IF(D326="Qeyri rəsmi gəlir",AB6))</f>
        <v>0.2</v>
      </c>
      <c r="L326" s="547">
        <f>IF(D326="Rəsmi gəlir",AA7,IF(D326="Qeyri rəsmi gəlir",AB7))</f>
        <v>0.23</v>
      </c>
      <c r="M326" s="547">
        <f>IF(D326="Rəsmi gəlir",AA8,IF(D326="Qeyri rəsmi gəlir",AB8))</f>
        <v>0.25600000000000001</v>
      </c>
      <c r="N326" s="547">
        <f>IF(D326="Rəsmi gəlir",AA9,IF(D326="Qeyri rəsmi gəlir",AB9))</f>
        <v>0.28550000000000003</v>
      </c>
      <c r="O326" s="547">
        <f>IF(D326="Rəsmi gəlir",AA10,IF(D326="Qeyri rəsmi gəlir",AB10))</f>
        <v>0</v>
      </c>
      <c r="P326" s="547" t="b">
        <f t="shared" si="30"/>
        <v>0</v>
      </c>
      <c r="Q326" s="548">
        <f t="shared" si="31"/>
        <v>0</v>
      </c>
      <c r="R326" s="543" t="str">
        <f t="shared" si="33"/>
        <v>-</v>
      </c>
      <c r="S326" s="549"/>
      <c r="T326" s="543" t="e">
        <f t="shared" si="34"/>
        <v>#VALUE!</v>
      </c>
      <c r="U326" s="548" t="e">
        <f t="shared" si="32"/>
        <v>#VALUE!</v>
      </c>
      <c r="V326" s="548" t="e">
        <f t="shared" si="35"/>
        <v>#VALUE!</v>
      </c>
      <c r="W326" s="544"/>
      <c r="X326" s="556"/>
    </row>
    <row r="327" spans="1:24">
      <c r="A327" s="552">
        <v>325</v>
      </c>
      <c r="B327" s="560"/>
      <c r="C327" s="554"/>
      <c r="D327" s="544" t="s">
        <v>799</v>
      </c>
      <c r="E327" s="555"/>
      <c r="F327" s="545">
        <f>E327-(E327*Z13)</f>
        <v>0</v>
      </c>
      <c r="G327" s="546"/>
      <c r="H327" s="547">
        <f>IF(D327="Rəsmi gəlir",AA3,IF(D327="Qeyri rəsmi gəlir",AB3))</f>
        <v>7.0000000000000007E-2</v>
      </c>
      <c r="I327" s="547">
        <f>IF(D327="Rəsmi gəlir",AA4,IF(D327="Qeyri rəsmi gəlir",AB4))</f>
        <v>0.12</v>
      </c>
      <c r="J327" s="547">
        <f>IF(D327="Rəsmi gəlir",AA5,IF(D327="Qeyri rəsmi gəlir",AB5))</f>
        <v>0.16</v>
      </c>
      <c r="K327" s="547">
        <f>IF(D327="Rəsmi gəlir",AA6,IF(D327="Qeyri rəsmi gəlir",AB6))</f>
        <v>0.2</v>
      </c>
      <c r="L327" s="547">
        <f>IF(D327="Rəsmi gəlir",AA7,IF(D327="Qeyri rəsmi gəlir",AB7))</f>
        <v>0.23</v>
      </c>
      <c r="M327" s="547">
        <f>IF(D327="Rəsmi gəlir",AA8,IF(D327="Qeyri rəsmi gəlir",AB8))</f>
        <v>0.25600000000000001</v>
      </c>
      <c r="N327" s="547">
        <f>IF(D327="Rəsmi gəlir",AA9,IF(D327="Qeyri rəsmi gəlir",AB9))</f>
        <v>0.28550000000000003</v>
      </c>
      <c r="O327" s="547">
        <f>IF(D327="Rəsmi gəlir",AA10,IF(D327="Qeyri rəsmi gəlir",AB10))</f>
        <v>0</v>
      </c>
      <c r="P327" s="547" t="b">
        <f t="shared" si="30"/>
        <v>0</v>
      </c>
      <c r="Q327" s="548">
        <f t="shared" si="31"/>
        <v>0</v>
      </c>
      <c r="R327" s="543" t="str">
        <f t="shared" si="33"/>
        <v>-</v>
      </c>
      <c r="S327" s="549"/>
      <c r="T327" s="543" t="e">
        <f t="shared" si="34"/>
        <v>#VALUE!</v>
      </c>
      <c r="U327" s="548" t="e">
        <f t="shared" si="32"/>
        <v>#VALUE!</v>
      </c>
      <c r="V327" s="548" t="e">
        <f t="shared" si="35"/>
        <v>#VALUE!</v>
      </c>
      <c r="W327" s="544"/>
      <c r="X327" s="556"/>
    </row>
    <row r="328" spans="1:24">
      <c r="A328" s="552">
        <v>326</v>
      </c>
      <c r="B328" s="560"/>
      <c r="C328" s="554"/>
      <c r="D328" s="544" t="s">
        <v>799</v>
      </c>
      <c r="E328" s="555"/>
      <c r="F328" s="545">
        <f>E328-(E328*Z13)</f>
        <v>0</v>
      </c>
      <c r="G328" s="546"/>
      <c r="H328" s="547">
        <f>IF(D328="Rəsmi gəlir",AA3,IF(D328="Qeyri rəsmi gəlir",AB3))</f>
        <v>7.0000000000000007E-2</v>
      </c>
      <c r="I328" s="547">
        <f>IF(D328="Rəsmi gəlir",AA4,IF(D328="Qeyri rəsmi gəlir",AB4))</f>
        <v>0.12</v>
      </c>
      <c r="J328" s="547">
        <f>IF(D328="Rəsmi gəlir",AA5,IF(D328="Qeyri rəsmi gəlir",AB5))</f>
        <v>0.16</v>
      </c>
      <c r="K328" s="547">
        <f>IF(D328="Rəsmi gəlir",AA6,IF(D328="Qeyri rəsmi gəlir",AB6))</f>
        <v>0.2</v>
      </c>
      <c r="L328" s="547">
        <f>IF(D328="Rəsmi gəlir",AA7,IF(D328="Qeyri rəsmi gəlir",AB7))</f>
        <v>0.23</v>
      </c>
      <c r="M328" s="547">
        <f>IF(D328="Rəsmi gəlir",AA8,IF(D328="Qeyri rəsmi gəlir",AB8))</f>
        <v>0.25600000000000001</v>
      </c>
      <c r="N328" s="547">
        <f>IF(D328="Rəsmi gəlir",AA9,IF(D328="Qeyri rəsmi gəlir",AB9))</f>
        <v>0.28550000000000003</v>
      </c>
      <c r="O328" s="547">
        <f>IF(D328="Rəsmi gəlir",AA10,IF(D328="Qeyri rəsmi gəlir",AB10))</f>
        <v>0</v>
      </c>
      <c r="P328" s="547" t="b">
        <f t="shared" si="30"/>
        <v>0</v>
      </c>
      <c r="Q328" s="548">
        <f t="shared" si="31"/>
        <v>0</v>
      </c>
      <c r="R328" s="543" t="str">
        <f t="shared" si="33"/>
        <v>-</v>
      </c>
      <c r="S328" s="549"/>
      <c r="T328" s="543" t="e">
        <f t="shared" si="34"/>
        <v>#VALUE!</v>
      </c>
      <c r="U328" s="548" t="e">
        <f t="shared" si="32"/>
        <v>#VALUE!</v>
      </c>
      <c r="V328" s="548" t="e">
        <f t="shared" si="35"/>
        <v>#VALUE!</v>
      </c>
      <c r="W328" s="544"/>
      <c r="X328" s="556"/>
    </row>
    <row r="329" spans="1:24">
      <c r="A329" s="552">
        <v>327</v>
      </c>
      <c r="B329" s="560"/>
      <c r="C329" s="554"/>
      <c r="D329" s="544" t="s">
        <v>799</v>
      </c>
      <c r="E329" s="555"/>
      <c r="F329" s="545">
        <f>E329-(E329*Z13)</f>
        <v>0</v>
      </c>
      <c r="G329" s="546"/>
      <c r="H329" s="547">
        <f>IF(D329="Rəsmi gəlir",AA3,IF(D329="Qeyri rəsmi gəlir",AB3))</f>
        <v>7.0000000000000007E-2</v>
      </c>
      <c r="I329" s="547">
        <f>IF(D329="Rəsmi gəlir",AA4,IF(D329="Qeyri rəsmi gəlir",AB4))</f>
        <v>0.12</v>
      </c>
      <c r="J329" s="547">
        <f>IF(D329="Rəsmi gəlir",AA5,IF(D329="Qeyri rəsmi gəlir",AB5))</f>
        <v>0.16</v>
      </c>
      <c r="K329" s="547">
        <f>IF(D329="Rəsmi gəlir",AA6,IF(D329="Qeyri rəsmi gəlir",AB6))</f>
        <v>0.2</v>
      </c>
      <c r="L329" s="547">
        <f>IF(D329="Rəsmi gəlir",AA7,IF(D329="Qeyri rəsmi gəlir",AB7))</f>
        <v>0.23</v>
      </c>
      <c r="M329" s="547">
        <f>IF(D329="Rəsmi gəlir",AA8,IF(D329="Qeyri rəsmi gəlir",AB8))</f>
        <v>0.25600000000000001</v>
      </c>
      <c r="N329" s="547">
        <f>IF(D329="Rəsmi gəlir",AA9,IF(D329="Qeyri rəsmi gəlir",AB9))</f>
        <v>0.28550000000000003</v>
      </c>
      <c r="O329" s="547">
        <f>IF(D329="Rəsmi gəlir",AA10,IF(D329="Qeyri rəsmi gəlir",AB10))</f>
        <v>0</v>
      </c>
      <c r="P329" s="547" t="b">
        <f t="shared" si="30"/>
        <v>0</v>
      </c>
      <c r="Q329" s="548">
        <f t="shared" si="31"/>
        <v>0</v>
      </c>
      <c r="R329" s="543" t="str">
        <f t="shared" si="33"/>
        <v>-</v>
      </c>
      <c r="S329" s="549"/>
      <c r="T329" s="543" t="e">
        <f t="shared" si="34"/>
        <v>#VALUE!</v>
      </c>
      <c r="U329" s="548" t="e">
        <f t="shared" si="32"/>
        <v>#VALUE!</v>
      </c>
      <c r="V329" s="548" t="e">
        <f t="shared" si="35"/>
        <v>#VALUE!</v>
      </c>
      <c r="W329" s="544"/>
      <c r="X329" s="556"/>
    </row>
    <row r="330" spans="1:24">
      <c r="A330" s="552">
        <v>328</v>
      </c>
      <c r="B330" s="560"/>
      <c r="C330" s="554"/>
      <c r="D330" s="544" t="s">
        <v>799</v>
      </c>
      <c r="E330" s="555"/>
      <c r="F330" s="545">
        <f>E330-(E330*Z13)</f>
        <v>0</v>
      </c>
      <c r="G330" s="546"/>
      <c r="H330" s="547">
        <f>IF(D330="Rəsmi gəlir",AA3,IF(D330="Qeyri rəsmi gəlir",AB3))</f>
        <v>7.0000000000000007E-2</v>
      </c>
      <c r="I330" s="547">
        <f>IF(D330="Rəsmi gəlir",AA4,IF(D330="Qeyri rəsmi gəlir",AB4))</f>
        <v>0.12</v>
      </c>
      <c r="J330" s="547">
        <f>IF(D330="Rəsmi gəlir",AA5,IF(D330="Qeyri rəsmi gəlir",AB5))</f>
        <v>0.16</v>
      </c>
      <c r="K330" s="547">
        <f>IF(D330="Rəsmi gəlir",AA6,IF(D330="Qeyri rəsmi gəlir",AB6))</f>
        <v>0.2</v>
      </c>
      <c r="L330" s="547">
        <f>IF(D330="Rəsmi gəlir",AA7,IF(D330="Qeyri rəsmi gəlir",AB7))</f>
        <v>0.23</v>
      </c>
      <c r="M330" s="547">
        <f>IF(D330="Rəsmi gəlir",AA8,IF(D330="Qeyri rəsmi gəlir",AB8))</f>
        <v>0.25600000000000001</v>
      </c>
      <c r="N330" s="547">
        <f>IF(D330="Rəsmi gəlir",AA9,IF(D330="Qeyri rəsmi gəlir",AB9))</f>
        <v>0.28550000000000003</v>
      </c>
      <c r="O330" s="547">
        <f>IF(D330="Rəsmi gəlir",AA10,IF(D330="Qeyri rəsmi gəlir",AB10))</f>
        <v>0</v>
      </c>
      <c r="P330" s="547" t="b">
        <f t="shared" si="30"/>
        <v>0</v>
      </c>
      <c r="Q330" s="548">
        <f t="shared" si="31"/>
        <v>0</v>
      </c>
      <c r="R330" s="543" t="str">
        <f t="shared" si="33"/>
        <v>-</v>
      </c>
      <c r="S330" s="549"/>
      <c r="T330" s="543" t="e">
        <f t="shared" si="34"/>
        <v>#VALUE!</v>
      </c>
      <c r="U330" s="548" t="e">
        <f t="shared" si="32"/>
        <v>#VALUE!</v>
      </c>
      <c r="V330" s="548" t="e">
        <f t="shared" si="35"/>
        <v>#VALUE!</v>
      </c>
      <c r="W330" s="544"/>
      <c r="X330" s="556"/>
    </row>
    <row r="331" spans="1:24">
      <c r="A331" s="552">
        <v>329</v>
      </c>
      <c r="B331" s="560"/>
      <c r="C331" s="554"/>
      <c r="D331" s="544" t="s">
        <v>799</v>
      </c>
      <c r="E331" s="555"/>
      <c r="F331" s="545">
        <f>E331-(E331*Z13)</f>
        <v>0</v>
      </c>
      <c r="G331" s="546"/>
      <c r="H331" s="547">
        <f>IF(D331="Rəsmi gəlir",AA3,IF(D331="Qeyri rəsmi gəlir",AB3))</f>
        <v>7.0000000000000007E-2</v>
      </c>
      <c r="I331" s="547">
        <f>IF(D331="Rəsmi gəlir",AA4,IF(D331="Qeyri rəsmi gəlir",AB4))</f>
        <v>0.12</v>
      </c>
      <c r="J331" s="547">
        <f>IF(D331="Rəsmi gəlir",AA5,IF(D331="Qeyri rəsmi gəlir",AB5))</f>
        <v>0.16</v>
      </c>
      <c r="K331" s="547">
        <f>IF(D331="Rəsmi gəlir",AA6,IF(D331="Qeyri rəsmi gəlir",AB6))</f>
        <v>0.2</v>
      </c>
      <c r="L331" s="547">
        <f>IF(D331="Rəsmi gəlir",AA7,IF(D331="Qeyri rəsmi gəlir",AB7))</f>
        <v>0.23</v>
      </c>
      <c r="M331" s="547">
        <f>IF(D331="Rəsmi gəlir",AA8,IF(D331="Qeyri rəsmi gəlir",AB8))</f>
        <v>0.25600000000000001</v>
      </c>
      <c r="N331" s="547">
        <f>IF(D331="Rəsmi gəlir",AA9,IF(D331="Qeyri rəsmi gəlir",AB9))</f>
        <v>0.28550000000000003</v>
      </c>
      <c r="O331" s="547">
        <f>IF(D331="Rəsmi gəlir",AA10,IF(D331="Qeyri rəsmi gəlir",AB10))</f>
        <v>0</v>
      </c>
      <c r="P331" s="547" t="b">
        <f t="shared" si="30"/>
        <v>0</v>
      </c>
      <c r="Q331" s="548">
        <f t="shared" si="31"/>
        <v>0</v>
      </c>
      <c r="R331" s="543" t="str">
        <f t="shared" si="33"/>
        <v>-</v>
      </c>
      <c r="S331" s="549"/>
      <c r="T331" s="543" t="e">
        <f t="shared" si="34"/>
        <v>#VALUE!</v>
      </c>
      <c r="U331" s="548" t="e">
        <f t="shared" si="32"/>
        <v>#VALUE!</v>
      </c>
      <c r="V331" s="548" t="e">
        <f t="shared" si="35"/>
        <v>#VALUE!</v>
      </c>
      <c r="W331" s="544"/>
      <c r="X331" s="556"/>
    </row>
    <row r="332" spans="1:24">
      <c r="A332" s="552">
        <v>330</v>
      </c>
      <c r="B332" s="560"/>
      <c r="C332" s="554"/>
      <c r="D332" s="544" t="s">
        <v>799</v>
      </c>
      <c r="E332" s="555"/>
      <c r="F332" s="545">
        <f>E332-(E332*Z13)</f>
        <v>0</v>
      </c>
      <c r="G332" s="546"/>
      <c r="H332" s="547">
        <f>IF(D332="Rəsmi gəlir",AA3,IF(D332="Qeyri rəsmi gəlir",AB3))</f>
        <v>7.0000000000000007E-2</v>
      </c>
      <c r="I332" s="547">
        <f>IF(D332="Rəsmi gəlir",AA4,IF(D332="Qeyri rəsmi gəlir",AB4))</f>
        <v>0.12</v>
      </c>
      <c r="J332" s="547">
        <f>IF(D332="Rəsmi gəlir",AA5,IF(D332="Qeyri rəsmi gəlir",AB5))</f>
        <v>0.16</v>
      </c>
      <c r="K332" s="547">
        <f>IF(D332="Rəsmi gəlir",AA6,IF(D332="Qeyri rəsmi gəlir",AB6))</f>
        <v>0.2</v>
      </c>
      <c r="L332" s="547">
        <f>IF(D332="Rəsmi gəlir",AA7,IF(D332="Qeyri rəsmi gəlir",AB7))</f>
        <v>0.23</v>
      </c>
      <c r="M332" s="547">
        <f>IF(D332="Rəsmi gəlir",AA8,IF(D332="Qeyri rəsmi gəlir",AB8))</f>
        <v>0.25600000000000001</v>
      </c>
      <c r="N332" s="547">
        <f>IF(D332="Rəsmi gəlir",AA9,IF(D332="Qeyri rəsmi gəlir",AB9))</f>
        <v>0.28550000000000003</v>
      </c>
      <c r="O332" s="547">
        <f>IF(D332="Rəsmi gəlir",AA10,IF(D332="Qeyri rəsmi gəlir",AB10))</f>
        <v>0</v>
      </c>
      <c r="P332" s="547" t="b">
        <f t="shared" si="30"/>
        <v>0</v>
      </c>
      <c r="Q332" s="548">
        <f t="shared" si="31"/>
        <v>0</v>
      </c>
      <c r="R332" s="543" t="str">
        <f t="shared" si="33"/>
        <v>-</v>
      </c>
      <c r="S332" s="549"/>
      <c r="T332" s="543" t="e">
        <f t="shared" si="34"/>
        <v>#VALUE!</v>
      </c>
      <c r="U332" s="548" t="e">
        <f t="shared" si="32"/>
        <v>#VALUE!</v>
      </c>
      <c r="V332" s="548" t="e">
        <f t="shared" si="35"/>
        <v>#VALUE!</v>
      </c>
      <c r="W332" s="544"/>
      <c r="X332" s="556"/>
    </row>
    <row r="333" spans="1:24">
      <c r="A333" s="552">
        <v>331</v>
      </c>
      <c r="B333" s="560"/>
      <c r="C333" s="554"/>
      <c r="D333" s="544" t="s">
        <v>799</v>
      </c>
      <c r="E333" s="555"/>
      <c r="F333" s="545">
        <f>E333-(E333*Z13)</f>
        <v>0</v>
      </c>
      <c r="G333" s="546"/>
      <c r="H333" s="547">
        <f>IF(D333="Rəsmi gəlir",AA3,IF(D333="Qeyri rəsmi gəlir",AB3))</f>
        <v>7.0000000000000007E-2</v>
      </c>
      <c r="I333" s="547">
        <f>IF(D333="Rəsmi gəlir",AA4,IF(D333="Qeyri rəsmi gəlir",AB4))</f>
        <v>0.12</v>
      </c>
      <c r="J333" s="547">
        <f>IF(D333="Rəsmi gəlir",AA5,IF(D333="Qeyri rəsmi gəlir",AB5))</f>
        <v>0.16</v>
      </c>
      <c r="K333" s="547">
        <f>IF(D333="Rəsmi gəlir",AA6,IF(D333="Qeyri rəsmi gəlir",AB6))</f>
        <v>0.2</v>
      </c>
      <c r="L333" s="547">
        <f>IF(D333="Rəsmi gəlir",AA7,IF(D333="Qeyri rəsmi gəlir",AB7))</f>
        <v>0.23</v>
      </c>
      <c r="M333" s="547">
        <f>IF(D333="Rəsmi gəlir",AA8,IF(D333="Qeyri rəsmi gəlir",AB8))</f>
        <v>0.25600000000000001</v>
      </c>
      <c r="N333" s="547">
        <f>IF(D333="Rəsmi gəlir",AA9,IF(D333="Qeyri rəsmi gəlir",AB9))</f>
        <v>0.28550000000000003</v>
      </c>
      <c r="O333" s="547">
        <f>IF(D333="Rəsmi gəlir",AA10,IF(D333="Qeyri rəsmi gəlir",AB10))</f>
        <v>0</v>
      </c>
      <c r="P333" s="547" t="b">
        <f t="shared" si="30"/>
        <v>0</v>
      </c>
      <c r="Q333" s="548">
        <f t="shared" si="31"/>
        <v>0</v>
      </c>
      <c r="R333" s="543" t="str">
        <f t="shared" si="33"/>
        <v>-</v>
      </c>
      <c r="S333" s="549"/>
      <c r="T333" s="543" t="e">
        <f t="shared" si="34"/>
        <v>#VALUE!</v>
      </c>
      <c r="U333" s="548" t="e">
        <f t="shared" si="32"/>
        <v>#VALUE!</v>
      </c>
      <c r="V333" s="548" t="e">
        <f t="shared" si="35"/>
        <v>#VALUE!</v>
      </c>
      <c r="W333" s="544"/>
      <c r="X333" s="556"/>
    </row>
    <row r="334" spans="1:24">
      <c r="A334" s="552">
        <v>332</v>
      </c>
      <c r="B334" s="560"/>
      <c r="C334" s="554"/>
      <c r="D334" s="544" t="s">
        <v>799</v>
      </c>
      <c r="E334" s="555"/>
      <c r="F334" s="545">
        <f>E334-(E334*Z13)</f>
        <v>0</v>
      </c>
      <c r="G334" s="546"/>
      <c r="H334" s="547">
        <f>IF(D334="Rəsmi gəlir",AA3,IF(D334="Qeyri rəsmi gəlir",AB3))</f>
        <v>7.0000000000000007E-2</v>
      </c>
      <c r="I334" s="547">
        <f>IF(D334="Rəsmi gəlir",AA4,IF(D334="Qeyri rəsmi gəlir",AB4))</f>
        <v>0.12</v>
      </c>
      <c r="J334" s="547">
        <f>IF(D334="Rəsmi gəlir",AA5,IF(D334="Qeyri rəsmi gəlir",AB5))</f>
        <v>0.16</v>
      </c>
      <c r="K334" s="547">
        <f>IF(D334="Rəsmi gəlir",AA6,IF(D334="Qeyri rəsmi gəlir",AB6))</f>
        <v>0.2</v>
      </c>
      <c r="L334" s="547">
        <f>IF(D334="Rəsmi gəlir",AA7,IF(D334="Qeyri rəsmi gəlir",AB7))</f>
        <v>0.23</v>
      </c>
      <c r="M334" s="547">
        <f>IF(D334="Rəsmi gəlir",AA8,IF(D334="Qeyri rəsmi gəlir",AB8))</f>
        <v>0.25600000000000001</v>
      </c>
      <c r="N334" s="547">
        <f>IF(D334="Rəsmi gəlir",AA9,IF(D334="Qeyri rəsmi gəlir",AB9))</f>
        <v>0.28550000000000003</v>
      </c>
      <c r="O334" s="547">
        <f>IF(D334="Rəsmi gəlir",AA10,IF(D334="Qeyri rəsmi gəlir",AB10))</f>
        <v>0</v>
      </c>
      <c r="P334" s="547" t="b">
        <f t="shared" si="30"/>
        <v>0</v>
      </c>
      <c r="Q334" s="548">
        <f t="shared" si="31"/>
        <v>0</v>
      </c>
      <c r="R334" s="543" t="str">
        <f t="shared" si="33"/>
        <v>-</v>
      </c>
      <c r="S334" s="549"/>
      <c r="T334" s="543" t="e">
        <f t="shared" si="34"/>
        <v>#VALUE!</v>
      </c>
      <c r="U334" s="548" t="e">
        <f t="shared" si="32"/>
        <v>#VALUE!</v>
      </c>
      <c r="V334" s="548" t="e">
        <f t="shared" si="35"/>
        <v>#VALUE!</v>
      </c>
      <c r="W334" s="544"/>
      <c r="X334" s="556"/>
    </row>
    <row r="335" spans="1:24">
      <c r="A335" s="552">
        <v>333</v>
      </c>
      <c r="B335" s="560"/>
      <c r="C335" s="554"/>
      <c r="D335" s="544" t="s">
        <v>799</v>
      </c>
      <c r="E335" s="555"/>
      <c r="F335" s="545">
        <f>E335-(E335*Z13)</f>
        <v>0</v>
      </c>
      <c r="G335" s="546"/>
      <c r="H335" s="547">
        <f>IF(D335="Rəsmi gəlir",AA3,IF(D335="Qeyri rəsmi gəlir",AB3))</f>
        <v>7.0000000000000007E-2</v>
      </c>
      <c r="I335" s="547">
        <f>IF(D335="Rəsmi gəlir",AA4,IF(D335="Qeyri rəsmi gəlir",AB4))</f>
        <v>0.12</v>
      </c>
      <c r="J335" s="547">
        <f>IF(D335="Rəsmi gəlir",AA5,IF(D335="Qeyri rəsmi gəlir",AB5))</f>
        <v>0.16</v>
      </c>
      <c r="K335" s="547">
        <f>IF(D335="Rəsmi gəlir",AA6,IF(D335="Qeyri rəsmi gəlir",AB6))</f>
        <v>0.2</v>
      </c>
      <c r="L335" s="547">
        <f>IF(D335="Rəsmi gəlir",AA7,IF(D335="Qeyri rəsmi gəlir",AB7))</f>
        <v>0.23</v>
      </c>
      <c r="M335" s="547">
        <f>IF(D335="Rəsmi gəlir",AA8,IF(D335="Qeyri rəsmi gəlir",AB8))</f>
        <v>0.25600000000000001</v>
      </c>
      <c r="N335" s="547">
        <f>IF(D335="Rəsmi gəlir",AA9,IF(D335="Qeyri rəsmi gəlir",AB9))</f>
        <v>0.28550000000000003</v>
      </c>
      <c r="O335" s="547">
        <f>IF(D335="Rəsmi gəlir",AA10,IF(D335="Qeyri rəsmi gəlir",AB10))</f>
        <v>0</v>
      </c>
      <c r="P335" s="547" t="b">
        <f t="shared" si="30"/>
        <v>0</v>
      </c>
      <c r="Q335" s="548">
        <f t="shared" si="31"/>
        <v>0</v>
      </c>
      <c r="R335" s="543" t="str">
        <f t="shared" si="33"/>
        <v>-</v>
      </c>
      <c r="S335" s="549"/>
      <c r="T335" s="543" t="e">
        <f t="shared" si="34"/>
        <v>#VALUE!</v>
      </c>
      <c r="U335" s="548" t="e">
        <f t="shared" si="32"/>
        <v>#VALUE!</v>
      </c>
      <c r="V335" s="548" t="e">
        <f t="shared" si="35"/>
        <v>#VALUE!</v>
      </c>
      <c r="W335" s="544"/>
      <c r="X335" s="556"/>
    </row>
    <row r="336" spans="1:24">
      <c r="A336" s="552">
        <v>334</v>
      </c>
      <c r="B336" s="560"/>
      <c r="C336" s="554"/>
      <c r="D336" s="544" t="s">
        <v>799</v>
      </c>
      <c r="E336" s="555"/>
      <c r="F336" s="545">
        <f>E336-(E336*Z13)</f>
        <v>0</v>
      </c>
      <c r="G336" s="546"/>
      <c r="H336" s="547">
        <f>IF(D336="Rəsmi gəlir",AA3,IF(D336="Qeyri rəsmi gəlir",AB3))</f>
        <v>7.0000000000000007E-2</v>
      </c>
      <c r="I336" s="547">
        <f>IF(D336="Rəsmi gəlir",AA4,IF(D336="Qeyri rəsmi gəlir",AB4))</f>
        <v>0.12</v>
      </c>
      <c r="J336" s="547">
        <f>IF(D336="Rəsmi gəlir",AA5,IF(D336="Qeyri rəsmi gəlir",AB5))</f>
        <v>0.16</v>
      </c>
      <c r="K336" s="547">
        <f>IF(D336="Rəsmi gəlir",AA6,IF(D336="Qeyri rəsmi gəlir",AB6))</f>
        <v>0.2</v>
      </c>
      <c r="L336" s="547">
        <f>IF(D336="Rəsmi gəlir",AA7,IF(D336="Qeyri rəsmi gəlir",AB7))</f>
        <v>0.23</v>
      </c>
      <c r="M336" s="547">
        <f>IF(D336="Rəsmi gəlir",AA8,IF(D336="Qeyri rəsmi gəlir",AB8))</f>
        <v>0.25600000000000001</v>
      </c>
      <c r="N336" s="547">
        <f>IF(D336="Rəsmi gəlir",AA9,IF(D336="Qeyri rəsmi gəlir",AB9))</f>
        <v>0.28550000000000003</v>
      </c>
      <c r="O336" s="547">
        <f>IF(D336="Rəsmi gəlir",AA10,IF(D336="Qeyri rəsmi gəlir",AB10))</f>
        <v>0</v>
      </c>
      <c r="P336" s="547" t="b">
        <f t="shared" si="30"/>
        <v>0</v>
      </c>
      <c r="Q336" s="548">
        <f t="shared" si="31"/>
        <v>0</v>
      </c>
      <c r="R336" s="543" t="str">
        <f t="shared" si="33"/>
        <v>-</v>
      </c>
      <c r="S336" s="549"/>
      <c r="T336" s="543" t="e">
        <f t="shared" si="34"/>
        <v>#VALUE!</v>
      </c>
      <c r="U336" s="548" t="e">
        <f t="shared" si="32"/>
        <v>#VALUE!</v>
      </c>
      <c r="V336" s="548" t="e">
        <f t="shared" si="35"/>
        <v>#VALUE!</v>
      </c>
      <c r="W336" s="544"/>
      <c r="X336" s="556"/>
    </row>
    <row r="337" spans="1:24">
      <c r="A337" s="552">
        <v>335</v>
      </c>
      <c r="B337" s="560"/>
      <c r="C337" s="554"/>
      <c r="D337" s="544" t="s">
        <v>799</v>
      </c>
      <c r="E337" s="555"/>
      <c r="F337" s="545">
        <f>E337-(E337*Z13)</f>
        <v>0</v>
      </c>
      <c r="G337" s="546"/>
      <c r="H337" s="547">
        <f>IF(D337="Rəsmi gəlir",AA3,IF(D337="Qeyri rəsmi gəlir",AB3))</f>
        <v>7.0000000000000007E-2</v>
      </c>
      <c r="I337" s="547">
        <f>IF(D337="Rəsmi gəlir",AA4,IF(D337="Qeyri rəsmi gəlir",AB4))</f>
        <v>0.12</v>
      </c>
      <c r="J337" s="547">
        <f>IF(D337="Rəsmi gəlir",AA5,IF(D337="Qeyri rəsmi gəlir",AB5))</f>
        <v>0.16</v>
      </c>
      <c r="K337" s="547">
        <f>IF(D337="Rəsmi gəlir",AA6,IF(D337="Qeyri rəsmi gəlir",AB6))</f>
        <v>0.2</v>
      </c>
      <c r="L337" s="547">
        <f>IF(D337="Rəsmi gəlir",AA7,IF(D337="Qeyri rəsmi gəlir",AB7))</f>
        <v>0.23</v>
      </c>
      <c r="M337" s="547">
        <f>IF(D337="Rəsmi gəlir",AA8,IF(D337="Qeyri rəsmi gəlir",AB8))</f>
        <v>0.25600000000000001</v>
      </c>
      <c r="N337" s="547">
        <f>IF(D337="Rəsmi gəlir",AA9,IF(D337="Qeyri rəsmi gəlir",AB9))</f>
        <v>0.28550000000000003</v>
      </c>
      <c r="O337" s="547">
        <f>IF(D337="Rəsmi gəlir",AA10,IF(D337="Qeyri rəsmi gəlir",AB10))</f>
        <v>0</v>
      </c>
      <c r="P337" s="547" t="b">
        <f t="shared" si="30"/>
        <v>0</v>
      </c>
      <c r="Q337" s="548">
        <f t="shared" si="31"/>
        <v>0</v>
      </c>
      <c r="R337" s="543" t="str">
        <f t="shared" si="33"/>
        <v>-</v>
      </c>
      <c r="S337" s="549"/>
      <c r="T337" s="543" t="e">
        <f t="shared" si="34"/>
        <v>#VALUE!</v>
      </c>
      <c r="U337" s="548" t="e">
        <f t="shared" si="32"/>
        <v>#VALUE!</v>
      </c>
      <c r="V337" s="548" t="e">
        <f t="shared" si="35"/>
        <v>#VALUE!</v>
      </c>
      <c r="W337" s="544"/>
      <c r="X337" s="556"/>
    </row>
    <row r="338" spans="1:24">
      <c r="A338" s="552">
        <v>336</v>
      </c>
      <c r="B338" s="560"/>
      <c r="C338" s="554"/>
      <c r="D338" s="544" t="s">
        <v>799</v>
      </c>
      <c r="E338" s="555"/>
      <c r="F338" s="545">
        <f>E338-(E338*Z13)</f>
        <v>0</v>
      </c>
      <c r="G338" s="546"/>
      <c r="H338" s="547">
        <f>IF(D338="Rəsmi gəlir",AA3,IF(D338="Qeyri rəsmi gəlir",AB3))</f>
        <v>7.0000000000000007E-2</v>
      </c>
      <c r="I338" s="547">
        <f>IF(D338="Rəsmi gəlir",AA4,IF(D338="Qeyri rəsmi gəlir",AB4))</f>
        <v>0.12</v>
      </c>
      <c r="J338" s="547">
        <f>IF(D338="Rəsmi gəlir",AA5,IF(D338="Qeyri rəsmi gəlir",AB5))</f>
        <v>0.16</v>
      </c>
      <c r="K338" s="547">
        <f>IF(D338="Rəsmi gəlir",AA6,IF(D338="Qeyri rəsmi gəlir",AB6))</f>
        <v>0.2</v>
      </c>
      <c r="L338" s="547">
        <f>IF(D338="Rəsmi gəlir",AA7,IF(D338="Qeyri rəsmi gəlir",AB7))</f>
        <v>0.23</v>
      </c>
      <c r="M338" s="547">
        <f>IF(D338="Rəsmi gəlir",AA8,IF(D338="Qeyri rəsmi gəlir",AB8))</f>
        <v>0.25600000000000001</v>
      </c>
      <c r="N338" s="547">
        <f>IF(D338="Rəsmi gəlir",AA9,IF(D338="Qeyri rəsmi gəlir",AB9))</f>
        <v>0.28550000000000003</v>
      </c>
      <c r="O338" s="547">
        <f>IF(D338="Rəsmi gəlir",AA10,IF(D338="Qeyri rəsmi gəlir",AB10))</f>
        <v>0</v>
      </c>
      <c r="P338" s="547" t="b">
        <f t="shared" si="30"/>
        <v>0</v>
      </c>
      <c r="Q338" s="548">
        <f t="shared" si="31"/>
        <v>0</v>
      </c>
      <c r="R338" s="543" t="str">
        <f t="shared" si="33"/>
        <v>-</v>
      </c>
      <c r="S338" s="549"/>
      <c r="T338" s="543" t="e">
        <f t="shared" si="34"/>
        <v>#VALUE!</v>
      </c>
      <c r="U338" s="548" t="e">
        <f t="shared" si="32"/>
        <v>#VALUE!</v>
      </c>
      <c r="V338" s="548" t="e">
        <f t="shared" si="35"/>
        <v>#VALUE!</v>
      </c>
      <c r="W338" s="544"/>
      <c r="X338" s="556"/>
    </row>
    <row r="339" spans="1:24">
      <c r="A339" s="552">
        <v>337</v>
      </c>
      <c r="B339" s="560"/>
      <c r="C339" s="554"/>
      <c r="D339" s="544" t="s">
        <v>799</v>
      </c>
      <c r="E339" s="555"/>
      <c r="F339" s="545">
        <f>E339-(E339*Z13)</f>
        <v>0</v>
      </c>
      <c r="G339" s="546"/>
      <c r="H339" s="547">
        <f>IF(D339="Rəsmi gəlir",AA3,IF(D339="Qeyri rəsmi gəlir",AB3))</f>
        <v>7.0000000000000007E-2</v>
      </c>
      <c r="I339" s="547">
        <f>IF(D339="Rəsmi gəlir",AA4,IF(D339="Qeyri rəsmi gəlir",AB4))</f>
        <v>0.12</v>
      </c>
      <c r="J339" s="547">
        <f>IF(D339="Rəsmi gəlir",AA5,IF(D339="Qeyri rəsmi gəlir",AB5))</f>
        <v>0.16</v>
      </c>
      <c r="K339" s="547">
        <f>IF(D339="Rəsmi gəlir",AA6,IF(D339="Qeyri rəsmi gəlir",AB6))</f>
        <v>0.2</v>
      </c>
      <c r="L339" s="547">
        <f>IF(D339="Rəsmi gəlir",AA7,IF(D339="Qeyri rəsmi gəlir",AB7))</f>
        <v>0.23</v>
      </c>
      <c r="M339" s="547">
        <f>IF(D339="Rəsmi gəlir",AA8,IF(D339="Qeyri rəsmi gəlir",AB8))</f>
        <v>0.25600000000000001</v>
      </c>
      <c r="N339" s="547">
        <f>IF(D339="Rəsmi gəlir",AA9,IF(D339="Qeyri rəsmi gəlir",AB9))</f>
        <v>0.28550000000000003</v>
      </c>
      <c r="O339" s="547">
        <f>IF(D339="Rəsmi gəlir",AA10,IF(D339="Qeyri rəsmi gəlir",AB10))</f>
        <v>0</v>
      </c>
      <c r="P339" s="547" t="b">
        <f t="shared" si="30"/>
        <v>0</v>
      </c>
      <c r="Q339" s="548">
        <f t="shared" si="31"/>
        <v>0</v>
      </c>
      <c r="R339" s="543" t="str">
        <f t="shared" si="33"/>
        <v>-</v>
      </c>
      <c r="S339" s="549"/>
      <c r="T339" s="543" t="e">
        <f t="shared" si="34"/>
        <v>#VALUE!</v>
      </c>
      <c r="U339" s="548" t="e">
        <f t="shared" si="32"/>
        <v>#VALUE!</v>
      </c>
      <c r="V339" s="548" t="e">
        <f t="shared" si="35"/>
        <v>#VALUE!</v>
      </c>
      <c r="W339" s="544"/>
      <c r="X339" s="556"/>
    </row>
    <row r="340" spans="1:24">
      <c r="A340" s="552">
        <v>338</v>
      </c>
      <c r="B340" s="560"/>
      <c r="C340" s="554"/>
      <c r="D340" s="544" t="s">
        <v>799</v>
      </c>
      <c r="E340" s="555"/>
      <c r="F340" s="545">
        <f>E340-(E340*Z13)</f>
        <v>0</v>
      </c>
      <c r="G340" s="546"/>
      <c r="H340" s="547">
        <f>IF(D340="Rəsmi gəlir",AA3,IF(D340="Qeyri rəsmi gəlir",AB3))</f>
        <v>7.0000000000000007E-2</v>
      </c>
      <c r="I340" s="547">
        <f>IF(D340="Rəsmi gəlir",AA4,IF(D340="Qeyri rəsmi gəlir",AB4))</f>
        <v>0.12</v>
      </c>
      <c r="J340" s="547">
        <f>IF(D340="Rəsmi gəlir",AA5,IF(D340="Qeyri rəsmi gəlir",AB5))</f>
        <v>0.16</v>
      </c>
      <c r="K340" s="547">
        <f>IF(D340="Rəsmi gəlir",AA6,IF(D340="Qeyri rəsmi gəlir",AB6))</f>
        <v>0.2</v>
      </c>
      <c r="L340" s="547">
        <f>IF(D340="Rəsmi gəlir",AA7,IF(D340="Qeyri rəsmi gəlir",AB7))</f>
        <v>0.23</v>
      </c>
      <c r="M340" s="547">
        <f>IF(D340="Rəsmi gəlir",AA8,IF(D340="Qeyri rəsmi gəlir",AB8))</f>
        <v>0.25600000000000001</v>
      </c>
      <c r="N340" s="547">
        <f>IF(D340="Rəsmi gəlir",AA9,IF(D340="Qeyri rəsmi gəlir",AB9))</f>
        <v>0.28550000000000003</v>
      </c>
      <c r="O340" s="547">
        <f>IF(D340="Rəsmi gəlir",AA10,IF(D340="Qeyri rəsmi gəlir",AB10))</f>
        <v>0</v>
      </c>
      <c r="P340" s="547" t="b">
        <f t="shared" si="30"/>
        <v>0</v>
      </c>
      <c r="Q340" s="548">
        <f t="shared" si="31"/>
        <v>0</v>
      </c>
      <c r="R340" s="543" t="str">
        <f t="shared" si="33"/>
        <v>-</v>
      </c>
      <c r="S340" s="549"/>
      <c r="T340" s="543" t="e">
        <f t="shared" si="34"/>
        <v>#VALUE!</v>
      </c>
      <c r="U340" s="548" t="e">
        <f t="shared" si="32"/>
        <v>#VALUE!</v>
      </c>
      <c r="V340" s="548" t="e">
        <f t="shared" si="35"/>
        <v>#VALUE!</v>
      </c>
      <c r="W340" s="544"/>
      <c r="X340" s="556"/>
    </row>
    <row r="341" spans="1:24">
      <c r="A341" s="552">
        <v>339</v>
      </c>
      <c r="B341" s="560"/>
      <c r="C341" s="554"/>
      <c r="D341" s="544" t="s">
        <v>799</v>
      </c>
      <c r="E341" s="555"/>
      <c r="F341" s="545">
        <f>E341-(E341*Z13)</f>
        <v>0</v>
      </c>
      <c r="G341" s="546"/>
      <c r="H341" s="547">
        <f>IF(D341="Rəsmi gəlir",AA3,IF(D341="Qeyri rəsmi gəlir",AB3))</f>
        <v>7.0000000000000007E-2</v>
      </c>
      <c r="I341" s="547">
        <f>IF(D341="Rəsmi gəlir",AA4,IF(D341="Qeyri rəsmi gəlir",AB4))</f>
        <v>0.12</v>
      </c>
      <c r="J341" s="547">
        <f>IF(D341="Rəsmi gəlir",AA5,IF(D341="Qeyri rəsmi gəlir",AB5))</f>
        <v>0.16</v>
      </c>
      <c r="K341" s="547">
        <f>IF(D341="Rəsmi gəlir",AA6,IF(D341="Qeyri rəsmi gəlir",AB6))</f>
        <v>0.2</v>
      </c>
      <c r="L341" s="547">
        <f>IF(D341="Rəsmi gəlir",AA7,IF(D341="Qeyri rəsmi gəlir",AB7))</f>
        <v>0.23</v>
      </c>
      <c r="M341" s="547">
        <f>IF(D341="Rəsmi gəlir",AA8,IF(D341="Qeyri rəsmi gəlir",AB8))</f>
        <v>0.25600000000000001</v>
      </c>
      <c r="N341" s="547">
        <f>IF(D341="Rəsmi gəlir",AA9,IF(D341="Qeyri rəsmi gəlir",AB9))</f>
        <v>0.28550000000000003</v>
      </c>
      <c r="O341" s="547">
        <f>IF(D341="Rəsmi gəlir",AA10,IF(D341="Qeyri rəsmi gəlir",AB10))</f>
        <v>0</v>
      </c>
      <c r="P341" s="547" t="b">
        <f t="shared" si="30"/>
        <v>0</v>
      </c>
      <c r="Q341" s="548">
        <f t="shared" si="31"/>
        <v>0</v>
      </c>
      <c r="R341" s="543" t="str">
        <f t="shared" si="33"/>
        <v>-</v>
      </c>
      <c r="S341" s="549"/>
      <c r="T341" s="543" t="e">
        <f t="shared" si="34"/>
        <v>#VALUE!</v>
      </c>
      <c r="U341" s="548" t="e">
        <f t="shared" si="32"/>
        <v>#VALUE!</v>
      </c>
      <c r="V341" s="548" t="e">
        <f t="shared" si="35"/>
        <v>#VALUE!</v>
      </c>
      <c r="W341" s="544"/>
      <c r="X341" s="556"/>
    </row>
    <row r="342" spans="1:24">
      <c r="A342" s="552">
        <v>340</v>
      </c>
      <c r="B342" s="560"/>
      <c r="C342" s="554"/>
      <c r="D342" s="544" t="s">
        <v>799</v>
      </c>
      <c r="E342" s="555"/>
      <c r="F342" s="545">
        <f>E342-(E342*Z13)</f>
        <v>0</v>
      </c>
      <c r="G342" s="546"/>
      <c r="H342" s="547">
        <f>IF(D342="Rəsmi gəlir",AA3,IF(D342="Qeyri rəsmi gəlir",AB3))</f>
        <v>7.0000000000000007E-2</v>
      </c>
      <c r="I342" s="547">
        <f>IF(D342="Rəsmi gəlir",AA4,IF(D342="Qeyri rəsmi gəlir",AB4))</f>
        <v>0.12</v>
      </c>
      <c r="J342" s="547">
        <f>IF(D342="Rəsmi gəlir",AA5,IF(D342="Qeyri rəsmi gəlir",AB5))</f>
        <v>0.16</v>
      </c>
      <c r="K342" s="547">
        <f>IF(D342="Rəsmi gəlir",AA6,IF(D342="Qeyri rəsmi gəlir",AB6))</f>
        <v>0.2</v>
      </c>
      <c r="L342" s="547">
        <f>IF(D342="Rəsmi gəlir",AA7,IF(D342="Qeyri rəsmi gəlir",AB7))</f>
        <v>0.23</v>
      </c>
      <c r="M342" s="547">
        <f>IF(D342="Rəsmi gəlir",AA8,IF(D342="Qeyri rəsmi gəlir",AB8))</f>
        <v>0.25600000000000001</v>
      </c>
      <c r="N342" s="547">
        <f>IF(D342="Rəsmi gəlir",AA9,IF(D342="Qeyri rəsmi gəlir",AB9))</f>
        <v>0.28550000000000003</v>
      </c>
      <c r="O342" s="547">
        <f>IF(D342="Rəsmi gəlir",AA10,IF(D342="Qeyri rəsmi gəlir",AB10))</f>
        <v>0</v>
      </c>
      <c r="P342" s="547" t="b">
        <f t="shared" si="30"/>
        <v>0</v>
      </c>
      <c r="Q342" s="548">
        <f t="shared" si="31"/>
        <v>0</v>
      </c>
      <c r="R342" s="543" t="str">
        <f t="shared" si="33"/>
        <v>-</v>
      </c>
      <c r="S342" s="549"/>
      <c r="T342" s="543" t="e">
        <f t="shared" si="34"/>
        <v>#VALUE!</v>
      </c>
      <c r="U342" s="548" t="e">
        <f t="shared" si="32"/>
        <v>#VALUE!</v>
      </c>
      <c r="V342" s="548" t="e">
        <f t="shared" si="35"/>
        <v>#VALUE!</v>
      </c>
      <c r="W342" s="544"/>
      <c r="X342" s="556"/>
    </row>
    <row r="343" spans="1:24">
      <c r="A343" s="552">
        <v>341</v>
      </c>
      <c r="B343" s="560"/>
      <c r="C343" s="554"/>
      <c r="D343" s="544" t="s">
        <v>799</v>
      </c>
      <c r="E343" s="555"/>
      <c r="F343" s="545">
        <f>E343-(E343*Z13)</f>
        <v>0</v>
      </c>
      <c r="G343" s="546"/>
      <c r="H343" s="547">
        <f>IF(D343="Rəsmi gəlir",AA3,IF(D343="Qeyri rəsmi gəlir",AB3))</f>
        <v>7.0000000000000007E-2</v>
      </c>
      <c r="I343" s="547">
        <f>IF(D343="Rəsmi gəlir",AA4,IF(D343="Qeyri rəsmi gəlir",AB4))</f>
        <v>0.12</v>
      </c>
      <c r="J343" s="547">
        <f>IF(D343="Rəsmi gəlir",AA5,IF(D343="Qeyri rəsmi gəlir",AB5))</f>
        <v>0.16</v>
      </c>
      <c r="K343" s="547">
        <f>IF(D343="Rəsmi gəlir",AA6,IF(D343="Qeyri rəsmi gəlir",AB6))</f>
        <v>0.2</v>
      </c>
      <c r="L343" s="547">
        <f>IF(D343="Rəsmi gəlir",AA7,IF(D343="Qeyri rəsmi gəlir",AB7))</f>
        <v>0.23</v>
      </c>
      <c r="M343" s="547">
        <f>IF(D343="Rəsmi gəlir",AA8,IF(D343="Qeyri rəsmi gəlir",AB8))</f>
        <v>0.25600000000000001</v>
      </c>
      <c r="N343" s="547">
        <f>IF(D343="Rəsmi gəlir",AA9,IF(D343="Qeyri rəsmi gəlir",AB9))</f>
        <v>0.28550000000000003</v>
      </c>
      <c r="O343" s="547">
        <f>IF(D343="Rəsmi gəlir",AA10,IF(D343="Qeyri rəsmi gəlir",AB10))</f>
        <v>0</v>
      </c>
      <c r="P343" s="547" t="b">
        <f t="shared" si="30"/>
        <v>0</v>
      </c>
      <c r="Q343" s="548">
        <f t="shared" si="31"/>
        <v>0</v>
      </c>
      <c r="R343" s="543" t="str">
        <f t="shared" si="33"/>
        <v>-</v>
      </c>
      <c r="S343" s="549"/>
      <c r="T343" s="543" t="e">
        <f t="shared" si="34"/>
        <v>#VALUE!</v>
      </c>
      <c r="U343" s="548" t="e">
        <f t="shared" si="32"/>
        <v>#VALUE!</v>
      </c>
      <c r="V343" s="548" t="e">
        <f t="shared" si="35"/>
        <v>#VALUE!</v>
      </c>
      <c r="W343" s="544"/>
      <c r="X343" s="556"/>
    </row>
    <row r="344" spans="1:24">
      <c r="A344" s="552">
        <v>342</v>
      </c>
      <c r="B344" s="560"/>
      <c r="C344" s="554"/>
      <c r="D344" s="544" t="s">
        <v>799</v>
      </c>
      <c r="E344" s="555"/>
      <c r="F344" s="545">
        <f>E344-(E344*Z13)</f>
        <v>0</v>
      </c>
      <c r="G344" s="546"/>
      <c r="H344" s="547">
        <f>IF(D344="Rəsmi gəlir",AA3,IF(D344="Qeyri rəsmi gəlir",AB3))</f>
        <v>7.0000000000000007E-2</v>
      </c>
      <c r="I344" s="547">
        <f>IF(D344="Rəsmi gəlir",AA4,IF(D344="Qeyri rəsmi gəlir",AB4))</f>
        <v>0.12</v>
      </c>
      <c r="J344" s="547">
        <f>IF(D344="Rəsmi gəlir",AA5,IF(D344="Qeyri rəsmi gəlir",AB5))</f>
        <v>0.16</v>
      </c>
      <c r="K344" s="547">
        <f>IF(D344="Rəsmi gəlir",AA6,IF(D344="Qeyri rəsmi gəlir",AB6))</f>
        <v>0.2</v>
      </c>
      <c r="L344" s="547">
        <f>IF(D344="Rəsmi gəlir",AA7,IF(D344="Qeyri rəsmi gəlir",AB7))</f>
        <v>0.23</v>
      </c>
      <c r="M344" s="547">
        <f>IF(D344="Rəsmi gəlir",AA8,IF(D344="Qeyri rəsmi gəlir",AB8))</f>
        <v>0.25600000000000001</v>
      </c>
      <c r="N344" s="547">
        <f>IF(D344="Rəsmi gəlir",AA9,IF(D344="Qeyri rəsmi gəlir",AB9))</f>
        <v>0.28550000000000003</v>
      </c>
      <c r="O344" s="547">
        <f>IF(D344="Rəsmi gəlir",AA10,IF(D344="Qeyri rəsmi gəlir",AB10))</f>
        <v>0</v>
      </c>
      <c r="P344" s="547" t="b">
        <f t="shared" si="30"/>
        <v>0</v>
      </c>
      <c r="Q344" s="548">
        <f t="shared" si="31"/>
        <v>0</v>
      </c>
      <c r="R344" s="543" t="str">
        <f t="shared" si="33"/>
        <v>-</v>
      </c>
      <c r="S344" s="549"/>
      <c r="T344" s="543" t="e">
        <f t="shared" si="34"/>
        <v>#VALUE!</v>
      </c>
      <c r="U344" s="548" t="e">
        <f t="shared" si="32"/>
        <v>#VALUE!</v>
      </c>
      <c r="V344" s="548" t="e">
        <f t="shared" si="35"/>
        <v>#VALUE!</v>
      </c>
      <c r="W344" s="544"/>
      <c r="X344" s="556"/>
    </row>
    <row r="345" spans="1:24">
      <c r="A345" s="552">
        <v>343</v>
      </c>
      <c r="B345" s="560"/>
      <c r="C345" s="554"/>
      <c r="D345" s="544" t="s">
        <v>799</v>
      </c>
      <c r="E345" s="555"/>
      <c r="F345" s="545">
        <f>E345-(E345*Z13)</f>
        <v>0</v>
      </c>
      <c r="G345" s="546"/>
      <c r="H345" s="547">
        <f>IF(D345="Rəsmi gəlir",AA3,IF(D345="Qeyri rəsmi gəlir",AB3))</f>
        <v>7.0000000000000007E-2</v>
      </c>
      <c r="I345" s="547">
        <f>IF(D345="Rəsmi gəlir",AA4,IF(D345="Qeyri rəsmi gəlir",AB4))</f>
        <v>0.12</v>
      </c>
      <c r="J345" s="547">
        <f>IF(D345="Rəsmi gəlir",AA5,IF(D345="Qeyri rəsmi gəlir",AB5))</f>
        <v>0.16</v>
      </c>
      <c r="K345" s="547">
        <f>IF(D345="Rəsmi gəlir",AA6,IF(D345="Qeyri rəsmi gəlir",AB6))</f>
        <v>0.2</v>
      </c>
      <c r="L345" s="547">
        <f>IF(D345="Rəsmi gəlir",AA7,IF(D345="Qeyri rəsmi gəlir",AB7))</f>
        <v>0.23</v>
      </c>
      <c r="M345" s="547">
        <f>IF(D345="Rəsmi gəlir",AA8,IF(D345="Qeyri rəsmi gəlir",AB8))</f>
        <v>0.25600000000000001</v>
      </c>
      <c r="N345" s="547">
        <f>IF(D345="Rəsmi gəlir",AA9,IF(D345="Qeyri rəsmi gəlir",AB9))</f>
        <v>0.28550000000000003</v>
      </c>
      <c r="O345" s="547">
        <f>IF(D345="Rəsmi gəlir",AA10,IF(D345="Qeyri rəsmi gəlir",AB10))</f>
        <v>0</v>
      </c>
      <c r="P345" s="547" t="b">
        <f t="shared" si="30"/>
        <v>0</v>
      </c>
      <c r="Q345" s="548">
        <f t="shared" si="31"/>
        <v>0</v>
      </c>
      <c r="R345" s="543" t="str">
        <f t="shared" si="33"/>
        <v>-</v>
      </c>
      <c r="S345" s="549"/>
      <c r="T345" s="543" t="e">
        <f t="shared" si="34"/>
        <v>#VALUE!</v>
      </c>
      <c r="U345" s="548" t="e">
        <f t="shared" si="32"/>
        <v>#VALUE!</v>
      </c>
      <c r="V345" s="548" t="e">
        <f t="shared" si="35"/>
        <v>#VALUE!</v>
      </c>
      <c r="W345" s="544"/>
      <c r="X345" s="556"/>
    </row>
    <row r="346" spans="1:24">
      <c r="A346" s="552">
        <v>344</v>
      </c>
      <c r="B346" s="560"/>
      <c r="C346" s="554"/>
      <c r="D346" s="544" t="s">
        <v>799</v>
      </c>
      <c r="E346" s="555"/>
      <c r="F346" s="545">
        <f>E346-(E346*Z13)</f>
        <v>0</v>
      </c>
      <c r="G346" s="546"/>
      <c r="H346" s="547">
        <f>IF(D346="Rəsmi gəlir",AA3,IF(D346="Qeyri rəsmi gəlir",AB3))</f>
        <v>7.0000000000000007E-2</v>
      </c>
      <c r="I346" s="547">
        <f>IF(D346="Rəsmi gəlir",AA4,IF(D346="Qeyri rəsmi gəlir",AB4))</f>
        <v>0.12</v>
      </c>
      <c r="J346" s="547">
        <f>IF(D346="Rəsmi gəlir",AA5,IF(D346="Qeyri rəsmi gəlir",AB5))</f>
        <v>0.16</v>
      </c>
      <c r="K346" s="547">
        <f>IF(D346="Rəsmi gəlir",AA6,IF(D346="Qeyri rəsmi gəlir",AB6))</f>
        <v>0.2</v>
      </c>
      <c r="L346" s="547">
        <f>IF(D346="Rəsmi gəlir",AA7,IF(D346="Qeyri rəsmi gəlir",AB7))</f>
        <v>0.23</v>
      </c>
      <c r="M346" s="547">
        <f>IF(D346="Rəsmi gəlir",AA8,IF(D346="Qeyri rəsmi gəlir",AB8))</f>
        <v>0.25600000000000001</v>
      </c>
      <c r="N346" s="547">
        <f>IF(D346="Rəsmi gəlir",AA9,IF(D346="Qeyri rəsmi gəlir",AB9))</f>
        <v>0.28550000000000003</v>
      </c>
      <c r="O346" s="547">
        <f>IF(D346="Rəsmi gəlir",AA10,IF(D346="Qeyri rəsmi gəlir",AB10))</f>
        <v>0</v>
      </c>
      <c r="P346" s="547" t="b">
        <f t="shared" si="30"/>
        <v>0</v>
      </c>
      <c r="Q346" s="548">
        <f t="shared" si="31"/>
        <v>0</v>
      </c>
      <c r="R346" s="543" t="str">
        <f t="shared" si="33"/>
        <v>-</v>
      </c>
      <c r="S346" s="549"/>
      <c r="T346" s="543" t="e">
        <f t="shared" si="34"/>
        <v>#VALUE!</v>
      </c>
      <c r="U346" s="548" t="e">
        <f t="shared" si="32"/>
        <v>#VALUE!</v>
      </c>
      <c r="V346" s="548" t="e">
        <f t="shared" si="35"/>
        <v>#VALUE!</v>
      </c>
      <c r="W346" s="544"/>
      <c r="X346" s="556"/>
    </row>
    <row r="347" spans="1:24">
      <c r="A347" s="552">
        <v>345</v>
      </c>
      <c r="B347" s="560"/>
      <c r="C347" s="554"/>
      <c r="D347" s="544" t="s">
        <v>799</v>
      </c>
      <c r="E347" s="555"/>
      <c r="F347" s="545">
        <f>E347-(E347*Z13)</f>
        <v>0</v>
      </c>
      <c r="G347" s="546"/>
      <c r="H347" s="547">
        <f>IF(D347="Rəsmi gəlir",AA3,IF(D347="Qeyri rəsmi gəlir",AB3))</f>
        <v>7.0000000000000007E-2</v>
      </c>
      <c r="I347" s="547">
        <f>IF(D347="Rəsmi gəlir",AA4,IF(D347="Qeyri rəsmi gəlir",AB4))</f>
        <v>0.12</v>
      </c>
      <c r="J347" s="547">
        <f>IF(D347="Rəsmi gəlir",AA5,IF(D347="Qeyri rəsmi gəlir",AB5))</f>
        <v>0.16</v>
      </c>
      <c r="K347" s="547">
        <f>IF(D347="Rəsmi gəlir",AA6,IF(D347="Qeyri rəsmi gəlir",AB6))</f>
        <v>0.2</v>
      </c>
      <c r="L347" s="547">
        <f>IF(D347="Rəsmi gəlir",AA7,IF(D347="Qeyri rəsmi gəlir",AB7))</f>
        <v>0.23</v>
      </c>
      <c r="M347" s="547">
        <f>IF(D347="Rəsmi gəlir",AA8,IF(D347="Qeyri rəsmi gəlir",AB8))</f>
        <v>0.25600000000000001</v>
      </c>
      <c r="N347" s="547">
        <f>IF(D347="Rəsmi gəlir",AA9,IF(D347="Qeyri rəsmi gəlir",AB9))</f>
        <v>0.28550000000000003</v>
      </c>
      <c r="O347" s="547">
        <f>IF(D347="Rəsmi gəlir",AA10,IF(D347="Qeyri rəsmi gəlir",AB10))</f>
        <v>0</v>
      </c>
      <c r="P347" s="547" t="b">
        <f t="shared" si="30"/>
        <v>0</v>
      </c>
      <c r="Q347" s="548">
        <f t="shared" si="31"/>
        <v>0</v>
      </c>
      <c r="R347" s="543" t="str">
        <f t="shared" si="33"/>
        <v>-</v>
      </c>
      <c r="S347" s="549"/>
      <c r="T347" s="543" t="e">
        <f t="shared" si="34"/>
        <v>#VALUE!</v>
      </c>
      <c r="U347" s="548" t="e">
        <f t="shared" si="32"/>
        <v>#VALUE!</v>
      </c>
      <c r="V347" s="548" t="e">
        <f t="shared" si="35"/>
        <v>#VALUE!</v>
      </c>
      <c r="W347" s="544"/>
      <c r="X347" s="556"/>
    </row>
    <row r="348" spans="1:24">
      <c r="A348" s="552">
        <v>346</v>
      </c>
      <c r="B348" s="560"/>
      <c r="C348" s="554"/>
      <c r="D348" s="544" t="s">
        <v>799</v>
      </c>
      <c r="E348" s="555"/>
      <c r="F348" s="545">
        <f>E348-(E348*Z13)</f>
        <v>0</v>
      </c>
      <c r="G348" s="546"/>
      <c r="H348" s="547">
        <f>IF(D348="Rəsmi gəlir",AA3,IF(D348="Qeyri rəsmi gəlir",AB3))</f>
        <v>7.0000000000000007E-2</v>
      </c>
      <c r="I348" s="547">
        <f>IF(D348="Rəsmi gəlir",AA4,IF(D348="Qeyri rəsmi gəlir",AB4))</f>
        <v>0.12</v>
      </c>
      <c r="J348" s="547">
        <f>IF(D348="Rəsmi gəlir",AA5,IF(D348="Qeyri rəsmi gəlir",AB5))</f>
        <v>0.16</v>
      </c>
      <c r="K348" s="547">
        <f>IF(D348="Rəsmi gəlir",AA6,IF(D348="Qeyri rəsmi gəlir",AB6))</f>
        <v>0.2</v>
      </c>
      <c r="L348" s="547">
        <f>IF(D348="Rəsmi gəlir",AA7,IF(D348="Qeyri rəsmi gəlir",AB7))</f>
        <v>0.23</v>
      </c>
      <c r="M348" s="547">
        <f>IF(D348="Rəsmi gəlir",AA8,IF(D348="Qeyri rəsmi gəlir",AB8))</f>
        <v>0.25600000000000001</v>
      </c>
      <c r="N348" s="547">
        <f>IF(D348="Rəsmi gəlir",AA9,IF(D348="Qeyri rəsmi gəlir",AB9))</f>
        <v>0.28550000000000003</v>
      </c>
      <c r="O348" s="547">
        <f>IF(D348="Rəsmi gəlir",AA10,IF(D348="Qeyri rəsmi gəlir",AB10))</f>
        <v>0</v>
      </c>
      <c r="P348" s="547" t="b">
        <f t="shared" si="30"/>
        <v>0</v>
      </c>
      <c r="Q348" s="548">
        <f t="shared" si="31"/>
        <v>0</v>
      </c>
      <c r="R348" s="543" t="str">
        <f t="shared" si="33"/>
        <v>-</v>
      </c>
      <c r="S348" s="549"/>
      <c r="T348" s="543" t="e">
        <f t="shared" si="34"/>
        <v>#VALUE!</v>
      </c>
      <c r="U348" s="548" t="e">
        <f t="shared" si="32"/>
        <v>#VALUE!</v>
      </c>
      <c r="V348" s="548" t="e">
        <f t="shared" si="35"/>
        <v>#VALUE!</v>
      </c>
      <c r="W348" s="544"/>
      <c r="X348" s="556"/>
    </row>
    <row r="349" spans="1:24">
      <c r="A349" s="552">
        <v>347</v>
      </c>
      <c r="B349" s="560"/>
      <c r="C349" s="554"/>
      <c r="D349" s="544" t="s">
        <v>799</v>
      </c>
      <c r="E349" s="555"/>
      <c r="F349" s="545">
        <f>E349-(E349*Z13)</f>
        <v>0</v>
      </c>
      <c r="G349" s="546"/>
      <c r="H349" s="547">
        <f>IF(D349="Rəsmi gəlir",AA3,IF(D349="Qeyri rəsmi gəlir",AB3))</f>
        <v>7.0000000000000007E-2</v>
      </c>
      <c r="I349" s="547">
        <f>IF(D349="Rəsmi gəlir",AA4,IF(D349="Qeyri rəsmi gəlir",AB4))</f>
        <v>0.12</v>
      </c>
      <c r="J349" s="547">
        <f>IF(D349="Rəsmi gəlir",AA5,IF(D349="Qeyri rəsmi gəlir",AB5))</f>
        <v>0.16</v>
      </c>
      <c r="K349" s="547">
        <f>IF(D349="Rəsmi gəlir",AA6,IF(D349="Qeyri rəsmi gəlir",AB6))</f>
        <v>0.2</v>
      </c>
      <c r="L349" s="547">
        <f>IF(D349="Rəsmi gəlir",AA7,IF(D349="Qeyri rəsmi gəlir",AB7))</f>
        <v>0.23</v>
      </c>
      <c r="M349" s="547">
        <f>IF(D349="Rəsmi gəlir",AA8,IF(D349="Qeyri rəsmi gəlir",AB8))</f>
        <v>0.25600000000000001</v>
      </c>
      <c r="N349" s="547">
        <f>IF(D349="Rəsmi gəlir",AA9,IF(D349="Qeyri rəsmi gəlir",AB9))</f>
        <v>0.28550000000000003</v>
      </c>
      <c r="O349" s="547">
        <f>IF(D349="Rəsmi gəlir",AA10,IF(D349="Qeyri rəsmi gəlir",AB10))</f>
        <v>0</v>
      </c>
      <c r="P349" s="547" t="b">
        <f t="shared" si="30"/>
        <v>0</v>
      </c>
      <c r="Q349" s="548">
        <f t="shared" si="31"/>
        <v>0</v>
      </c>
      <c r="R349" s="543" t="str">
        <f t="shared" si="33"/>
        <v>-</v>
      </c>
      <c r="S349" s="549"/>
      <c r="T349" s="543" t="e">
        <f t="shared" si="34"/>
        <v>#VALUE!</v>
      </c>
      <c r="U349" s="548" t="e">
        <f t="shared" si="32"/>
        <v>#VALUE!</v>
      </c>
      <c r="V349" s="548" t="e">
        <f t="shared" si="35"/>
        <v>#VALUE!</v>
      </c>
      <c r="W349" s="544"/>
      <c r="X349" s="556"/>
    </row>
    <row r="350" spans="1:24">
      <c r="A350" s="552">
        <v>348</v>
      </c>
      <c r="B350" s="560"/>
      <c r="C350" s="554"/>
      <c r="D350" s="544" t="s">
        <v>799</v>
      </c>
      <c r="E350" s="555"/>
      <c r="F350" s="545">
        <f>E350-(E350*Z13)</f>
        <v>0</v>
      </c>
      <c r="G350" s="546"/>
      <c r="H350" s="547">
        <f>IF(D350="Rəsmi gəlir",AA3,IF(D350="Qeyri rəsmi gəlir",AB3))</f>
        <v>7.0000000000000007E-2</v>
      </c>
      <c r="I350" s="547">
        <f>IF(D350="Rəsmi gəlir",AA4,IF(D350="Qeyri rəsmi gəlir",AB4))</f>
        <v>0.12</v>
      </c>
      <c r="J350" s="547">
        <f>IF(D350="Rəsmi gəlir",AA5,IF(D350="Qeyri rəsmi gəlir",AB5))</f>
        <v>0.16</v>
      </c>
      <c r="K350" s="547">
        <f>IF(D350="Rəsmi gəlir",AA6,IF(D350="Qeyri rəsmi gəlir",AB6))</f>
        <v>0.2</v>
      </c>
      <c r="L350" s="547">
        <f>IF(D350="Rəsmi gəlir",AA7,IF(D350="Qeyri rəsmi gəlir",AB7))</f>
        <v>0.23</v>
      </c>
      <c r="M350" s="547">
        <f>IF(D350="Rəsmi gəlir",AA8,IF(D350="Qeyri rəsmi gəlir",AB8))</f>
        <v>0.25600000000000001</v>
      </c>
      <c r="N350" s="547">
        <f>IF(D350="Rəsmi gəlir",AA9,IF(D350="Qeyri rəsmi gəlir",AB9))</f>
        <v>0.28550000000000003</v>
      </c>
      <c r="O350" s="547">
        <f>IF(D350="Rəsmi gəlir",AA10,IF(D350="Qeyri rəsmi gəlir",AB10))</f>
        <v>0</v>
      </c>
      <c r="P350" s="547" t="b">
        <f t="shared" si="30"/>
        <v>0</v>
      </c>
      <c r="Q350" s="548">
        <f t="shared" si="31"/>
        <v>0</v>
      </c>
      <c r="R350" s="543" t="str">
        <f t="shared" si="33"/>
        <v>-</v>
      </c>
      <c r="S350" s="549"/>
      <c r="T350" s="543" t="e">
        <f t="shared" si="34"/>
        <v>#VALUE!</v>
      </c>
      <c r="U350" s="548" t="e">
        <f t="shared" si="32"/>
        <v>#VALUE!</v>
      </c>
      <c r="V350" s="548" t="e">
        <f t="shared" si="35"/>
        <v>#VALUE!</v>
      </c>
      <c r="W350" s="544"/>
      <c r="X350" s="556"/>
    </row>
    <row r="351" spans="1:24">
      <c r="A351" s="552">
        <v>349</v>
      </c>
      <c r="B351" s="560"/>
      <c r="C351" s="554"/>
      <c r="D351" s="544" t="s">
        <v>799</v>
      </c>
      <c r="E351" s="555"/>
      <c r="F351" s="545">
        <f>E351-(E351*Z13)</f>
        <v>0</v>
      </c>
      <c r="G351" s="546"/>
      <c r="H351" s="547">
        <f>IF(D351="Rəsmi gəlir",AA3,IF(D351="Qeyri rəsmi gəlir",AB3))</f>
        <v>7.0000000000000007E-2</v>
      </c>
      <c r="I351" s="547">
        <f>IF(D351="Rəsmi gəlir",AA4,IF(D351="Qeyri rəsmi gəlir",AB4))</f>
        <v>0.12</v>
      </c>
      <c r="J351" s="547">
        <f>IF(D351="Rəsmi gəlir",AA5,IF(D351="Qeyri rəsmi gəlir",AB5))</f>
        <v>0.16</v>
      </c>
      <c r="K351" s="547">
        <f>IF(D351="Rəsmi gəlir",AA6,IF(D351="Qeyri rəsmi gəlir",AB6))</f>
        <v>0.2</v>
      </c>
      <c r="L351" s="547">
        <f>IF(D351="Rəsmi gəlir",AA7,IF(D351="Qeyri rəsmi gəlir",AB7))</f>
        <v>0.23</v>
      </c>
      <c r="M351" s="547">
        <f>IF(D351="Rəsmi gəlir",AA8,IF(D351="Qeyri rəsmi gəlir",AB8))</f>
        <v>0.25600000000000001</v>
      </c>
      <c r="N351" s="547">
        <f>IF(D351="Rəsmi gəlir",AA9,IF(D351="Qeyri rəsmi gəlir",AB9))</f>
        <v>0.28550000000000003</v>
      </c>
      <c r="O351" s="547">
        <f>IF(D351="Rəsmi gəlir",AA10,IF(D351="Qeyri rəsmi gəlir",AB10))</f>
        <v>0</v>
      </c>
      <c r="P351" s="547" t="b">
        <f t="shared" si="30"/>
        <v>0</v>
      </c>
      <c r="Q351" s="548">
        <f t="shared" si="31"/>
        <v>0</v>
      </c>
      <c r="R351" s="543" t="str">
        <f t="shared" si="33"/>
        <v>-</v>
      </c>
      <c r="S351" s="549"/>
      <c r="T351" s="543" t="e">
        <f t="shared" si="34"/>
        <v>#VALUE!</v>
      </c>
      <c r="U351" s="548" t="e">
        <f t="shared" si="32"/>
        <v>#VALUE!</v>
      </c>
      <c r="V351" s="548" t="e">
        <f t="shared" si="35"/>
        <v>#VALUE!</v>
      </c>
      <c r="W351" s="544"/>
      <c r="X351" s="556"/>
    </row>
    <row r="352" spans="1:24">
      <c r="A352" s="552">
        <v>350</v>
      </c>
      <c r="B352" s="560"/>
      <c r="C352" s="554"/>
      <c r="D352" s="544" t="s">
        <v>799</v>
      </c>
      <c r="E352" s="555"/>
      <c r="F352" s="545">
        <f>E352-(E352*Z13)</f>
        <v>0</v>
      </c>
      <c r="G352" s="546"/>
      <c r="H352" s="547">
        <f>IF(D352="Rəsmi gəlir",AA3,IF(D352="Qeyri rəsmi gəlir",AB3))</f>
        <v>7.0000000000000007E-2</v>
      </c>
      <c r="I352" s="547">
        <f>IF(D352="Rəsmi gəlir",AA4,IF(D352="Qeyri rəsmi gəlir",AB4))</f>
        <v>0.12</v>
      </c>
      <c r="J352" s="547">
        <f>IF(D352="Rəsmi gəlir",AA5,IF(D352="Qeyri rəsmi gəlir",AB5))</f>
        <v>0.16</v>
      </c>
      <c r="K352" s="547">
        <f>IF(D352="Rəsmi gəlir",AA6,IF(D352="Qeyri rəsmi gəlir",AB6))</f>
        <v>0.2</v>
      </c>
      <c r="L352" s="547">
        <f>IF(D352="Rəsmi gəlir",AA7,IF(D352="Qeyri rəsmi gəlir",AB7))</f>
        <v>0.23</v>
      </c>
      <c r="M352" s="547">
        <f>IF(D352="Rəsmi gəlir",AA8,IF(D352="Qeyri rəsmi gəlir",AB8))</f>
        <v>0.25600000000000001</v>
      </c>
      <c r="N352" s="547">
        <f>IF(D352="Rəsmi gəlir",AA9,IF(D352="Qeyri rəsmi gəlir",AB9))</f>
        <v>0.28550000000000003</v>
      </c>
      <c r="O352" s="547">
        <f>IF(D352="Rəsmi gəlir",AA10,IF(D352="Qeyri rəsmi gəlir",AB10))</f>
        <v>0</v>
      </c>
      <c r="P352" s="547" t="b">
        <f t="shared" si="30"/>
        <v>0</v>
      </c>
      <c r="Q352" s="548">
        <f t="shared" si="31"/>
        <v>0</v>
      </c>
      <c r="R352" s="543" t="str">
        <f t="shared" si="33"/>
        <v>-</v>
      </c>
      <c r="S352" s="549"/>
      <c r="T352" s="543" t="e">
        <f t="shared" si="34"/>
        <v>#VALUE!</v>
      </c>
      <c r="U352" s="548" t="e">
        <f t="shared" si="32"/>
        <v>#VALUE!</v>
      </c>
      <c r="V352" s="548" t="e">
        <f t="shared" si="35"/>
        <v>#VALUE!</v>
      </c>
      <c r="W352" s="544"/>
      <c r="X352" s="556"/>
    </row>
    <row r="353" spans="1:24">
      <c r="A353" s="552">
        <v>351</v>
      </c>
      <c r="B353" s="560"/>
      <c r="C353" s="554"/>
      <c r="D353" s="544" t="s">
        <v>799</v>
      </c>
      <c r="E353" s="555"/>
      <c r="F353" s="545">
        <f>E353-(E353*Z13)</f>
        <v>0</v>
      </c>
      <c r="G353" s="546"/>
      <c r="H353" s="547">
        <f>IF(D353="Rəsmi gəlir",AA3,IF(D353="Qeyri rəsmi gəlir",AB3))</f>
        <v>7.0000000000000007E-2</v>
      </c>
      <c r="I353" s="547">
        <f>IF(D353="Rəsmi gəlir",AA4,IF(D353="Qeyri rəsmi gəlir",AB4))</f>
        <v>0.12</v>
      </c>
      <c r="J353" s="547">
        <f>IF(D353="Rəsmi gəlir",AA5,IF(D353="Qeyri rəsmi gəlir",AB5))</f>
        <v>0.16</v>
      </c>
      <c r="K353" s="547">
        <f>IF(D353="Rəsmi gəlir",AA6,IF(D353="Qeyri rəsmi gəlir",AB6))</f>
        <v>0.2</v>
      </c>
      <c r="L353" s="547">
        <f>IF(D353="Rəsmi gəlir",AA7,IF(D353="Qeyri rəsmi gəlir",AB7))</f>
        <v>0.23</v>
      </c>
      <c r="M353" s="547">
        <f>IF(D353="Rəsmi gəlir",AA8,IF(D353="Qeyri rəsmi gəlir",AB8))</f>
        <v>0.25600000000000001</v>
      </c>
      <c r="N353" s="547">
        <f>IF(D353="Rəsmi gəlir",AA9,IF(D353="Qeyri rəsmi gəlir",AB9))</f>
        <v>0.28550000000000003</v>
      </c>
      <c r="O353" s="547">
        <f>IF(D353="Rəsmi gəlir",AA10,IF(D353="Qeyri rəsmi gəlir",AB10))</f>
        <v>0</v>
      </c>
      <c r="P353" s="547" t="b">
        <f t="shared" si="30"/>
        <v>0</v>
      </c>
      <c r="Q353" s="548">
        <f t="shared" si="31"/>
        <v>0</v>
      </c>
      <c r="R353" s="543" t="str">
        <f t="shared" si="33"/>
        <v>-</v>
      </c>
      <c r="S353" s="549"/>
      <c r="T353" s="543" t="e">
        <f t="shared" si="34"/>
        <v>#VALUE!</v>
      </c>
      <c r="U353" s="548" t="e">
        <f t="shared" si="32"/>
        <v>#VALUE!</v>
      </c>
      <c r="V353" s="548" t="e">
        <f t="shared" si="35"/>
        <v>#VALUE!</v>
      </c>
      <c r="W353" s="544"/>
      <c r="X353" s="556"/>
    </row>
    <row r="354" spans="1:24">
      <c r="A354" s="552">
        <v>352</v>
      </c>
      <c r="B354" s="560"/>
      <c r="C354" s="554"/>
      <c r="D354" s="544" t="s">
        <v>799</v>
      </c>
      <c r="E354" s="555"/>
      <c r="F354" s="545">
        <f>E354-(E354*Z13)</f>
        <v>0</v>
      </c>
      <c r="G354" s="546"/>
      <c r="H354" s="547">
        <f>IF(D354="Rəsmi gəlir",AA3,IF(D354="Qeyri rəsmi gəlir",AB3))</f>
        <v>7.0000000000000007E-2</v>
      </c>
      <c r="I354" s="547">
        <f>IF(D354="Rəsmi gəlir",AA4,IF(D354="Qeyri rəsmi gəlir",AB4))</f>
        <v>0.12</v>
      </c>
      <c r="J354" s="547">
        <f>IF(D354="Rəsmi gəlir",AA5,IF(D354="Qeyri rəsmi gəlir",AB5))</f>
        <v>0.16</v>
      </c>
      <c r="K354" s="547">
        <f>IF(D354="Rəsmi gəlir",AA6,IF(D354="Qeyri rəsmi gəlir",AB6))</f>
        <v>0.2</v>
      </c>
      <c r="L354" s="547">
        <f>IF(D354="Rəsmi gəlir",AA7,IF(D354="Qeyri rəsmi gəlir",AB7))</f>
        <v>0.23</v>
      </c>
      <c r="M354" s="547">
        <f>IF(D354="Rəsmi gəlir",AA8,IF(D354="Qeyri rəsmi gəlir",AB8))</f>
        <v>0.25600000000000001</v>
      </c>
      <c r="N354" s="547">
        <f>IF(D354="Rəsmi gəlir",AA9,IF(D354="Qeyri rəsmi gəlir",AB9))</f>
        <v>0.28550000000000003</v>
      </c>
      <c r="O354" s="547">
        <f>IF(D354="Rəsmi gəlir",AA10,IF(D354="Qeyri rəsmi gəlir",AB10))</f>
        <v>0</v>
      </c>
      <c r="P354" s="547" t="b">
        <f t="shared" si="30"/>
        <v>0</v>
      </c>
      <c r="Q354" s="548">
        <f t="shared" si="31"/>
        <v>0</v>
      </c>
      <c r="R354" s="543" t="str">
        <f t="shared" si="33"/>
        <v>-</v>
      </c>
      <c r="S354" s="549"/>
      <c r="T354" s="543" t="e">
        <f t="shared" si="34"/>
        <v>#VALUE!</v>
      </c>
      <c r="U354" s="548" t="e">
        <f t="shared" si="32"/>
        <v>#VALUE!</v>
      </c>
      <c r="V354" s="548" t="e">
        <f t="shared" si="35"/>
        <v>#VALUE!</v>
      </c>
      <c r="W354" s="544"/>
      <c r="X354" s="556"/>
    </row>
    <row r="355" spans="1:24">
      <c r="A355" s="552">
        <v>353</v>
      </c>
      <c r="B355" s="560"/>
      <c r="C355" s="554"/>
      <c r="D355" s="544" t="s">
        <v>799</v>
      </c>
      <c r="E355" s="555"/>
      <c r="F355" s="545">
        <f>E355-(E355*Z13)</f>
        <v>0</v>
      </c>
      <c r="G355" s="546"/>
      <c r="H355" s="547">
        <f>IF(D355="Rəsmi gəlir",AA3,IF(D355="Qeyri rəsmi gəlir",AB3))</f>
        <v>7.0000000000000007E-2</v>
      </c>
      <c r="I355" s="547">
        <f>IF(D355="Rəsmi gəlir",AA4,IF(D355="Qeyri rəsmi gəlir",AB4))</f>
        <v>0.12</v>
      </c>
      <c r="J355" s="547">
        <f>IF(D355="Rəsmi gəlir",AA5,IF(D355="Qeyri rəsmi gəlir",AB5))</f>
        <v>0.16</v>
      </c>
      <c r="K355" s="547">
        <f>IF(D355="Rəsmi gəlir",AA6,IF(D355="Qeyri rəsmi gəlir",AB6))</f>
        <v>0.2</v>
      </c>
      <c r="L355" s="547">
        <f>IF(D355="Rəsmi gəlir",AA7,IF(D355="Qeyri rəsmi gəlir",AB7))</f>
        <v>0.23</v>
      </c>
      <c r="M355" s="547">
        <f>IF(D355="Rəsmi gəlir",AA8,IF(D355="Qeyri rəsmi gəlir",AB8))</f>
        <v>0.25600000000000001</v>
      </c>
      <c r="N355" s="547">
        <f>IF(D355="Rəsmi gəlir",AA9,IF(D355="Qeyri rəsmi gəlir",AB9))</f>
        <v>0.28550000000000003</v>
      </c>
      <c r="O355" s="547">
        <f>IF(D355="Rəsmi gəlir",AA10,IF(D355="Qeyri rəsmi gəlir",AB10))</f>
        <v>0</v>
      </c>
      <c r="P355" s="547" t="b">
        <f t="shared" si="30"/>
        <v>0</v>
      </c>
      <c r="Q355" s="548">
        <f t="shared" si="31"/>
        <v>0</v>
      </c>
      <c r="R355" s="543" t="str">
        <f t="shared" si="33"/>
        <v>-</v>
      </c>
      <c r="S355" s="549"/>
      <c r="T355" s="543" t="e">
        <f t="shared" si="34"/>
        <v>#VALUE!</v>
      </c>
      <c r="U355" s="548" t="e">
        <f t="shared" si="32"/>
        <v>#VALUE!</v>
      </c>
      <c r="V355" s="548" t="e">
        <f t="shared" si="35"/>
        <v>#VALUE!</v>
      </c>
      <c r="W355" s="544"/>
      <c r="X355" s="556"/>
    </row>
    <row r="356" spans="1:24">
      <c r="A356" s="552">
        <v>354</v>
      </c>
      <c r="B356" s="560"/>
      <c r="C356" s="554"/>
      <c r="D356" s="544" t="s">
        <v>799</v>
      </c>
      <c r="E356" s="555"/>
      <c r="F356" s="545">
        <f>E356-(E356*Z13)</f>
        <v>0</v>
      </c>
      <c r="G356" s="546"/>
      <c r="H356" s="547">
        <f>IF(D356="Rəsmi gəlir",AA3,IF(D356="Qeyri rəsmi gəlir",AB3))</f>
        <v>7.0000000000000007E-2</v>
      </c>
      <c r="I356" s="547">
        <f>IF(D356="Rəsmi gəlir",AA4,IF(D356="Qeyri rəsmi gəlir",AB4))</f>
        <v>0.12</v>
      </c>
      <c r="J356" s="547">
        <f>IF(D356="Rəsmi gəlir",AA5,IF(D356="Qeyri rəsmi gəlir",AB5))</f>
        <v>0.16</v>
      </c>
      <c r="K356" s="547">
        <f>IF(D356="Rəsmi gəlir",AA6,IF(D356="Qeyri rəsmi gəlir",AB6))</f>
        <v>0.2</v>
      </c>
      <c r="L356" s="547">
        <f>IF(D356="Rəsmi gəlir",AA7,IF(D356="Qeyri rəsmi gəlir",AB7))</f>
        <v>0.23</v>
      </c>
      <c r="M356" s="547">
        <f>IF(D356="Rəsmi gəlir",AA8,IF(D356="Qeyri rəsmi gəlir",AB8))</f>
        <v>0.25600000000000001</v>
      </c>
      <c r="N356" s="547">
        <f>IF(D356="Rəsmi gəlir",AA9,IF(D356="Qeyri rəsmi gəlir",AB9))</f>
        <v>0.28550000000000003</v>
      </c>
      <c r="O356" s="547">
        <f>IF(D356="Rəsmi gəlir",AA10,IF(D356="Qeyri rəsmi gəlir",AB10))</f>
        <v>0</v>
      </c>
      <c r="P356" s="547" t="b">
        <f t="shared" si="30"/>
        <v>0</v>
      </c>
      <c r="Q356" s="548">
        <f t="shared" si="31"/>
        <v>0</v>
      </c>
      <c r="R356" s="543" t="str">
        <f t="shared" si="33"/>
        <v>-</v>
      </c>
      <c r="S356" s="549"/>
      <c r="T356" s="543" t="e">
        <f t="shared" si="34"/>
        <v>#VALUE!</v>
      </c>
      <c r="U356" s="548" t="e">
        <f t="shared" si="32"/>
        <v>#VALUE!</v>
      </c>
      <c r="V356" s="548" t="e">
        <f t="shared" si="35"/>
        <v>#VALUE!</v>
      </c>
      <c r="W356" s="544"/>
      <c r="X356" s="556"/>
    </row>
    <row r="357" spans="1:24">
      <c r="A357" s="552">
        <v>355</v>
      </c>
      <c r="B357" s="560"/>
      <c r="C357" s="554"/>
      <c r="D357" s="544" t="s">
        <v>799</v>
      </c>
      <c r="E357" s="555"/>
      <c r="F357" s="545">
        <f>E357-(E357*Z13)</f>
        <v>0</v>
      </c>
      <c r="G357" s="546"/>
      <c r="H357" s="547">
        <f>IF(D357="Rəsmi gəlir",AA3,IF(D357="Qeyri rəsmi gəlir",AB3))</f>
        <v>7.0000000000000007E-2</v>
      </c>
      <c r="I357" s="547">
        <f>IF(D357="Rəsmi gəlir",AA4,IF(D357="Qeyri rəsmi gəlir",AB4))</f>
        <v>0.12</v>
      </c>
      <c r="J357" s="547">
        <f>IF(D357="Rəsmi gəlir",AA5,IF(D357="Qeyri rəsmi gəlir",AB5))</f>
        <v>0.16</v>
      </c>
      <c r="K357" s="547">
        <f>IF(D357="Rəsmi gəlir",AA6,IF(D357="Qeyri rəsmi gəlir",AB6))</f>
        <v>0.2</v>
      </c>
      <c r="L357" s="547">
        <f>IF(D357="Rəsmi gəlir",AA7,IF(D357="Qeyri rəsmi gəlir",AB7))</f>
        <v>0.23</v>
      </c>
      <c r="M357" s="547">
        <f>IF(D357="Rəsmi gəlir",AA8,IF(D357="Qeyri rəsmi gəlir",AB8))</f>
        <v>0.25600000000000001</v>
      </c>
      <c r="N357" s="547">
        <f>IF(D357="Rəsmi gəlir",AA9,IF(D357="Qeyri rəsmi gəlir",AB9))</f>
        <v>0.28550000000000003</v>
      </c>
      <c r="O357" s="547">
        <f>IF(D357="Rəsmi gəlir",AA10,IF(D357="Qeyri rəsmi gəlir",AB10))</f>
        <v>0</v>
      </c>
      <c r="P357" s="547" t="b">
        <f t="shared" si="30"/>
        <v>0</v>
      </c>
      <c r="Q357" s="548">
        <f t="shared" si="31"/>
        <v>0</v>
      </c>
      <c r="R357" s="543" t="str">
        <f t="shared" si="33"/>
        <v>-</v>
      </c>
      <c r="S357" s="549"/>
      <c r="T357" s="543" t="e">
        <f t="shared" si="34"/>
        <v>#VALUE!</v>
      </c>
      <c r="U357" s="548" t="e">
        <f t="shared" si="32"/>
        <v>#VALUE!</v>
      </c>
      <c r="V357" s="548" t="e">
        <f t="shared" si="35"/>
        <v>#VALUE!</v>
      </c>
      <c r="W357" s="544"/>
      <c r="X357" s="556"/>
    </row>
    <row r="358" spans="1:24">
      <c r="A358" s="552">
        <v>356</v>
      </c>
      <c r="B358" s="560"/>
      <c r="C358" s="554"/>
      <c r="D358" s="544" t="s">
        <v>799</v>
      </c>
      <c r="E358" s="555"/>
      <c r="F358" s="545">
        <f>E358-(E358*Z13)</f>
        <v>0</v>
      </c>
      <c r="G358" s="546"/>
      <c r="H358" s="547">
        <f>IF(D358="Rəsmi gəlir",AA3,IF(D358="Qeyri rəsmi gəlir",AB3))</f>
        <v>7.0000000000000007E-2</v>
      </c>
      <c r="I358" s="547">
        <f>IF(D358="Rəsmi gəlir",AA4,IF(D358="Qeyri rəsmi gəlir",AB4))</f>
        <v>0.12</v>
      </c>
      <c r="J358" s="547">
        <f>IF(D358="Rəsmi gəlir",AA5,IF(D358="Qeyri rəsmi gəlir",AB5))</f>
        <v>0.16</v>
      </c>
      <c r="K358" s="547">
        <f>IF(D358="Rəsmi gəlir",AA6,IF(D358="Qeyri rəsmi gəlir",AB6))</f>
        <v>0.2</v>
      </c>
      <c r="L358" s="547">
        <f>IF(D358="Rəsmi gəlir",AA7,IF(D358="Qeyri rəsmi gəlir",AB7))</f>
        <v>0.23</v>
      </c>
      <c r="M358" s="547">
        <f>IF(D358="Rəsmi gəlir",AA8,IF(D358="Qeyri rəsmi gəlir",AB8))</f>
        <v>0.25600000000000001</v>
      </c>
      <c r="N358" s="547">
        <f>IF(D358="Rəsmi gəlir",AA9,IF(D358="Qeyri rəsmi gəlir",AB9))</f>
        <v>0.28550000000000003</v>
      </c>
      <c r="O358" s="547">
        <f>IF(D358="Rəsmi gəlir",AA10,IF(D358="Qeyri rəsmi gəlir",AB10))</f>
        <v>0</v>
      </c>
      <c r="P358" s="547" t="b">
        <f t="shared" si="30"/>
        <v>0</v>
      </c>
      <c r="Q358" s="548">
        <f t="shared" si="31"/>
        <v>0</v>
      </c>
      <c r="R358" s="543" t="str">
        <f t="shared" si="33"/>
        <v>-</v>
      </c>
      <c r="S358" s="549"/>
      <c r="T358" s="543" t="e">
        <f t="shared" si="34"/>
        <v>#VALUE!</v>
      </c>
      <c r="U358" s="548" t="e">
        <f t="shared" si="32"/>
        <v>#VALUE!</v>
      </c>
      <c r="V358" s="548" t="e">
        <f t="shared" si="35"/>
        <v>#VALUE!</v>
      </c>
      <c r="W358" s="544"/>
      <c r="X358" s="556"/>
    </row>
    <row r="359" spans="1:24">
      <c r="A359" s="552">
        <v>357</v>
      </c>
      <c r="B359" s="560"/>
      <c r="C359" s="554"/>
      <c r="D359" s="544" t="s">
        <v>799</v>
      </c>
      <c r="E359" s="555"/>
      <c r="F359" s="545">
        <f>E359-(E359*Z13)</f>
        <v>0</v>
      </c>
      <c r="G359" s="546"/>
      <c r="H359" s="547">
        <f>IF(D359="Rəsmi gəlir",AA3,IF(D359="Qeyri rəsmi gəlir",AB3))</f>
        <v>7.0000000000000007E-2</v>
      </c>
      <c r="I359" s="547">
        <f>IF(D359="Rəsmi gəlir",AA4,IF(D359="Qeyri rəsmi gəlir",AB4))</f>
        <v>0.12</v>
      </c>
      <c r="J359" s="547">
        <f>IF(D359="Rəsmi gəlir",AA5,IF(D359="Qeyri rəsmi gəlir",AB5))</f>
        <v>0.16</v>
      </c>
      <c r="K359" s="547">
        <f>IF(D359="Rəsmi gəlir",AA6,IF(D359="Qeyri rəsmi gəlir",AB6))</f>
        <v>0.2</v>
      </c>
      <c r="L359" s="547">
        <f>IF(D359="Rəsmi gəlir",AA7,IF(D359="Qeyri rəsmi gəlir",AB7))</f>
        <v>0.23</v>
      </c>
      <c r="M359" s="547">
        <f>IF(D359="Rəsmi gəlir",AA8,IF(D359="Qeyri rəsmi gəlir",AB8))</f>
        <v>0.25600000000000001</v>
      </c>
      <c r="N359" s="547">
        <f>IF(D359="Rəsmi gəlir",AA9,IF(D359="Qeyri rəsmi gəlir",AB9))</f>
        <v>0.28550000000000003</v>
      </c>
      <c r="O359" s="547">
        <f>IF(D359="Rəsmi gəlir",AA10,IF(D359="Qeyri rəsmi gəlir",AB10))</f>
        <v>0</v>
      </c>
      <c r="P359" s="547" t="b">
        <f t="shared" si="30"/>
        <v>0</v>
      </c>
      <c r="Q359" s="548">
        <f t="shared" si="31"/>
        <v>0</v>
      </c>
      <c r="R359" s="543" t="str">
        <f t="shared" si="33"/>
        <v>-</v>
      </c>
      <c r="S359" s="549"/>
      <c r="T359" s="543" t="e">
        <f t="shared" si="34"/>
        <v>#VALUE!</v>
      </c>
      <c r="U359" s="548" t="e">
        <f t="shared" si="32"/>
        <v>#VALUE!</v>
      </c>
      <c r="V359" s="548" t="e">
        <f t="shared" si="35"/>
        <v>#VALUE!</v>
      </c>
      <c r="W359" s="544"/>
      <c r="X359" s="556"/>
    </row>
    <row r="360" spans="1:24">
      <c r="A360" s="552">
        <v>358</v>
      </c>
      <c r="B360" s="560"/>
      <c r="C360" s="554"/>
      <c r="D360" s="544" t="s">
        <v>799</v>
      </c>
      <c r="E360" s="555"/>
      <c r="F360" s="545">
        <f>E360-(E360*Z13)</f>
        <v>0</v>
      </c>
      <c r="G360" s="546"/>
      <c r="H360" s="547">
        <f>IF(D360="Rəsmi gəlir",AA3,IF(D360="Qeyri rəsmi gəlir",AB3))</f>
        <v>7.0000000000000007E-2</v>
      </c>
      <c r="I360" s="547">
        <f>IF(D360="Rəsmi gəlir",AA4,IF(D360="Qeyri rəsmi gəlir",AB4))</f>
        <v>0.12</v>
      </c>
      <c r="J360" s="547">
        <f>IF(D360="Rəsmi gəlir",AA5,IF(D360="Qeyri rəsmi gəlir",AB5))</f>
        <v>0.16</v>
      </c>
      <c r="K360" s="547">
        <f>IF(D360="Rəsmi gəlir",AA6,IF(D360="Qeyri rəsmi gəlir",AB6))</f>
        <v>0.2</v>
      </c>
      <c r="L360" s="547">
        <f>IF(D360="Rəsmi gəlir",AA7,IF(D360="Qeyri rəsmi gəlir",AB7))</f>
        <v>0.23</v>
      </c>
      <c r="M360" s="547">
        <f>IF(D360="Rəsmi gəlir",AA8,IF(D360="Qeyri rəsmi gəlir",AB8))</f>
        <v>0.25600000000000001</v>
      </c>
      <c r="N360" s="547">
        <f>IF(D360="Rəsmi gəlir",AA9,IF(D360="Qeyri rəsmi gəlir",AB9))</f>
        <v>0.28550000000000003</v>
      </c>
      <c r="O360" s="547">
        <f>IF(D360="Rəsmi gəlir",AA10,IF(D360="Qeyri rəsmi gəlir",AB10))</f>
        <v>0</v>
      </c>
      <c r="P360" s="547" t="b">
        <f t="shared" si="30"/>
        <v>0</v>
      </c>
      <c r="Q360" s="548">
        <f t="shared" si="31"/>
        <v>0</v>
      </c>
      <c r="R360" s="543" t="str">
        <f t="shared" si="33"/>
        <v>-</v>
      </c>
      <c r="S360" s="549"/>
      <c r="T360" s="543" t="e">
        <f t="shared" si="34"/>
        <v>#VALUE!</v>
      </c>
      <c r="U360" s="548" t="e">
        <f t="shared" si="32"/>
        <v>#VALUE!</v>
      </c>
      <c r="V360" s="548" t="e">
        <f t="shared" si="35"/>
        <v>#VALUE!</v>
      </c>
      <c r="W360" s="544"/>
      <c r="X360" s="556"/>
    </row>
    <row r="361" spans="1:24">
      <c r="A361" s="552">
        <v>359</v>
      </c>
      <c r="B361" s="560"/>
      <c r="C361" s="554"/>
      <c r="D361" s="544" t="s">
        <v>799</v>
      </c>
      <c r="E361" s="555"/>
      <c r="F361" s="545">
        <f>E361-(E361*Z13)</f>
        <v>0</v>
      </c>
      <c r="G361" s="546"/>
      <c r="H361" s="547">
        <f>IF(D361="Rəsmi gəlir",AA3,IF(D361="Qeyri rəsmi gəlir",AB3))</f>
        <v>7.0000000000000007E-2</v>
      </c>
      <c r="I361" s="547">
        <f>IF(D361="Rəsmi gəlir",AA4,IF(D361="Qeyri rəsmi gəlir",AB4))</f>
        <v>0.12</v>
      </c>
      <c r="J361" s="547">
        <f>IF(D361="Rəsmi gəlir",AA5,IF(D361="Qeyri rəsmi gəlir",AB5))</f>
        <v>0.16</v>
      </c>
      <c r="K361" s="547">
        <f>IF(D361="Rəsmi gəlir",AA6,IF(D361="Qeyri rəsmi gəlir",AB6))</f>
        <v>0.2</v>
      </c>
      <c r="L361" s="547">
        <f>IF(D361="Rəsmi gəlir",AA7,IF(D361="Qeyri rəsmi gəlir",AB7))</f>
        <v>0.23</v>
      </c>
      <c r="M361" s="547">
        <f>IF(D361="Rəsmi gəlir",AA8,IF(D361="Qeyri rəsmi gəlir",AB8))</f>
        <v>0.25600000000000001</v>
      </c>
      <c r="N361" s="547">
        <f>IF(D361="Rəsmi gəlir",AA9,IF(D361="Qeyri rəsmi gəlir",AB9))</f>
        <v>0.28550000000000003</v>
      </c>
      <c r="O361" s="547">
        <f>IF(D361="Rəsmi gəlir",AA10,IF(D361="Qeyri rəsmi gəlir",AB10))</f>
        <v>0</v>
      </c>
      <c r="P361" s="547" t="b">
        <f t="shared" si="30"/>
        <v>0</v>
      </c>
      <c r="Q361" s="548">
        <f t="shared" si="31"/>
        <v>0</v>
      </c>
      <c r="R361" s="543" t="str">
        <f t="shared" si="33"/>
        <v>-</v>
      </c>
      <c r="S361" s="549"/>
      <c r="T361" s="543" t="e">
        <f t="shared" si="34"/>
        <v>#VALUE!</v>
      </c>
      <c r="U361" s="548" t="e">
        <f t="shared" si="32"/>
        <v>#VALUE!</v>
      </c>
      <c r="V361" s="548" t="e">
        <f t="shared" si="35"/>
        <v>#VALUE!</v>
      </c>
      <c r="W361" s="544"/>
      <c r="X361" s="556"/>
    </row>
    <row r="362" spans="1:24">
      <c r="A362" s="552">
        <v>360</v>
      </c>
      <c r="B362" s="560"/>
      <c r="C362" s="554"/>
      <c r="D362" s="544" t="s">
        <v>799</v>
      </c>
      <c r="E362" s="555"/>
      <c r="F362" s="545">
        <f>E362-(E362*Z13)</f>
        <v>0</v>
      </c>
      <c r="G362" s="546"/>
      <c r="H362" s="547">
        <f>IF(D362="Rəsmi gəlir",AA3,IF(D362="Qeyri rəsmi gəlir",AB3))</f>
        <v>7.0000000000000007E-2</v>
      </c>
      <c r="I362" s="547">
        <f>IF(D362="Rəsmi gəlir",AA4,IF(D362="Qeyri rəsmi gəlir",AB4))</f>
        <v>0.12</v>
      </c>
      <c r="J362" s="547">
        <f>IF(D362="Rəsmi gəlir",AA5,IF(D362="Qeyri rəsmi gəlir",AB5))</f>
        <v>0.16</v>
      </c>
      <c r="K362" s="547">
        <f>IF(D362="Rəsmi gəlir",AA6,IF(D362="Qeyri rəsmi gəlir",AB6))</f>
        <v>0.2</v>
      </c>
      <c r="L362" s="547">
        <f>IF(D362="Rəsmi gəlir",AA7,IF(D362="Qeyri rəsmi gəlir",AB7))</f>
        <v>0.23</v>
      </c>
      <c r="M362" s="547">
        <f>IF(D362="Rəsmi gəlir",AA8,IF(D362="Qeyri rəsmi gəlir",AB8))</f>
        <v>0.25600000000000001</v>
      </c>
      <c r="N362" s="547">
        <f>IF(D362="Rəsmi gəlir",AA9,IF(D362="Qeyri rəsmi gəlir",AB9))</f>
        <v>0.28550000000000003</v>
      </c>
      <c r="O362" s="547">
        <f>IF(D362="Rəsmi gəlir",AA10,IF(D362="Qeyri rəsmi gəlir",AB10))</f>
        <v>0</v>
      </c>
      <c r="P362" s="547" t="b">
        <f t="shared" si="30"/>
        <v>0</v>
      </c>
      <c r="Q362" s="548">
        <f t="shared" si="31"/>
        <v>0</v>
      </c>
      <c r="R362" s="543" t="str">
        <f t="shared" si="33"/>
        <v>-</v>
      </c>
      <c r="S362" s="549"/>
      <c r="T362" s="543" t="e">
        <f t="shared" si="34"/>
        <v>#VALUE!</v>
      </c>
      <c r="U362" s="548" t="e">
        <f t="shared" si="32"/>
        <v>#VALUE!</v>
      </c>
      <c r="V362" s="548" t="e">
        <f t="shared" si="35"/>
        <v>#VALUE!</v>
      </c>
      <c r="W362" s="544"/>
      <c r="X362" s="556"/>
    </row>
    <row r="363" spans="1:24">
      <c r="A363" s="552">
        <v>361</v>
      </c>
      <c r="B363" s="560"/>
      <c r="C363" s="554"/>
      <c r="D363" s="544" t="s">
        <v>799</v>
      </c>
      <c r="E363" s="555"/>
      <c r="F363" s="545">
        <f>E363-(E363*Z13)</f>
        <v>0</v>
      </c>
      <c r="G363" s="546"/>
      <c r="H363" s="547">
        <f>IF(D363="Rəsmi gəlir",AA3,IF(D363="Qeyri rəsmi gəlir",AB3))</f>
        <v>7.0000000000000007E-2</v>
      </c>
      <c r="I363" s="547">
        <f>IF(D363="Rəsmi gəlir",AA4,IF(D363="Qeyri rəsmi gəlir",AB4))</f>
        <v>0.12</v>
      </c>
      <c r="J363" s="547">
        <f>IF(D363="Rəsmi gəlir",AA5,IF(D363="Qeyri rəsmi gəlir",AB5))</f>
        <v>0.16</v>
      </c>
      <c r="K363" s="547">
        <f>IF(D363="Rəsmi gəlir",AA6,IF(D363="Qeyri rəsmi gəlir",AB6))</f>
        <v>0.2</v>
      </c>
      <c r="L363" s="547">
        <f>IF(D363="Rəsmi gəlir",AA7,IF(D363="Qeyri rəsmi gəlir",AB7))</f>
        <v>0.23</v>
      </c>
      <c r="M363" s="547">
        <f>IF(D363="Rəsmi gəlir",AA8,IF(D363="Qeyri rəsmi gəlir",AB8))</f>
        <v>0.25600000000000001</v>
      </c>
      <c r="N363" s="547">
        <f>IF(D363="Rəsmi gəlir",AA9,IF(D363="Qeyri rəsmi gəlir",AB9))</f>
        <v>0.28550000000000003</v>
      </c>
      <c r="O363" s="547">
        <f>IF(D363="Rəsmi gəlir",AA10,IF(D363="Qeyri rəsmi gəlir",AB10))</f>
        <v>0</v>
      </c>
      <c r="P363" s="547" t="b">
        <f t="shared" si="30"/>
        <v>0</v>
      </c>
      <c r="Q363" s="548">
        <f t="shared" si="31"/>
        <v>0</v>
      </c>
      <c r="R363" s="543" t="str">
        <f t="shared" si="33"/>
        <v>-</v>
      </c>
      <c r="S363" s="549"/>
      <c r="T363" s="543" t="e">
        <f t="shared" si="34"/>
        <v>#VALUE!</v>
      </c>
      <c r="U363" s="548" t="e">
        <f t="shared" si="32"/>
        <v>#VALUE!</v>
      </c>
      <c r="V363" s="548" t="e">
        <f t="shared" si="35"/>
        <v>#VALUE!</v>
      </c>
      <c r="W363" s="544"/>
      <c r="X363" s="556"/>
    </row>
    <row r="364" spans="1:24">
      <c r="A364" s="552">
        <v>362</v>
      </c>
      <c r="B364" s="560"/>
      <c r="C364" s="554"/>
      <c r="D364" s="544" t="s">
        <v>799</v>
      </c>
      <c r="E364" s="555"/>
      <c r="F364" s="545">
        <f>E364-(E364*Z13)</f>
        <v>0</v>
      </c>
      <c r="G364" s="546"/>
      <c r="H364" s="547">
        <f>IF(D364="Rəsmi gəlir",AA3,IF(D364="Qeyri rəsmi gəlir",AB3))</f>
        <v>7.0000000000000007E-2</v>
      </c>
      <c r="I364" s="547">
        <f>IF(D364="Rəsmi gəlir",AA4,IF(D364="Qeyri rəsmi gəlir",AB4))</f>
        <v>0.12</v>
      </c>
      <c r="J364" s="547">
        <f>IF(D364="Rəsmi gəlir",AA5,IF(D364="Qeyri rəsmi gəlir",AB5))</f>
        <v>0.16</v>
      </c>
      <c r="K364" s="547">
        <f>IF(D364="Rəsmi gəlir",AA6,IF(D364="Qeyri rəsmi gəlir",AB6))</f>
        <v>0.2</v>
      </c>
      <c r="L364" s="547">
        <f>IF(D364="Rəsmi gəlir",AA7,IF(D364="Qeyri rəsmi gəlir",AB7))</f>
        <v>0.23</v>
      </c>
      <c r="M364" s="547">
        <f>IF(D364="Rəsmi gəlir",AA8,IF(D364="Qeyri rəsmi gəlir",AB8))</f>
        <v>0.25600000000000001</v>
      </c>
      <c r="N364" s="547">
        <f>IF(D364="Rəsmi gəlir",AA9,IF(D364="Qeyri rəsmi gəlir",AB9))</f>
        <v>0.28550000000000003</v>
      </c>
      <c r="O364" s="547">
        <f>IF(D364="Rəsmi gəlir",AA10,IF(D364="Qeyri rəsmi gəlir",AB10))</f>
        <v>0</v>
      </c>
      <c r="P364" s="547" t="b">
        <f t="shared" si="30"/>
        <v>0</v>
      </c>
      <c r="Q364" s="548">
        <f t="shared" si="31"/>
        <v>0</v>
      </c>
      <c r="R364" s="543" t="str">
        <f t="shared" si="33"/>
        <v>-</v>
      </c>
      <c r="S364" s="549"/>
      <c r="T364" s="543" t="e">
        <f t="shared" si="34"/>
        <v>#VALUE!</v>
      </c>
      <c r="U364" s="548" t="e">
        <f t="shared" si="32"/>
        <v>#VALUE!</v>
      </c>
      <c r="V364" s="548" t="e">
        <f t="shared" si="35"/>
        <v>#VALUE!</v>
      </c>
      <c r="W364" s="544"/>
      <c r="X364" s="556"/>
    </row>
    <row r="365" spans="1:24">
      <c r="A365" s="552">
        <v>363</v>
      </c>
      <c r="B365" s="560"/>
      <c r="C365" s="554"/>
      <c r="D365" s="544" t="s">
        <v>799</v>
      </c>
      <c r="E365" s="555"/>
      <c r="F365" s="545">
        <f>E365-(E365*Z13)</f>
        <v>0</v>
      </c>
      <c r="G365" s="546"/>
      <c r="H365" s="547">
        <f>IF(D365="Rəsmi gəlir",AA3,IF(D365="Qeyri rəsmi gəlir",AB3))</f>
        <v>7.0000000000000007E-2</v>
      </c>
      <c r="I365" s="547">
        <f>IF(D365="Rəsmi gəlir",AA4,IF(D365="Qeyri rəsmi gəlir",AB4))</f>
        <v>0.12</v>
      </c>
      <c r="J365" s="547">
        <f>IF(D365="Rəsmi gəlir",AA5,IF(D365="Qeyri rəsmi gəlir",AB5))</f>
        <v>0.16</v>
      </c>
      <c r="K365" s="547">
        <f>IF(D365="Rəsmi gəlir",AA6,IF(D365="Qeyri rəsmi gəlir",AB6))</f>
        <v>0.2</v>
      </c>
      <c r="L365" s="547">
        <f>IF(D365="Rəsmi gəlir",AA7,IF(D365="Qeyri rəsmi gəlir",AB7))</f>
        <v>0.23</v>
      </c>
      <c r="M365" s="547">
        <f>IF(D365="Rəsmi gəlir",AA8,IF(D365="Qeyri rəsmi gəlir",AB8))</f>
        <v>0.25600000000000001</v>
      </c>
      <c r="N365" s="547">
        <f>IF(D365="Rəsmi gəlir",AA9,IF(D365="Qeyri rəsmi gəlir",AB9))</f>
        <v>0.28550000000000003</v>
      </c>
      <c r="O365" s="547">
        <f>IF(D365="Rəsmi gəlir",AA10,IF(D365="Qeyri rəsmi gəlir",AB10))</f>
        <v>0</v>
      </c>
      <c r="P365" s="547" t="b">
        <f t="shared" si="30"/>
        <v>0</v>
      </c>
      <c r="Q365" s="548">
        <f t="shared" si="31"/>
        <v>0</v>
      </c>
      <c r="R365" s="543" t="str">
        <f t="shared" si="33"/>
        <v>-</v>
      </c>
      <c r="S365" s="549"/>
      <c r="T365" s="543" t="e">
        <f t="shared" si="34"/>
        <v>#VALUE!</v>
      </c>
      <c r="U365" s="548" t="e">
        <f t="shared" si="32"/>
        <v>#VALUE!</v>
      </c>
      <c r="V365" s="548" t="e">
        <f t="shared" si="35"/>
        <v>#VALUE!</v>
      </c>
      <c r="W365" s="544"/>
      <c r="X365" s="556"/>
    </row>
    <row r="366" spans="1:24">
      <c r="A366" s="552">
        <v>364</v>
      </c>
      <c r="B366" s="560"/>
      <c r="C366" s="554"/>
      <c r="D366" s="544" t="s">
        <v>799</v>
      </c>
      <c r="E366" s="555"/>
      <c r="F366" s="545">
        <f>E366-(E366*Z13)</f>
        <v>0</v>
      </c>
      <c r="G366" s="546"/>
      <c r="H366" s="547">
        <f>IF(D366="Rəsmi gəlir",AA3,IF(D366="Qeyri rəsmi gəlir",AB3))</f>
        <v>7.0000000000000007E-2</v>
      </c>
      <c r="I366" s="547">
        <f>IF(D366="Rəsmi gəlir",AA4,IF(D366="Qeyri rəsmi gəlir",AB4))</f>
        <v>0.12</v>
      </c>
      <c r="J366" s="547">
        <f>IF(D366="Rəsmi gəlir",AA5,IF(D366="Qeyri rəsmi gəlir",AB5))</f>
        <v>0.16</v>
      </c>
      <c r="K366" s="547">
        <f>IF(D366="Rəsmi gəlir",AA6,IF(D366="Qeyri rəsmi gəlir",AB6))</f>
        <v>0.2</v>
      </c>
      <c r="L366" s="547">
        <f>IF(D366="Rəsmi gəlir",AA7,IF(D366="Qeyri rəsmi gəlir",AB7))</f>
        <v>0.23</v>
      </c>
      <c r="M366" s="547">
        <f>IF(D366="Rəsmi gəlir",AA8,IF(D366="Qeyri rəsmi gəlir",AB8))</f>
        <v>0.25600000000000001</v>
      </c>
      <c r="N366" s="547">
        <f>IF(D366="Rəsmi gəlir",AA9,IF(D366="Qeyri rəsmi gəlir",AB9))</f>
        <v>0.28550000000000003</v>
      </c>
      <c r="O366" s="547">
        <f>IF(D366="Rəsmi gəlir",AA10,IF(D366="Qeyri rəsmi gəlir",AB10))</f>
        <v>0</v>
      </c>
      <c r="P366" s="547" t="b">
        <f t="shared" si="30"/>
        <v>0</v>
      </c>
      <c r="Q366" s="548">
        <f t="shared" si="31"/>
        <v>0</v>
      </c>
      <c r="R366" s="543" t="str">
        <f t="shared" si="33"/>
        <v>-</v>
      </c>
      <c r="S366" s="549"/>
      <c r="T366" s="543" t="e">
        <f t="shared" si="34"/>
        <v>#VALUE!</v>
      </c>
      <c r="U366" s="548" t="e">
        <f t="shared" si="32"/>
        <v>#VALUE!</v>
      </c>
      <c r="V366" s="548" t="e">
        <f t="shared" si="35"/>
        <v>#VALUE!</v>
      </c>
      <c r="W366" s="544"/>
      <c r="X366" s="556"/>
    </row>
    <row r="367" spans="1:24">
      <c r="A367" s="552">
        <v>365</v>
      </c>
      <c r="B367" s="560"/>
      <c r="C367" s="554"/>
      <c r="D367" s="544" t="s">
        <v>799</v>
      </c>
      <c r="E367" s="555"/>
      <c r="F367" s="545">
        <f>E367-(E367*Z13)</f>
        <v>0</v>
      </c>
      <c r="G367" s="546"/>
      <c r="H367" s="547">
        <f>IF(D367="Rəsmi gəlir",AA3,IF(D367="Qeyri rəsmi gəlir",AB3))</f>
        <v>7.0000000000000007E-2</v>
      </c>
      <c r="I367" s="547">
        <f>IF(D367="Rəsmi gəlir",AA4,IF(D367="Qeyri rəsmi gəlir",AB4))</f>
        <v>0.12</v>
      </c>
      <c r="J367" s="547">
        <f>IF(D367="Rəsmi gəlir",AA5,IF(D367="Qeyri rəsmi gəlir",AB5))</f>
        <v>0.16</v>
      </c>
      <c r="K367" s="547">
        <f>IF(D367="Rəsmi gəlir",AA6,IF(D367="Qeyri rəsmi gəlir",AB6))</f>
        <v>0.2</v>
      </c>
      <c r="L367" s="547">
        <f>IF(D367="Rəsmi gəlir",AA7,IF(D367="Qeyri rəsmi gəlir",AB7))</f>
        <v>0.23</v>
      </c>
      <c r="M367" s="547">
        <f>IF(D367="Rəsmi gəlir",AA8,IF(D367="Qeyri rəsmi gəlir",AB8))</f>
        <v>0.25600000000000001</v>
      </c>
      <c r="N367" s="547">
        <f>IF(D367="Rəsmi gəlir",AA9,IF(D367="Qeyri rəsmi gəlir",AB9))</f>
        <v>0.28550000000000003</v>
      </c>
      <c r="O367" s="547">
        <f>IF(D367="Rəsmi gəlir",AA10,IF(D367="Qeyri rəsmi gəlir",AB10))</f>
        <v>0</v>
      </c>
      <c r="P367" s="547" t="b">
        <f t="shared" si="30"/>
        <v>0</v>
      </c>
      <c r="Q367" s="548">
        <f t="shared" si="31"/>
        <v>0</v>
      </c>
      <c r="R367" s="543" t="str">
        <f t="shared" si="33"/>
        <v>-</v>
      </c>
      <c r="S367" s="549"/>
      <c r="T367" s="543" t="e">
        <f t="shared" si="34"/>
        <v>#VALUE!</v>
      </c>
      <c r="U367" s="548" t="e">
        <f t="shared" si="32"/>
        <v>#VALUE!</v>
      </c>
      <c r="V367" s="548" t="e">
        <f t="shared" si="35"/>
        <v>#VALUE!</v>
      </c>
      <c r="W367" s="544"/>
      <c r="X367" s="556"/>
    </row>
    <row r="368" spans="1:24">
      <c r="A368" s="552">
        <v>366</v>
      </c>
      <c r="B368" s="560"/>
      <c r="C368" s="554"/>
      <c r="D368" s="544" t="s">
        <v>799</v>
      </c>
      <c r="E368" s="555"/>
      <c r="F368" s="545">
        <f>E368-(E368*Z13)</f>
        <v>0</v>
      </c>
      <c r="G368" s="546"/>
      <c r="H368" s="547">
        <f>IF(D368="Rəsmi gəlir",AA3,IF(D368="Qeyri rəsmi gəlir",AB3))</f>
        <v>7.0000000000000007E-2</v>
      </c>
      <c r="I368" s="547">
        <f>IF(D368="Rəsmi gəlir",AA4,IF(D368="Qeyri rəsmi gəlir",AB4))</f>
        <v>0.12</v>
      </c>
      <c r="J368" s="547">
        <f>IF(D368="Rəsmi gəlir",AA5,IF(D368="Qeyri rəsmi gəlir",AB5))</f>
        <v>0.16</v>
      </c>
      <c r="K368" s="547">
        <f>IF(D368="Rəsmi gəlir",AA6,IF(D368="Qeyri rəsmi gəlir",AB6))</f>
        <v>0.2</v>
      </c>
      <c r="L368" s="547">
        <f>IF(D368="Rəsmi gəlir",AA7,IF(D368="Qeyri rəsmi gəlir",AB7))</f>
        <v>0.23</v>
      </c>
      <c r="M368" s="547">
        <f>IF(D368="Rəsmi gəlir",AA8,IF(D368="Qeyri rəsmi gəlir",AB8))</f>
        <v>0.25600000000000001</v>
      </c>
      <c r="N368" s="547">
        <f>IF(D368="Rəsmi gəlir",AA9,IF(D368="Qeyri rəsmi gəlir",AB9))</f>
        <v>0.28550000000000003</v>
      </c>
      <c r="O368" s="547">
        <f>IF(D368="Rəsmi gəlir",AA10,IF(D368="Qeyri rəsmi gəlir",AB10))</f>
        <v>0</v>
      </c>
      <c r="P368" s="547" t="b">
        <f t="shared" si="30"/>
        <v>0</v>
      </c>
      <c r="Q368" s="548">
        <f t="shared" si="31"/>
        <v>0</v>
      </c>
      <c r="R368" s="543" t="str">
        <f t="shared" si="33"/>
        <v>-</v>
      </c>
      <c r="S368" s="549"/>
      <c r="T368" s="543" t="e">
        <f t="shared" si="34"/>
        <v>#VALUE!</v>
      </c>
      <c r="U368" s="548" t="e">
        <f t="shared" si="32"/>
        <v>#VALUE!</v>
      </c>
      <c r="V368" s="548" t="e">
        <f t="shared" si="35"/>
        <v>#VALUE!</v>
      </c>
      <c r="W368" s="544"/>
      <c r="X368" s="556"/>
    </row>
    <row r="369" spans="1:24">
      <c r="A369" s="552">
        <v>367</v>
      </c>
      <c r="B369" s="560"/>
      <c r="C369" s="554"/>
      <c r="D369" s="544" t="s">
        <v>799</v>
      </c>
      <c r="E369" s="555"/>
      <c r="F369" s="545">
        <f>E369-(E369*Z13)</f>
        <v>0</v>
      </c>
      <c r="G369" s="546"/>
      <c r="H369" s="547">
        <f>IF(D369="Rəsmi gəlir",AA3,IF(D369="Qeyri rəsmi gəlir",AB3))</f>
        <v>7.0000000000000007E-2</v>
      </c>
      <c r="I369" s="547">
        <f>IF(D369="Rəsmi gəlir",AA4,IF(D369="Qeyri rəsmi gəlir",AB4))</f>
        <v>0.12</v>
      </c>
      <c r="J369" s="547">
        <f>IF(D369="Rəsmi gəlir",AA5,IF(D369="Qeyri rəsmi gəlir",AB5))</f>
        <v>0.16</v>
      </c>
      <c r="K369" s="547">
        <f>IF(D369="Rəsmi gəlir",AA6,IF(D369="Qeyri rəsmi gəlir",AB6))</f>
        <v>0.2</v>
      </c>
      <c r="L369" s="547">
        <f>IF(D369="Rəsmi gəlir",AA7,IF(D369="Qeyri rəsmi gəlir",AB7))</f>
        <v>0.23</v>
      </c>
      <c r="M369" s="547">
        <f>IF(D369="Rəsmi gəlir",AA8,IF(D369="Qeyri rəsmi gəlir",AB8))</f>
        <v>0.25600000000000001</v>
      </c>
      <c r="N369" s="547">
        <f>IF(D369="Rəsmi gəlir",AA9,IF(D369="Qeyri rəsmi gəlir",AB9))</f>
        <v>0.28550000000000003</v>
      </c>
      <c r="O369" s="547">
        <f>IF(D369="Rəsmi gəlir",AA10,IF(D369="Qeyri rəsmi gəlir",AB10))</f>
        <v>0</v>
      </c>
      <c r="P369" s="547" t="b">
        <f t="shared" si="30"/>
        <v>0</v>
      </c>
      <c r="Q369" s="548">
        <f t="shared" si="31"/>
        <v>0</v>
      </c>
      <c r="R369" s="543" t="str">
        <f t="shared" si="33"/>
        <v>-</v>
      </c>
      <c r="S369" s="549"/>
      <c r="T369" s="543" t="e">
        <f t="shared" si="34"/>
        <v>#VALUE!</v>
      </c>
      <c r="U369" s="548" t="e">
        <f t="shared" si="32"/>
        <v>#VALUE!</v>
      </c>
      <c r="V369" s="548" t="e">
        <f t="shared" si="35"/>
        <v>#VALUE!</v>
      </c>
      <c r="W369" s="544"/>
      <c r="X369" s="556"/>
    </row>
    <row r="370" spans="1:24">
      <c r="A370" s="552">
        <v>368</v>
      </c>
      <c r="B370" s="560"/>
      <c r="C370" s="554"/>
      <c r="D370" s="544" t="s">
        <v>799</v>
      </c>
      <c r="E370" s="555"/>
      <c r="F370" s="545">
        <f>E370-(E370*Z13)</f>
        <v>0</v>
      </c>
      <c r="G370" s="546"/>
      <c r="H370" s="547">
        <f>IF(D370="Rəsmi gəlir",AA3,IF(D370="Qeyri rəsmi gəlir",AB3))</f>
        <v>7.0000000000000007E-2</v>
      </c>
      <c r="I370" s="547">
        <f>IF(D370="Rəsmi gəlir",AA4,IF(D370="Qeyri rəsmi gəlir",AB4))</f>
        <v>0.12</v>
      </c>
      <c r="J370" s="547">
        <f>IF(D370="Rəsmi gəlir",AA5,IF(D370="Qeyri rəsmi gəlir",AB5))</f>
        <v>0.16</v>
      </c>
      <c r="K370" s="547">
        <f>IF(D370="Rəsmi gəlir",AA6,IF(D370="Qeyri rəsmi gəlir",AB6))</f>
        <v>0.2</v>
      </c>
      <c r="L370" s="547">
        <f>IF(D370="Rəsmi gəlir",AA7,IF(D370="Qeyri rəsmi gəlir",AB7))</f>
        <v>0.23</v>
      </c>
      <c r="M370" s="547">
        <f>IF(D370="Rəsmi gəlir",AA8,IF(D370="Qeyri rəsmi gəlir",AB8))</f>
        <v>0.25600000000000001</v>
      </c>
      <c r="N370" s="547">
        <f>IF(D370="Rəsmi gəlir",AA9,IF(D370="Qeyri rəsmi gəlir",AB9))</f>
        <v>0.28550000000000003</v>
      </c>
      <c r="O370" s="547">
        <f>IF(D370="Rəsmi gəlir",AA10,IF(D370="Qeyri rəsmi gəlir",AB10))</f>
        <v>0</v>
      </c>
      <c r="P370" s="547" t="b">
        <f t="shared" si="30"/>
        <v>0</v>
      </c>
      <c r="Q370" s="548">
        <f t="shared" si="31"/>
        <v>0</v>
      </c>
      <c r="R370" s="543" t="str">
        <f t="shared" si="33"/>
        <v>-</v>
      </c>
      <c r="S370" s="549"/>
      <c r="T370" s="543" t="e">
        <f t="shared" si="34"/>
        <v>#VALUE!</v>
      </c>
      <c r="U370" s="548" t="e">
        <f t="shared" si="32"/>
        <v>#VALUE!</v>
      </c>
      <c r="V370" s="548" t="e">
        <f t="shared" si="35"/>
        <v>#VALUE!</v>
      </c>
      <c r="W370" s="544"/>
      <c r="X370" s="556"/>
    </row>
    <row r="371" spans="1:24">
      <c r="A371" s="552">
        <v>369</v>
      </c>
      <c r="B371" s="560"/>
      <c r="C371" s="554"/>
      <c r="D371" s="544" t="s">
        <v>799</v>
      </c>
      <c r="E371" s="555"/>
      <c r="F371" s="545">
        <f>E371-(E371*Z13)</f>
        <v>0</v>
      </c>
      <c r="G371" s="546"/>
      <c r="H371" s="547">
        <f>IF(D371="Rəsmi gəlir",AA3,IF(D371="Qeyri rəsmi gəlir",AB3))</f>
        <v>7.0000000000000007E-2</v>
      </c>
      <c r="I371" s="547">
        <f>IF(D371="Rəsmi gəlir",AA4,IF(D371="Qeyri rəsmi gəlir",AB4))</f>
        <v>0.12</v>
      </c>
      <c r="J371" s="547">
        <f>IF(D371="Rəsmi gəlir",AA5,IF(D371="Qeyri rəsmi gəlir",AB5))</f>
        <v>0.16</v>
      </c>
      <c r="K371" s="547">
        <f>IF(D371="Rəsmi gəlir",AA6,IF(D371="Qeyri rəsmi gəlir",AB6))</f>
        <v>0.2</v>
      </c>
      <c r="L371" s="547">
        <f>IF(D371="Rəsmi gəlir",AA7,IF(D371="Qeyri rəsmi gəlir",AB7))</f>
        <v>0.23</v>
      </c>
      <c r="M371" s="547">
        <f>IF(D371="Rəsmi gəlir",AA8,IF(D371="Qeyri rəsmi gəlir",AB8))</f>
        <v>0.25600000000000001</v>
      </c>
      <c r="N371" s="547">
        <f>IF(D371="Rəsmi gəlir",AA9,IF(D371="Qeyri rəsmi gəlir",AB9))</f>
        <v>0.28550000000000003</v>
      </c>
      <c r="O371" s="547">
        <f>IF(D371="Rəsmi gəlir",AA10,IF(D371="Qeyri rəsmi gəlir",AB10))</f>
        <v>0</v>
      </c>
      <c r="P371" s="547" t="b">
        <f t="shared" si="30"/>
        <v>0</v>
      </c>
      <c r="Q371" s="548">
        <f t="shared" si="31"/>
        <v>0</v>
      </c>
      <c r="R371" s="543" t="str">
        <f t="shared" si="33"/>
        <v>-</v>
      </c>
      <c r="S371" s="549"/>
      <c r="T371" s="543" t="e">
        <f t="shared" si="34"/>
        <v>#VALUE!</v>
      </c>
      <c r="U371" s="548" t="e">
        <f t="shared" si="32"/>
        <v>#VALUE!</v>
      </c>
      <c r="V371" s="548" t="e">
        <f t="shared" si="35"/>
        <v>#VALUE!</v>
      </c>
      <c r="W371" s="544"/>
      <c r="X371" s="556"/>
    </row>
    <row r="372" spans="1:24">
      <c r="A372" s="552">
        <v>370</v>
      </c>
      <c r="B372" s="560"/>
      <c r="C372" s="554"/>
      <c r="D372" s="544" t="s">
        <v>799</v>
      </c>
      <c r="E372" s="555"/>
      <c r="F372" s="545">
        <f>E372-(E372*Z13)</f>
        <v>0</v>
      </c>
      <c r="G372" s="546"/>
      <c r="H372" s="547">
        <f>IF(D372="Rəsmi gəlir",AA3,IF(D372="Qeyri rəsmi gəlir",AB3))</f>
        <v>7.0000000000000007E-2</v>
      </c>
      <c r="I372" s="547">
        <f>IF(D372="Rəsmi gəlir",AA4,IF(D372="Qeyri rəsmi gəlir",AB4))</f>
        <v>0.12</v>
      </c>
      <c r="J372" s="547">
        <f>IF(D372="Rəsmi gəlir",AA5,IF(D372="Qeyri rəsmi gəlir",AB5))</f>
        <v>0.16</v>
      </c>
      <c r="K372" s="547">
        <f>IF(D372="Rəsmi gəlir",AA6,IF(D372="Qeyri rəsmi gəlir",AB6))</f>
        <v>0.2</v>
      </c>
      <c r="L372" s="547">
        <f>IF(D372="Rəsmi gəlir",AA7,IF(D372="Qeyri rəsmi gəlir",AB7))</f>
        <v>0.23</v>
      </c>
      <c r="M372" s="547">
        <f>IF(D372="Rəsmi gəlir",AA8,IF(D372="Qeyri rəsmi gəlir",AB8))</f>
        <v>0.25600000000000001</v>
      </c>
      <c r="N372" s="547">
        <f>IF(D372="Rəsmi gəlir",AA9,IF(D372="Qeyri rəsmi gəlir",AB9))</f>
        <v>0.28550000000000003</v>
      </c>
      <c r="O372" s="547">
        <f>IF(D372="Rəsmi gəlir",AA10,IF(D372="Qeyri rəsmi gəlir",AB10))</f>
        <v>0</v>
      </c>
      <c r="P372" s="547" t="b">
        <f t="shared" si="30"/>
        <v>0</v>
      </c>
      <c r="Q372" s="548">
        <f t="shared" si="31"/>
        <v>0</v>
      </c>
      <c r="R372" s="543" t="str">
        <f t="shared" si="33"/>
        <v>-</v>
      </c>
      <c r="S372" s="549"/>
      <c r="T372" s="543" t="e">
        <f t="shared" si="34"/>
        <v>#VALUE!</v>
      </c>
      <c r="U372" s="548" t="e">
        <f t="shared" si="32"/>
        <v>#VALUE!</v>
      </c>
      <c r="V372" s="548" t="e">
        <f t="shared" si="35"/>
        <v>#VALUE!</v>
      </c>
      <c r="W372" s="544"/>
      <c r="X372" s="556"/>
    </row>
    <row r="373" spans="1:24">
      <c r="A373" s="552">
        <v>371</v>
      </c>
      <c r="B373" s="560"/>
      <c r="C373" s="554"/>
      <c r="D373" s="544" t="s">
        <v>799</v>
      </c>
      <c r="E373" s="555"/>
      <c r="F373" s="545">
        <f>E373-(E373*Z13)</f>
        <v>0</v>
      </c>
      <c r="G373" s="546"/>
      <c r="H373" s="547">
        <f>IF(D373="Rəsmi gəlir",AA3,IF(D373="Qeyri rəsmi gəlir",AB3))</f>
        <v>7.0000000000000007E-2</v>
      </c>
      <c r="I373" s="547">
        <f>IF(D373="Rəsmi gəlir",AA4,IF(D373="Qeyri rəsmi gəlir",AB4))</f>
        <v>0.12</v>
      </c>
      <c r="J373" s="547">
        <f>IF(D373="Rəsmi gəlir",AA5,IF(D373="Qeyri rəsmi gəlir",AB5))</f>
        <v>0.16</v>
      </c>
      <c r="K373" s="547">
        <f>IF(D373="Rəsmi gəlir",AA6,IF(D373="Qeyri rəsmi gəlir",AB6))</f>
        <v>0.2</v>
      </c>
      <c r="L373" s="547">
        <f>IF(D373="Rəsmi gəlir",AA7,IF(D373="Qeyri rəsmi gəlir",AB7))</f>
        <v>0.23</v>
      </c>
      <c r="M373" s="547">
        <f>IF(D373="Rəsmi gəlir",AA8,IF(D373="Qeyri rəsmi gəlir",AB8))</f>
        <v>0.25600000000000001</v>
      </c>
      <c r="N373" s="547">
        <f>IF(D373="Rəsmi gəlir",AA9,IF(D373="Qeyri rəsmi gəlir",AB9))</f>
        <v>0.28550000000000003</v>
      </c>
      <c r="O373" s="547">
        <f>IF(D373="Rəsmi gəlir",AA10,IF(D373="Qeyri rəsmi gəlir",AB10))</f>
        <v>0</v>
      </c>
      <c r="P373" s="547" t="b">
        <f t="shared" si="30"/>
        <v>0</v>
      </c>
      <c r="Q373" s="548">
        <f t="shared" si="31"/>
        <v>0</v>
      </c>
      <c r="R373" s="543" t="str">
        <f t="shared" si="33"/>
        <v>-</v>
      </c>
      <c r="S373" s="549"/>
      <c r="T373" s="543" t="e">
        <f t="shared" si="34"/>
        <v>#VALUE!</v>
      </c>
      <c r="U373" s="548" t="e">
        <f t="shared" si="32"/>
        <v>#VALUE!</v>
      </c>
      <c r="V373" s="548" t="e">
        <f t="shared" si="35"/>
        <v>#VALUE!</v>
      </c>
      <c r="W373" s="544"/>
      <c r="X373" s="556"/>
    </row>
    <row r="374" spans="1:24">
      <c r="A374" s="552">
        <v>372</v>
      </c>
      <c r="B374" s="560"/>
      <c r="C374" s="554"/>
      <c r="D374" s="544" t="s">
        <v>799</v>
      </c>
      <c r="E374" s="555"/>
      <c r="F374" s="545">
        <f>E374-(E374*Z13)</f>
        <v>0</v>
      </c>
      <c r="G374" s="546"/>
      <c r="H374" s="547">
        <f>IF(D374="Rəsmi gəlir",AA3,IF(D374="Qeyri rəsmi gəlir",AB3))</f>
        <v>7.0000000000000007E-2</v>
      </c>
      <c r="I374" s="547">
        <f>IF(D374="Rəsmi gəlir",AA4,IF(D374="Qeyri rəsmi gəlir",AB4))</f>
        <v>0.12</v>
      </c>
      <c r="J374" s="547">
        <f>IF(D374="Rəsmi gəlir",AA5,IF(D374="Qeyri rəsmi gəlir",AB5))</f>
        <v>0.16</v>
      </c>
      <c r="K374" s="547">
        <f>IF(D374="Rəsmi gəlir",AA6,IF(D374="Qeyri rəsmi gəlir",AB6))</f>
        <v>0.2</v>
      </c>
      <c r="L374" s="547">
        <f>IF(D374="Rəsmi gəlir",AA7,IF(D374="Qeyri rəsmi gəlir",AB7))</f>
        <v>0.23</v>
      </c>
      <c r="M374" s="547">
        <f>IF(D374="Rəsmi gəlir",AA8,IF(D374="Qeyri rəsmi gəlir",AB8))</f>
        <v>0.25600000000000001</v>
      </c>
      <c r="N374" s="547">
        <f>IF(D374="Rəsmi gəlir",AA9,IF(D374="Qeyri rəsmi gəlir",AB9))</f>
        <v>0.28550000000000003</v>
      </c>
      <c r="O374" s="547">
        <f>IF(D374="Rəsmi gəlir",AA10,IF(D374="Qeyri rəsmi gəlir",AB10))</f>
        <v>0</v>
      </c>
      <c r="P374" s="547" t="b">
        <f t="shared" si="30"/>
        <v>0</v>
      </c>
      <c r="Q374" s="548">
        <f t="shared" si="31"/>
        <v>0</v>
      </c>
      <c r="R374" s="543" t="str">
        <f t="shared" si="33"/>
        <v>-</v>
      </c>
      <c r="S374" s="549"/>
      <c r="T374" s="543" t="e">
        <f t="shared" si="34"/>
        <v>#VALUE!</v>
      </c>
      <c r="U374" s="548" t="e">
        <f t="shared" si="32"/>
        <v>#VALUE!</v>
      </c>
      <c r="V374" s="548" t="e">
        <f t="shared" si="35"/>
        <v>#VALUE!</v>
      </c>
      <c r="W374" s="544"/>
      <c r="X374" s="556"/>
    </row>
    <row r="375" spans="1:24">
      <c r="A375" s="552">
        <v>373</v>
      </c>
      <c r="B375" s="560"/>
      <c r="C375" s="554"/>
      <c r="D375" s="544" t="s">
        <v>799</v>
      </c>
      <c r="E375" s="555"/>
      <c r="F375" s="545">
        <f>E375-(E375*Z13)</f>
        <v>0</v>
      </c>
      <c r="G375" s="546"/>
      <c r="H375" s="547">
        <f>IF(D375="Rəsmi gəlir",AA3,IF(D375="Qeyri rəsmi gəlir",AB3))</f>
        <v>7.0000000000000007E-2</v>
      </c>
      <c r="I375" s="547">
        <f>IF(D375="Rəsmi gəlir",AA4,IF(D375="Qeyri rəsmi gəlir",AB4))</f>
        <v>0.12</v>
      </c>
      <c r="J375" s="547">
        <f>IF(D375="Rəsmi gəlir",AA5,IF(D375="Qeyri rəsmi gəlir",AB5))</f>
        <v>0.16</v>
      </c>
      <c r="K375" s="547">
        <f>IF(D375="Rəsmi gəlir",AA6,IF(D375="Qeyri rəsmi gəlir",AB6))</f>
        <v>0.2</v>
      </c>
      <c r="L375" s="547">
        <f>IF(D375="Rəsmi gəlir",AA7,IF(D375="Qeyri rəsmi gəlir",AB7))</f>
        <v>0.23</v>
      </c>
      <c r="M375" s="547">
        <f>IF(D375="Rəsmi gəlir",AA8,IF(D375="Qeyri rəsmi gəlir",AB8))</f>
        <v>0.25600000000000001</v>
      </c>
      <c r="N375" s="547">
        <f>IF(D375="Rəsmi gəlir",AA9,IF(D375="Qeyri rəsmi gəlir",AB9))</f>
        <v>0.28550000000000003</v>
      </c>
      <c r="O375" s="547">
        <f>IF(D375="Rəsmi gəlir",AA10,IF(D375="Qeyri rəsmi gəlir",AB10))</f>
        <v>0</v>
      </c>
      <c r="P375" s="547" t="b">
        <f t="shared" si="30"/>
        <v>0</v>
      </c>
      <c r="Q375" s="548">
        <f t="shared" si="31"/>
        <v>0</v>
      </c>
      <c r="R375" s="543" t="str">
        <f t="shared" si="33"/>
        <v>-</v>
      </c>
      <c r="S375" s="549"/>
      <c r="T375" s="543" t="e">
        <f t="shared" si="34"/>
        <v>#VALUE!</v>
      </c>
      <c r="U375" s="548" t="e">
        <f t="shared" si="32"/>
        <v>#VALUE!</v>
      </c>
      <c r="V375" s="548" t="e">
        <f t="shared" si="35"/>
        <v>#VALUE!</v>
      </c>
      <c r="W375" s="544"/>
      <c r="X375" s="556"/>
    </row>
    <row r="376" spans="1:24">
      <c r="A376" s="552">
        <v>374</v>
      </c>
      <c r="B376" s="560"/>
      <c r="C376" s="554"/>
      <c r="D376" s="544" t="s">
        <v>799</v>
      </c>
      <c r="E376" s="555"/>
      <c r="F376" s="545">
        <f>E376-(E376*Z13)</f>
        <v>0</v>
      </c>
      <c r="G376" s="546"/>
      <c r="H376" s="547">
        <f>IF(D376="Rəsmi gəlir",AA3,IF(D376="Qeyri rəsmi gəlir",AB3))</f>
        <v>7.0000000000000007E-2</v>
      </c>
      <c r="I376" s="547">
        <f>IF(D376="Rəsmi gəlir",AA4,IF(D376="Qeyri rəsmi gəlir",AB4))</f>
        <v>0.12</v>
      </c>
      <c r="J376" s="547">
        <f>IF(D376="Rəsmi gəlir",AA5,IF(D376="Qeyri rəsmi gəlir",AB5))</f>
        <v>0.16</v>
      </c>
      <c r="K376" s="547">
        <f>IF(D376="Rəsmi gəlir",AA6,IF(D376="Qeyri rəsmi gəlir",AB6))</f>
        <v>0.2</v>
      </c>
      <c r="L376" s="547">
        <f>IF(D376="Rəsmi gəlir",AA7,IF(D376="Qeyri rəsmi gəlir",AB7))</f>
        <v>0.23</v>
      </c>
      <c r="M376" s="547">
        <f>IF(D376="Rəsmi gəlir",AA8,IF(D376="Qeyri rəsmi gəlir",AB8))</f>
        <v>0.25600000000000001</v>
      </c>
      <c r="N376" s="547">
        <f>IF(D376="Rəsmi gəlir",AA9,IF(D376="Qeyri rəsmi gəlir",AB9))</f>
        <v>0.28550000000000003</v>
      </c>
      <c r="O376" s="547">
        <f>IF(D376="Rəsmi gəlir",AA10,IF(D376="Qeyri rəsmi gəlir",AB10))</f>
        <v>0</v>
      </c>
      <c r="P376" s="547" t="b">
        <f t="shared" si="30"/>
        <v>0</v>
      </c>
      <c r="Q376" s="548">
        <f t="shared" si="31"/>
        <v>0</v>
      </c>
      <c r="R376" s="543" t="str">
        <f t="shared" si="33"/>
        <v>-</v>
      </c>
      <c r="S376" s="549"/>
      <c r="T376" s="543" t="e">
        <f t="shared" si="34"/>
        <v>#VALUE!</v>
      </c>
      <c r="U376" s="548" t="e">
        <f t="shared" si="32"/>
        <v>#VALUE!</v>
      </c>
      <c r="V376" s="548" t="e">
        <f t="shared" si="35"/>
        <v>#VALUE!</v>
      </c>
      <c r="W376" s="544"/>
      <c r="X376" s="556"/>
    </row>
    <row r="377" spans="1:24">
      <c r="A377" s="552">
        <v>375</v>
      </c>
      <c r="B377" s="560"/>
      <c r="C377" s="554"/>
      <c r="D377" s="544" t="s">
        <v>799</v>
      </c>
      <c r="E377" s="555"/>
      <c r="F377" s="545">
        <f>E377-(E377*Z13)</f>
        <v>0</v>
      </c>
      <c r="G377" s="546"/>
      <c r="H377" s="547">
        <f>IF(D377="Rəsmi gəlir",AA3,IF(D377="Qeyri rəsmi gəlir",AB3))</f>
        <v>7.0000000000000007E-2</v>
      </c>
      <c r="I377" s="547">
        <f>IF(D377="Rəsmi gəlir",AA4,IF(D377="Qeyri rəsmi gəlir",AB4))</f>
        <v>0.12</v>
      </c>
      <c r="J377" s="547">
        <f>IF(D377="Rəsmi gəlir",AA5,IF(D377="Qeyri rəsmi gəlir",AB5))</f>
        <v>0.16</v>
      </c>
      <c r="K377" s="547">
        <f>IF(D377="Rəsmi gəlir",AA6,IF(D377="Qeyri rəsmi gəlir",AB6))</f>
        <v>0.2</v>
      </c>
      <c r="L377" s="547">
        <f>IF(D377="Rəsmi gəlir",AA7,IF(D377="Qeyri rəsmi gəlir",AB7))</f>
        <v>0.23</v>
      </c>
      <c r="M377" s="547">
        <f>IF(D377="Rəsmi gəlir",AA8,IF(D377="Qeyri rəsmi gəlir",AB8))</f>
        <v>0.25600000000000001</v>
      </c>
      <c r="N377" s="547">
        <f>IF(D377="Rəsmi gəlir",AA9,IF(D377="Qeyri rəsmi gəlir",AB9))</f>
        <v>0.28550000000000003</v>
      </c>
      <c r="O377" s="547">
        <f>IF(D377="Rəsmi gəlir",AA10,IF(D377="Qeyri rəsmi gəlir",AB10))</f>
        <v>0</v>
      </c>
      <c r="P377" s="547" t="b">
        <f t="shared" si="30"/>
        <v>0</v>
      </c>
      <c r="Q377" s="548">
        <f t="shared" si="31"/>
        <v>0</v>
      </c>
      <c r="R377" s="543" t="str">
        <f t="shared" si="33"/>
        <v>-</v>
      </c>
      <c r="S377" s="549"/>
      <c r="T377" s="543" t="e">
        <f t="shared" si="34"/>
        <v>#VALUE!</v>
      </c>
      <c r="U377" s="548" t="e">
        <f t="shared" si="32"/>
        <v>#VALUE!</v>
      </c>
      <c r="V377" s="548" t="e">
        <f t="shared" si="35"/>
        <v>#VALUE!</v>
      </c>
      <c r="W377" s="544"/>
      <c r="X377" s="556"/>
    </row>
    <row r="378" spans="1:24">
      <c r="A378" s="552">
        <v>376</v>
      </c>
      <c r="B378" s="560"/>
      <c r="C378" s="554"/>
      <c r="D378" s="544" t="s">
        <v>799</v>
      </c>
      <c r="E378" s="555"/>
      <c r="F378" s="545">
        <f>E378-(E378*Z13)</f>
        <v>0</v>
      </c>
      <c r="G378" s="546"/>
      <c r="H378" s="547">
        <f>IF(D378="Rəsmi gəlir",AA3,IF(D378="Qeyri rəsmi gəlir",AB3))</f>
        <v>7.0000000000000007E-2</v>
      </c>
      <c r="I378" s="547">
        <f>IF(D378="Rəsmi gəlir",AA4,IF(D378="Qeyri rəsmi gəlir",AB4))</f>
        <v>0.12</v>
      </c>
      <c r="J378" s="547">
        <f>IF(D378="Rəsmi gəlir",AA5,IF(D378="Qeyri rəsmi gəlir",AB5))</f>
        <v>0.16</v>
      </c>
      <c r="K378" s="547">
        <f>IF(D378="Rəsmi gəlir",AA6,IF(D378="Qeyri rəsmi gəlir",AB6))</f>
        <v>0.2</v>
      </c>
      <c r="L378" s="547">
        <f>IF(D378="Rəsmi gəlir",AA7,IF(D378="Qeyri rəsmi gəlir",AB7))</f>
        <v>0.23</v>
      </c>
      <c r="M378" s="547">
        <f>IF(D378="Rəsmi gəlir",AA8,IF(D378="Qeyri rəsmi gəlir",AB8))</f>
        <v>0.25600000000000001</v>
      </c>
      <c r="N378" s="547">
        <f>IF(D378="Rəsmi gəlir",AA9,IF(D378="Qeyri rəsmi gəlir",AB9))</f>
        <v>0.28550000000000003</v>
      </c>
      <c r="O378" s="547">
        <f>IF(D378="Rəsmi gəlir",AA10,IF(D378="Qeyri rəsmi gəlir",AB10))</f>
        <v>0</v>
      </c>
      <c r="P378" s="547" t="b">
        <f t="shared" si="30"/>
        <v>0</v>
      </c>
      <c r="Q378" s="548">
        <f t="shared" si="31"/>
        <v>0</v>
      </c>
      <c r="R378" s="543" t="str">
        <f t="shared" si="33"/>
        <v>-</v>
      </c>
      <c r="S378" s="549"/>
      <c r="T378" s="543" t="e">
        <f t="shared" si="34"/>
        <v>#VALUE!</v>
      </c>
      <c r="U378" s="548" t="e">
        <f t="shared" si="32"/>
        <v>#VALUE!</v>
      </c>
      <c r="V378" s="548" t="e">
        <f t="shared" si="35"/>
        <v>#VALUE!</v>
      </c>
      <c r="W378" s="544"/>
      <c r="X378" s="556"/>
    </row>
    <row r="379" spans="1:24">
      <c r="A379" s="552">
        <v>377</v>
      </c>
      <c r="B379" s="560"/>
      <c r="C379" s="554"/>
      <c r="D379" s="544" t="s">
        <v>799</v>
      </c>
      <c r="E379" s="555"/>
      <c r="F379" s="545">
        <f>E379-(E379*Z13)</f>
        <v>0</v>
      </c>
      <c r="G379" s="546"/>
      <c r="H379" s="547">
        <f>IF(D379="Rəsmi gəlir",AA3,IF(D379="Qeyri rəsmi gəlir",AB3))</f>
        <v>7.0000000000000007E-2</v>
      </c>
      <c r="I379" s="547">
        <f>IF(D379="Rəsmi gəlir",AA4,IF(D379="Qeyri rəsmi gəlir",AB4))</f>
        <v>0.12</v>
      </c>
      <c r="J379" s="547">
        <f>IF(D379="Rəsmi gəlir",AA5,IF(D379="Qeyri rəsmi gəlir",AB5))</f>
        <v>0.16</v>
      </c>
      <c r="K379" s="547">
        <f>IF(D379="Rəsmi gəlir",AA6,IF(D379="Qeyri rəsmi gəlir",AB6))</f>
        <v>0.2</v>
      </c>
      <c r="L379" s="547">
        <f>IF(D379="Rəsmi gəlir",AA7,IF(D379="Qeyri rəsmi gəlir",AB7))</f>
        <v>0.23</v>
      </c>
      <c r="M379" s="547">
        <f>IF(D379="Rəsmi gəlir",AA8,IF(D379="Qeyri rəsmi gəlir",AB8))</f>
        <v>0.25600000000000001</v>
      </c>
      <c r="N379" s="547">
        <f>IF(D379="Rəsmi gəlir",AA9,IF(D379="Qeyri rəsmi gəlir",AB9))</f>
        <v>0.28550000000000003</v>
      </c>
      <c r="O379" s="547">
        <f>IF(D379="Rəsmi gəlir",AA10,IF(D379="Qeyri rəsmi gəlir",AB10))</f>
        <v>0</v>
      </c>
      <c r="P379" s="547" t="b">
        <f t="shared" si="30"/>
        <v>0</v>
      </c>
      <c r="Q379" s="548">
        <f t="shared" si="31"/>
        <v>0</v>
      </c>
      <c r="R379" s="543" t="str">
        <f t="shared" si="33"/>
        <v>-</v>
      </c>
      <c r="S379" s="549"/>
      <c r="T379" s="543" t="e">
        <f t="shared" si="34"/>
        <v>#VALUE!</v>
      </c>
      <c r="U379" s="548" t="e">
        <f t="shared" si="32"/>
        <v>#VALUE!</v>
      </c>
      <c r="V379" s="548" t="e">
        <f t="shared" si="35"/>
        <v>#VALUE!</v>
      </c>
      <c r="W379" s="544"/>
      <c r="X379" s="556"/>
    </row>
    <row r="380" spans="1:24">
      <c r="A380" s="552">
        <v>378</v>
      </c>
      <c r="B380" s="560"/>
      <c r="C380" s="554"/>
      <c r="D380" s="544" t="s">
        <v>799</v>
      </c>
      <c r="E380" s="555"/>
      <c r="F380" s="545">
        <f>E380-(E380*Z13)</f>
        <v>0</v>
      </c>
      <c r="G380" s="546"/>
      <c r="H380" s="547">
        <f>IF(D380="Rəsmi gəlir",AA3,IF(D380="Qeyri rəsmi gəlir",AB3))</f>
        <v>7.0000000000000007E-2</v>
      </c>
      <c r="I380" s="547">
        <f>IF(D380="Rəsmi gəlir",AA4,IF(D380="Qeyri rəsmi gəlir",AB4))</f>
        <v>0.12</v>
      </c>
      <c r="J380" s="547">
        <f>IF(D380="Rəsmi gəlir",AA5,IF(D380="Qeyri rəsmi gəlir",AB5))</f>
        <v>0.16</v>
      </c>
      <c r="K380" s="547">
        <f>IF(D380="Rəsmi gəlir",AA6,IF(D380="Qeyri rəsmi gəlir",AB6))</f>
        <v>0.2</v>
      </c>
      <c r="L380" s="547">
        <f>IF(D380="Rəsmi gəlir",AA7,IF(D380="Qeyri rəsmi gəlir",AB7))</f>
        <v>0.23</v>
      </c>
      <c r="M380" s="547">
        <f>IF(D380="Rəsmi gəlir",AA8,IF(D380="Qeyri rəsmi gəlir",AB8))</f>
        <v>0.25600000000000001</v>
      </c>
      <c r="N380" s="547">
        <f>IF(D380="Rəsmi gəlir",AA9,IF(D380="Qeyri rəsmi gəlir",AB9))</f>
        <v>0.28550000000000003</v>
      </c>
      <c r="O380" s="547">
        <f>IF(D380="Rəsmi gəlir",AA10,IF(D380="Qeyri rəsmi gəlir",AB10))</f>
        <v>0</v>
      </c>
      <c r="P380" s="547" t="b">
        <f t="shared" si="30"/>
        <v>0</v>
      </c>
      <c r="Q380" s="548">
        <f t="shared" si="31"/>
        <v>0</v>
      </c>
      <c r="R380" s="543" t="str">
        <f t="shared" si="33"/>
        <v>-</v>
      </c>
      <c r="S380" s="549"/>
      <c r="T380" s="543" t="e">
        <f t="shared" si="34"/>
        <v>#VALUE!</v>
      </c>
      <c r="U380" s="548" t="e">
        <f t="shared" si="32"/>
        <v>#VALUE!</v>
      </c>
      <c r="V380" s="548" t="e">
        <f t="shared" si="35"/>
        <v>#VALUE!</v>
      </c>
      <c r="W380" s="544"/>
      <c r="X380" s="556"/>
    </row>
    <row r="381" spans="1:24">
      <c r="A381" s="552">
        <v>379</v>
      </c>
      <c r="B381" s="560"/>
      <c r="C381" s="554"/>
      <c r="D381" s="544" t="s">
        <v>799</v>
      </c>
      <c r="E381" s="555"/>
      <c r="F381" s="545">
        <f>E381-(E381*Z13)</f>
        <v>0</v>
      </c>
      <c r="G381" s="546"/>
      <c r="H381" s="547">
        <f>IF(D381="Rəsmi gəlir",AA3,IF(D381="Qeyri rəsmi gəlir",AB3))</f>
        <v>7.0000000000000007E-2</v>
      </c>
      <c r="I381" s="547">
        <f>IF(D381="Rəsmi gəlir",AA4,IF(D381="Qeyri rəsmi gəlir",AB4))</f>
        <v>0.12</v>
      </c>
      <c r="J381" s="547">
        <f>IF(D381="Rəsmi gəlir",AA5,IF(D381="Qeyri rəsmi gəlir",AB5))</f>
        <v>0.16</v>
      </c>
      <c r="K381" s="547">
        <f>IF(D381="Rəsmi gəlir",AA6,IF(D381="Qeyri rəsmi gəlir",AB6))</f>
        <v>0.2</v>
      </c>
      <c r="L381" s="547">
        <f>IF(D381="Rəsmi gəlir",AA7,IF(D381="Qeyri rəsmi gəlir",AB7))</f>
        <v>0.23</v>
      </c>
      <c r="M381" s="547">
        <f>IF(D381="Rəsmi gəlir",AA8,IF(D381="Qeyri rəsmi gəlir",AB8))</f>
        <v>0.25600000000000001</v>
      </c>
      <c r="N381" s="547">
        <f>IF(D381="Rəsmi gəlir",AA9,IF(D381="Qeyri rəsmi gəlir",AB9))</f>
        <v>0.28550000000000003</v>
      </c>
      <c r="O381" s="547">
        <f>IF(D381="Rəsmi gəlir",AA10,IF(D381="Qeyri rəsmi gəlir",AB10))</f>
        <v>0</v>
      </c>
      <c r="P381" s="547" t="b">
        <f t="shared" si="30"/>
        <v>0</v>
      </c>
      <c r="Q381" s="548">
        <f t="shared" si="31"/>
        <v>0</v>
      </c>
      <c r="R381" s="543" t="str">
        <f t="shared" si="33"/>
        <v>-</v>
      </c>
      <c r="S381" s="549"/>
      <c r="T381" s="543" t="e">
        <f t="shared" si="34"/>
        <v>#VALUE!</v>
      </c>
      <c r="U381" s="548" t="e">
        <f t="shared" si="32"/>
        <v>#VALUE!</v>
      </c>
      <c r="V381" s="548" t="e">
        <f t="shared" si="35"/>
        <v>#VALUE!</v>
      </c>
      <c r="W381" s="544"/>
      <c r="X381" s="556"/>
    </row>
    <row r="382" spans="1:24">
      <c r="A382" s="552">
        <v>380</v>
      </c>
      <c r="B382" s="560"/>
      <c r="C382" s="554"/>
      <c r="D382" s="544" t="s">
        <v>799</v>
      </c>
      <c r="E382" s="555"/>
      <c r="F382" s="545">
        <f>E382-(E382*Z13)</f>
        <v>0</v>
      </c>
      <c r="G382" s="546"/>
      <c r="H382" s="547">
        <f>IF(D382="Rəsmi gəlir",AA3,IF(D382="Qeyri rəsmi gəlir",AB3))</f>
        <v>7.0000000000000007E-2</v>
      </c>
      <c r="I382" s="547">
        <f>IF(D382="Rəsmi gəlir",AA4,IF(D382="Qeyri rəsmi gəlir",AB4))</f>
        <v>0.12</v>
      </c>
      <c r="J382" s="547">
        <f>IF(D382="Rəsmi gəlir",AA5,IF(D382="Qeyri rəsmi gəlir",AB5))</f>
        <v>0.16</v>
      </c>
      <c r="K382" s="547">
        <f>IF(D382="Rəsmi gəlir",AA6,IF(D382="Qeyri rəsmi gəlir",AB6))</f>
        <v>0.2</v>
      </c>
      <c r="L382" s="547">
        <f>IF(D382="Rəsmi gəlir",AA7,IF(D382="Qeyri rəsmi gəlir",AB7))</f>
        <v>0.23</v>
      </c>
      <c r="M382" s="547">
        <f>IF(D382="Rəsmi gəlir",AA8,IF(D382="Qeyri rəsmi gəlir",AB8))</f>
        <v>0.25600000000000001</v>
      </c>
      <c r="N382" s="547">
        <f>IF(D382="Rəsmi gəlir",AA9,IF(D382="Qeyri rəsmi gəlir",AB9))</f>
        <v>0.28550000000000003</v>
      </c>
      <c r="O382" s="547">
        <f>IF(D382="Rəsmi gəlir",AA10,IF(D382="Qeyri rəsmi gəlir",AB10))</f>
        <v>0</v>
      </c>
      <c r="P382" s="547" t="b">
        <f t="shared" si="30"/>
        <v>0</v>
      </c>
      <c r="Q382" s="548">
        <f t="shared" si="31"/>
        <v>0</v>
      </c>
      <c r="R382" s="543" t="str">
        <f t="shared" si="33"/>
        <v>-</v>
      </c>
      <c r="S382" s="549"/>
      <c r="T382" s="543" t="e">
        <f t="shared" si="34"/>
        <v>#VALUE!</v>
      </c>
      <c r="U382" s="548" t="e">
        <f t="shared" si="32"/>
        <v>#VALUE!</v>
      </c>
      <c r="V382" s="548" t="e">
        <f t="shared" si="35"/>
        <v>#VALUE!</v>
      </c>
      <c r="W382" s="544"/>
      <c r="X382" s="556"/>
    </row>
    <row r="383" spans="1:24">
      <c r="A383" s="552">
        <v>381</v>
      </c>
      <c r="B383" s="560"/>
      <c r="C383" s="554"/>
      <c r="D383" s="544" t="s">
        <v>799</v>
      </c>
      <c r="E383" s="555"/>
      <c r="F383" s="545">
        <f>E383-(E383*Z13)</f>
        <v>0</v>
      </c>
      <c r="G383" s="546"/>
      <c r="H383" s="547">
        <f>IF(D383="Rəsmi gəlir",AA3,IF(D383="Qeyri rəsmi gəlir",AB3))</f>
        <v>7.0000000000000007E-2</v>
      </c>
      <c r="I383" s="547">
        <f>IF(D383="Rəsmi gəlir",AA4,IF(D383="Qeyri rəsmi gəlir",AB4))</f>
        <v>0.12</v>
      </c>
      <c r="J383" s="547">
        <f>IF(D383="Rəsmi gəlir",AA5,IF(D383="Qeyri rəsmi gəlir",AB5))</f>
        <v>0.16</v>
      </c>
      <c r="K383" s="547">
        <f>IF(D383="Rəsmi gəlir",AA6,IF(D383="Qeyri rəsmi gəlir",AB6))</f>
        <v>0.2</v>
      </c>
      <c r="L383" s="547">
        <f>IF(D383="Rəsmi gəlir",AA7,IF(D383="Qeyri rəsmi gəlir",AB7))</f>
        <v>0.23</v>
      </c>
      <c r="M383" s="547">
        <f>IF(D383="Rəsmi gəlir",AA8,IF(D383="Qeyri rəsmi gəlir",AB8))</f>
        <v>0.25600000000000001</v>
      </c>
      <c r="N383" s="547">
        <f>IF(D383="Rəsmi gəlir",AA9,IF(D383="Qeyri rəsmi gəlir",AB9))</f>
        <v>0.28550000000000003</v>
      </c>
      <c r="O383" s="547">
        <f>IF(D383="Rəsmi gəlir",AA10,IF(D383="Qeyri rəsmi gəlir",AB10))</f>
        <v>0</v>
      </c>
      <c r="P383" s="547" t="b">
        <f t="shared" si="30"/>
        <v>0</v>
      </c>
      <c r="Q383" s="548">
        <f t="shared" si="31"/>
        <v>0</v>
      </c>
      <c r="R383" s="543" t="str">
        <f t="shared" si="33"/>
        <v>-</v>
      </c>
      <c r="S383" s="549"/>
      <c r="T383" s="543" t="e">
        <f t="shared" si="34"/>
        <v>#VALUE!</v>
      </c>
      <c r="U383" s="548" t="e">
        <f t="shared" si="32"/>
        <v>#VALUE!</v>
      </c>
      <c r="V383" s="548" t="e">
        <f t="shared" si="35"/>
        <v>#VALUE!</v>
      </c>
      <c r="W383" s="544"/>
      <c r="X383" s="556"/>
    </row>
    <row r="384" spans="1:24">
      <c r="A384" s="552">
        <v>382</v>
      </c>
      <c r="B384" s="560"/>
      <c r="C384" s="554"/>
      <c r="D384" s="544" t="s">
        <v>799</v>
      </c>
      <c r="E384" s="555"/>
      <c r="F384" s="545">
        <f>E384-(E384*Z13)</f>
        <v>0</v>
      </c>
      <c r="G384" s="546"/>
      <c r="H384" s="547">
        <f>IF(D384="Rəsmi gəlir",AA3,IF(D384="Qeyri rəsmi gəlir",AB3))</f>
        <v>7.0000000000000007E-2</v>
      </c>
      <c r="I384" s="547">
        <f>IF(D384="Rəsmi gəlir",AA4,IF(D384="Qeyri rəsmi gəlir",AB4))</f>
        <v>0.12</v>
      </c>
      <c r="J384" s="547">
        <f>IF(D384="Rəsmi gəlir",AA5,IF(D384="Qeyri rəsmi gəlir",AB5))</f>
        <v>0.16</v>
      </c>
      <c r="K384" s="547">
        <f>IF(D384="Rəsmi gəlir",AA6,IF(D384="Qeyri rəsmi gəlir",AB6))</f>
        <v>0.2</v>
      </c>
      <c r="L384" s="547">
        <f>IF(D384="Rəsmi gəlir",AA7,IF(D384="Qeyri rəsmi gəlir",AB7))</f>
        <v>0.23</v>
      </c>
      <c r="M384" s="547">
        <f>IF(D384="Rəsmi gəlir",AA8,IF(D384="Qeyri rəsmi gəlir",AB8))</f>
        <v>0.25600000000000001</v>
      </c>
      <c r="N384" s="547">
        <f>IF(D384="Rəsmi gəlir",AA9,IF(D384="Qeyri rəsmi gəlir",AB9))</f>
        <v>0.28550000000000003</v>
      </c>
      <c r="O384" s="547">
        <f>IF(D384="Rəsmi gəlir",AA10,IF(D384="Qeyri rəsmi gəlir",AB10))</f>
        <v>0</v>
      </c>
      <c r="P384" s="547" t="b">
        <f t="shared" si="30"/>
        <v>0</v>
      </c>
      <c r="Q384" s="548">
        <f t="shared" si="31"/>
        <v>0</v>
      </c>
      <c r="R384" s="543" t="str">
        <f t="shared" si="33"/>
        <v>-</v>
      </c>
      <c r="S384" s="549"/>
      <c r="T384" s="543" t="e">
        <f t="shared" si="34"/>
        <v>#VALUE!</v>
      </c>
      <c r="U384" s="548" t="e">
        <f t="shared" si="32"/>
        <v>#VALUE!</v>
      </c>
      <c r="V384" s="548" t="e">
        <f t="shared" si="35"/>
        <v>#VALUE!</v>
      </c>
      <c r="W384" s="544"/>
      <c r="X384" s="556"/>
    </row>
    <row r="385" spans="1:24">
      <c r="A385" s="552">
        <v>383</v>
      </c>
      <c r="B385" s="560"/>
      <c r="C385" s="554"/>
      <c r="D385" s="544" t="s">
        <v>799</v>
      </c>
      <c r="E385" s="555"/>
      <c r="F385" s="545">
        <f>E385-(E385*Z13)</f>
        <v>0</v>
      </c>
      <c r="G385" s="546"/>
      <c r="H385" s="547">
        <f>IF(D385="Rəsmi gəlir",AA3,IF(D385="Qeyri rəsmi gəlir",AB3))</f>
        <v>7.0000000000000007E-2</v>
      </c>
      <c r="I385" s="547">
        <f>IF(D385="Rəsmi gəlir",AA4,IF(D385="Qeyri rəsmi gəlir",AB4))</f>
        <v>0.12</v>
      </c>
      <c r="J385" s="547">
        <f>IF(D385="Rəsmi gəlir",AA5,IF(D385="Qeyri rəsmi gəlir",AB5))</f>
        <v>0.16</v>
      </c>
      <c r="K385" s="547">
        <f>IF(D385="Rəsmi gəlir",AA6,IF(D385="Qeyri rəsmi gəlir",AB6))</f>
        <v>0.2</v>
      </c>
      <c r="L385" s="547">
        <f>IF(D385="Rəsmi gəlir",AA7,IF(D385="Qeyri rəsmi gəlir",AB7))</f>
        <v>0.23</v>
      </c>
      <c r="M385" s="547">
        <f>IF(D385="Rəsmi gəlir",AA8,IF(D385="Qeyri rəsmi gəlir",AB8))</f>
        <v>0.25600000000000001</v>
      </c>
      <c r="N385" s="547">
        <f>IF(D385="Rəsmi gəlir",AA9,IF(D385="Qeyri rəsmi gəlir",AB9))</f>
        <v>0.28550000000000003</v>
      </c>
      <c r="O385" s="547">
        <f>IF(D385="Rəsmi gəlir",AA10,IF(D385="Qeyri rəsmi gəlir",AB10))</f>
        <v>0</v>
      </c>
      <c r="P385" s="547" t="b">
        <f t="shared" si="30"/>
        <v>0</v>
      </c>
      <c r="Q385" s="548">
        <f t="shared" si="31"/>
        <v>0</v>
      </c>
      <c r="R385" s="543" t="str">
        <f t="shared" si="33"/>
        <v>-</v>
      </c>
      <c r="S385" s="549"/>
      <c r="T385" s="543" t="e">
        <f t="shared" si="34"/>
        <v>#VALUE!</v>
      </c>
      <c r="U385" s="548" t="e">
        <f t="shared" si="32"/>
        <v>#VALUE!</v>
      </c>
      <c r="V385" s="548" t="e">
        <f t="shared" si="35"/>
        <v>#VALUE!</v>
      </c>
      <c r="W385" s="544"/>
      <c r="X385" s="556"/>
    </row>
    <row r="386" spans="1:24">
      <c r="A386" s="552">
        <v>384</v>
      </c>
      <c r="B386" s="560"/>
      <c r="C386" s="554"/>
      <c r="D386" s="544" t="s">
        <v>799</v>
      </c>
      <c r="E386" s="555"/>
      <c r="F386" s="545">
        <f>E386-(E386*Z13)</f>
        <v>0</v>
      </c>
      <c r="G386" s="546"/>
      <c r="H386" s="547">
        <f>IF(D386="Rəsmi gəlir",AA3,IF(D386="Qeyri rəsmi gəlir",AB3))</f>
        <v>7.0000000000000007E-2</v>
      </c>
      <c r="I386" s="547">
        <f>IF(D386="Rəsmi gəlir",AA4,IF(D386="Qeyri rəsmi gəlir",AB4))</f>
        <v>0.12</v>
      </c>
      <c r="J386" s="547">
        <f>IF(D386="Rəsmi gəlir",AA5,IF(D386="Qeyri rəsmi gəlir",AB5))</f>
        <v>0.16</v>
      </c>
      <c r="K386" s="547">
        <f>IF(D386="Rəsmi gəlir",AA6,IF(D386="Qeyri rəsmi gəlir",AB6))</f>
        <v>0.2</v>
      </c>
      <c r="L386" s="547">
        <f>IF(D386="Rəsmi gəlir",AA7,IF(D386="Qeyri rəsmi gəlir",AB7))</f>
        <v>0.23</v>
      </c>
      <c r="M386" s="547">
        <f>IF(D386="Rəsmi gəlir",AA8,IF(D386="Qeyri rəsmi gəlir",AB8))</f>
        <v>0.25600000000000001</v>
      </c>
      <c r="N386" s="547">
        <f>IF(D386="Rəsmi gəlir",AA9,IF(D386="Qeyri rəsmi gəlir",AB9))</f>
        <v>0.28550000000000003</v>
      </c>
      <c r="O386" s="547">
        <f>IF(D386="Rəsmi gəlir",AA10,IF(D386="Qeyri rəsmi gəlir",AB10))</f>
        <v>0</v>
      </c>
      <c r="P386" s="547" t="b">
        <f t="shared" si="30"/>
        <v>0</v>
      </c>
      <c r="Q386" s="548">
        <f t="shared" si="31"/>
        <v>0</v>
      </c>
      <c r="R386" s="543" t="str">
        <f t="shared" si="33"/>
        <v>-</v>
      </c>
      <c r="S386" s="549"/>
      <c r="T386" s="543" t="e">
        <f t="shared" si="34"/>
        <v>#VALUE!</v>
      </c>
      <c r="U386" s="548" t="e">
        <f t="shared" si="32"/>
        <v>#VALUE!</v>
      </c>
      <c r="V386" s="548" t="e">
        <f t="shared" si="35"/>
        <v>#VALUE!</v>
      </c>
      <c r="W386" s="544"/>
      <c r="X386" s="556"/>
    </row>
    <row r="387" spans="1:24">
      <c r="A387" s="552">
        <v>385</v>
      </c>
      <c r="B387" s="560"/>
      <c r="C387" s="554"/>
      <c r="D387" s="544" t="s">
        <v>799</v>
      </c>
      <c r="E387" s="555"/>
      <c r="F387" s="545">
        <f>E387-(E387*Z13)</f>
        <v>0</v>
      </c>
      <c r="G387" s="546"/>
      <c r="H387" s="547">
        <f>IF(D387="Rəsmi gəlir",AA3,IF(D387="Qeyri rəsmi gəlir",AB3))</f>
        <v>7.0000000000000007E-2</v>
      </c>
      <c r="I387" s="547">
        <f>IF(D387="Rəsmi gəlir",AA4,IF(D387="Qeyri rəsmi gəlir",AB4))</f>
        <v>0.12</v>
      </c>
      <c r="J387" s="547">
        <f>IF(D387="Rəsmi gəlir",AA5,IF(D387="Qeyri rəsmi gəlir",AB5))</f>
        <v>0.16</v>
      </c>
      <c r="K387" s="547">
        <f>IF(D387="Rəsmi gəlir",AA6,IF(D387="Qeyri rəsmi gəlir",AB6))</f>
        <v>0.2</v>
      </c>
      <c r="L387" s="547">
        <f>IF(D387="Rəsmi gəlir",AA7,IF(D387="Qeyri rəsmi gəlir",AB7))</f>
        <v>0.23</v>
      </c>
      <c r="M387" s="547">
        <f>IF(D387="Rəsmi gəlir",AA8,IF(D387="Qeyri rəsmi gəlir",AB8))</f>
        <v>0.25600000000000001</v>
      </c>
      <c r="N387" s="547">
        <f>IF(D387="Rəsmi gəlir",AA9,IF(D387="Qeyri rəsmi gəlir",AB9))</f>
        <v>0.28550000000000003</v>
      </c>
      <c r="O387" s="547">
        <f>IF(D387="Rəsmi gəlir",AA10,IF(D387="Qeyri rəsmi gəlir",AB10))</f>
        <v>0</v>
      </c>
      <c r="P387" s="547" t="b">
        <f t="shared" ref="P387:P450" si="36">IF(G387="2",H387,IF(G387="3",H387,IF(G387="4",I387,IF(G387="5",I387,IF(G387="6",I387,IF(G387="7",J387,IF(G387="8",J387,IF(G387="9",J387,IF(G387="10",K387,IF(G387="11",K387,IF(G387="12",K387,IF(G387="13",L387,IF(G387="14",L387,IF(G387="15",L387,IF(G387="16",M387,IF(G387="17",M387,IF(G387="18",M387,IF(G387="19",N387,IF(G387="20",N387,IF(G387="21",N387,IF(G387="22",O387,IF(G387="23",O387,IF(G387="24",O387)))))))))))))))))))))))</f>
        <v>0</v>
      </c>
      <c r="Q387" s="548">
        <f t="shared" ref="Q387:Q450" si="37">F387*P387</f>
        <v>0</v>
      </c>
      <c r="R387" s="543" t="str">
        <f t="shared" si="33"/>
        <v>-</v>
      </c>
      <c r="S387" s="549"/>
      <c r="T387" s="543" t="e">
        <f t="shared" si="34"/>
        <v>#VALUE!</v>
      </c>
      <c r="U387" s="548" t="e">
        <f t="shared" ref="U387:U450" si="38">F387-(F387*P387)-R387</f>
        <v>#VALUE!</v>
      </c>
      <c r="V387" s="548" t="e">
        <f t="shared" si="35"/>
        <v>#VALUE!</v>
      </c>
      <c r="W387" s="544"/>
      <c r="X387" s="556"/>
    </row>
    <row r="388" spans="1:24">
      <c r="A388" s="552">
        <v>386</v>
      </c>
      <c r="B388" s="560"/>
      <c r="C388" s="554"/>
      <c r="D388" s="544" t="s">
        <v>799</v>
      </c>
      <c r="E388" s="555"/>
      <c r="F388" s="545">
        <f>E388-(E388*Z13)</f>
        <v>0</v>
      </c>
      <c r="G388" s="546"/>
      <c r="H388" s="547">
        <f>IF(D388="Rəsmi gəlir",AA3,IF(D388="Qeyri rəsmi gəlir",AB3))</f>
        <v>7.0000000000000007E-2</v>
      </c>
      <c r="I388" s="547">
        <f>IF(D388="Rəsmi gəlir",AA4,IF(D388="Qeyri rəsmi gəlir",AB4))</f>
        <v>0.12</v>
      </c>
      <c r="J388" s="547">
        <f>IF(D388="Rəsmi gəlir",AA5,IF(D388="Qeyri rəsmi gəlir",AB5))</f>
        <v>0.16</v>
      </c>
      <c r="K388" s="547">
        <f>IF(D388="Rəsmi gəlir",AA6,IF(D388="Qeyri rəsmi gəlir",AB6))</f>
        <v>0.2</v>
      </c>
      <c r="L388" s="547">
        <f>IF(D388="Rəsmi gəlir",AA7,IF(D388="Qeyri rəsmi gəlir",AB7))</f>
        <v>0.23</v>
      </c>
      <c r="M388" s="547">
        <f>IF(D388="Rəsmi gəlir",AA8,IF(D388="Qeyri rəsmi gəlir",AB8))</f>
        <v>0.25600000000000001</v>
      </c>
      <c r="N388" s="547">
        <f>IF(D388="Rəsmi gəlir",AA9,IF(D388="Qeyri rəsmi gəlir",AB9))</f>
        <v>0.28550000000000003</v>
      </c>
      <c r="O388" s="547">
        <f>IF(D388="Rəsmi gəlir",AA10,IF(D388="Qeyri rəsmi gəlir",AB10))</f>
        <v>0</v>
      </c>
      <c r="P388" s="547" t="b">
        <f t="shared" si="36"/>
        <v>0</v>
      </c>
      <c r="Q388" s="548">
        <f t="shared" si="37"/>
        <v>0</v>
      </c>
      <c r="R388" s="543" t="str">
        <f t="shared" ref="R388:R451" si="39">IF(Q388&lt;=0,"-",IF(Q388&gt;0,9))</f>
        <v>-</v>
      </c>
      <c r="S388" s="549"/>
      <c r="T388" s="543" t="e">
        <f t="shared" ref="T388:T451" si="40">U388*S388</f>
        <v>#VALUE!</v>
      </c>
      <c r="U388" s="548" t="e">
        <f t="shared" si="38"/>
        <v>#VALUE!</v>
      </c>
      <c r="V388" s="548" t="e">
        <f t="shared" ref="V388:V451" si="41">U388-T388</f>
        <v>#VALUE!</v>
      </c>
      <c r="W388" s="544"/>
      <c r="X388" s="556"/>
    </row>
    <row r="389" spans="1:24">
      <c r="A389" s="552">
        <v>387</v>
      </c>
      <c r="B389" s="560"/>
      <c r="C389" s="554"/>
      <c r="D389" s="544" t="s">
        <v>799</v>
      </c>
      <c r="E389" s="555"/>
      <c r="F389" s="545">
        <f>E389-(E389*Z13)</f>
        <v>0</v>
      </c>
      <c r="G389" s="546"/>
      <c r="H389" s="547">
        <f>IF(D389="Rəsmi gəlir",AA3,IF(D389="Qeyri rəsmi gəlir",AB3))</f>
        <v>7.0000000000000007E-2</v>
      </c>
      <c r="I389" s="547">
        <f>IF(D389="Rəsmi gəlir",AA4,IF(D389="Qeyri rəsmi gəlir",AB4))</f>
        <v>0.12</v>
      </c>
      <c r="J389" s="547">
        <f>IF(D389="Rəsmi gəlir",AA5,IF(D389="Qeyri rəsmi gəlir",AB5))</f>
        <v>0.16</v>
      </c>
      <c r="K389" s="547">
        <f>IF(D389="Rəsmi gəlir",AA6,IF(D389="Qeyri rəsmi gəlir",AB6))</f>
        <v>0.2</v>
      </c>
      <c r="L389" s="547">
        <f>IF(D389="Rəsmi gəlir",AA7,IF(D389="Qeyri rəsmi gəlir",AB7))</f>
        <v>0.23</v>
      </c>
      <c r="M389" s="547">
        <f>IF(D389="Rəsmi gəlir",AA8,IF(D389="Qeyri rəsmi gəlir",AB8))</f>
        <v>0.25600000000000001</v>
      </c>
      <c r="N389" s="547">
        <f>IF(D389="Rəsmi gəlir",AA9,IF(D389="Qeyri rəsmi gəlir",AB9))</f>
        <v>0.28550000000000003</v>
      </c>
      <c r="O389" s="547">
        <f>IF(D389="Rəsmi gəlir",AA10,IF(D389="Qeyri rəsmi gəlir",AB10))</f>
        <v>0</v>
      </c>
      <c r="P389" s="547" t="b">
        <f t="shared" si="36"/>
        <v>0</v>
      </c>
      <c r="Q389" s="548">
        <f t="shared" si="37"/>
        <v>0</v>
      </c>
      <c r="R389" s="543" t="str">
        <f t="shared" si="39"/>
        <v>-</v>
      </c>
      <c r="S389" s="549"/>
      <c r="T389" s="543" t="e">
        <f t="shared" si="40"/>
        <v>#VALUE!</v>
      </c>
      <c r="U389" s="548" t="e">
        <f t="shared" si="38"/>
        <v>#VALUE!</v>
      </c>
      <c r="V389" s="548" t="e">
        <f t="shared" si="41"/>
        <v>#VALUE!</v>
      </c>
      <c r="W389" s="544"/>
      <c r="X389" s="556"/>
    </row>
    <row r="390" spans="1:24">
      <c r="A390" s="552">
        <v>388</v>
      </c>
      <c r="B390" s="560"/>
      <c r="C390" s="554"/>
      <c r="D390" s="544" t="s">
        <v>799</v>
      </c>
      <c r="E390" s="555"/>
      <c r="F390" s="545">
        <f>E390-(E390*Z13)</f>
        <v>0</v>
      </c>
      <c r="G390" s="546"/>
      <c r="H390" s="547">
        <f>IF(D390="Rəsmi gəlir",AA3,IF(D390="Qeyri rəsmi gəlir",AB3))</f>
        <v>7.0000000000000007E-2</v>
      </c>
      <c r="I390" s="547">
        <f>IF(D390="Rəsmi gəlir",AA4,IF(D390="Qeyri rəsmi gəlir",AB4))</f>
        <v>0.12</v>
      </c>
      <c r="J390" s="547">
        <f>IF(D390="Rəsmi gəlir",AA5,IF(D390="Qeyri rəsmi gəlir",AB5))</f>
        <v>0.16</v>
      </c>
      <c r="K390" s="547">
        <f>IF(D390="Rəsmi gəlir",AA6,IF(D390="Qeyri rəsmi gəlir",AB6))</f>
        <v>0.2</v>
      </c>
      <c r="L390" s="547">
        <f>IF(D390="Rəsmi gəlir",AA7,IF(D390="Qeyri rəsmi gəlir",AB7))</f>
        <v>0.23</v>
      </c>
      <c r="M390" s="547">
        <f>IF(D390="Rəsmi gəlir",AA8,IF(D390="Qeyri rəsmi gəlir",AB8))</f>
        <v>0.25600000000000001</v>
      </c>
      <c r="N390" s="547">
        <f>IF(D390="Rəsmi gəlir",AA9,IF(D390="Qeyri rəsmi gəlir",AB9))</f>
        <v>0.28550000000000003</v>
      </c>
      <c r="O390" s="547">
        <f>IF(D390="Rəsmi gəlir",AA10,IF(D390="Qeyri rəsmi gəlir",AB10))</f>
        <v>0</v>
      </c>
      <c r="P390" s="547" t="b">
        <f t="shared" si="36"/>
        <v>0</v>
      </c>
      <c r="Q390" s="548">
        <f t="shared" si="37"/>
        <v>0</v>
      </c>
      <c r="R390" s="543" t="str">
        <f t="shared" si="39"/>
        <v>-</v>
      </c>
      <c r="S390" s="549"/>
      <c r="T390" s="543" t="e">
        <f t="shared" si="40"/>
        <v>#VALUE!</v>
      </c>
      <c r="U390" s="548" t="e">
        <f t="shared" si="38"/>
        <v>#VALUE!</v>
      </c>
      <c r="V390" s="548" t="e">
        <f t="shared" si="41"/>
        <v>#VALUE!</v>
      </c>
      <c r="W390" s="544"/>
      <c r="X390" s="556"/>
    </row>
    <row r="391" spans="1:24">
      <c r="A391" s="552">
        <v>389</v>
      </c>
      <c r="B391" s="560"/>
      <c r="C391" s="554"/>
      <c r="D391" s="544" t="s">
        <v>799</v>
      </c>
      <c r="E391" s="555"/>
      <c r="F391" s="545">
        <f>E391-(E391*Z13)</f>
        <v>0</v>
      </c>
      <c r="G391" s="546"/>
      <c r="H391" s="547">
        <f>IF(D391="Rəsmi gəlir",AA3,IF(D391="Qeyri rəsmi gəlir",AB3))</f>
        <v>7.0000000000000007E-2</v>
      </c>
      <c r="I391" s="547">
        <f>IF(D391="Rəsmi gəlir",AA4,IF(D391="Qeyri rəsmi gəlir",AB4))</f>
        <v>0.12</v>
      </c>
      <c r="J391" s="547">
        <f>IF(D391="Rəsmi gəlir",AA5,IF(D391="Qeyri rəsmi gəlir",AB5))</f>
        <v>0.16</v>
      </c>
      <c r="K391" s="547">
        <f>IF(D391="Rəsmi gəlir",AA6,IF(D391="Qeyri rəsmi gəlir",AB6))</f>
        <v>0.2</v>
      </c>
      <c r="L391" s="547">
        <f>IF(D391="Rəsmi gəlir",AA7,IF(D391="Qeyri rəsmi gəlir",AB7))</f>
        <v>0.23</v>
      </c>
      <c r="M391" s="547">
        <f>IF(D391="Rəsmi gəlir",AA8,IF(D391="Qeyri rəsmi gəlir",AB8))</f>
        <v>0.25600000000000001</v>
      </c>
      <c r="N391" s="547">
        <f>IF(D391="Rəsmi gəlir",AA9,IF(D391="Qeyri rəsmi gəlir",AB9))</f>
        <v>0.28550000000000003</v>
      </c>
      <c r="O391" s="547">
        <f>IF(D391="Rəsmi gəlir",AA10,IF(D391="Qeyri rəsmi gəlir",AB10))</f>
        <v>0</v>
      </c>
      <c r="P391" s="547" t="b">
        <f t="shared" si="36"/>
        <v>0</v>
      </c>
      <c r="Q391" s="548">
        <f t="shared" si="37"/>
        <v>0</v>
      </c>
      <c r="R391" s="543" t="str">
        <f t="shared" si="39"/>
        <v>-</v>
      </c>
      <c r="S391" s="549"/>
      <c r="T391" s="543" t="e">
        <f t="shared" si="40"/>
        <v>#VALUE!</v>
      </c>
      <c r="U391" s="548" t="e">
        <f t="shared" si="38"/>
        <v>#VALUE!</v>
      </c>
      <c r="V391" s="548" t="e">
        <f t="shared" si="41"/>
        <v>#VALUE!</v>
      </c>
      <c r="W391" s="544"/>
      <c r="X391" s="556"/>
    </row>
    <row r="392" spans="1:24">
      <c r="A392" s="552">
        <v>390</v>
      </c>
      <c r="B392" s="560"/>
      <c r="C392" s="554"/>
      <c r="D392" s="544" t="s">
        <v>799</v>
      </c>
      <c r="E392" s="555"/>
      <c r="F392" s="545">
        <f>E392-(E392*Z13)</f>
        <v>0</v>
      </c>
      <c r="G392" s="546"/>
      <c r="H392" s="547">
        <f>IF(D392="Rəsmi gəlir",AA3,IF(D392="Qeyri rəsmi gəlir",AB3))</f>
        <v>7.0000000000000007E-2</v>
      </c>
      <c r="I392" s="547">
        <f>IF(D392="Rəsmi gəlir",AA4,IF(D392="Qeyri rəsmi gəlir",AB4))</f>
        <v>0.12</v>
      </c>
      <c r="J392" s="547">
        <f>IF(D392="Rəsmi gəlir",AA5,IF(D392="Qeyri rəsmi gəlir",AB5))</f>
        <v>0.16</v>
      </c>
      <c r="K392" s="547">
        <f>IF(D392="Rəsmi gəlir",AA6,IF(D392="Qeyri rəsmi gəlir",AB6))</f>
        <v>0.2</v>
      </c>
      <c r="L392" s="547">
        <f>IF(D392="Rəsmi gəlir",AA7,IF(D392="Qeyri rəsmi gəlir",AB7))</f>
        <v>0.23</v>
      </c>
      <c r="M392" s="547">
        <f>IF(D392="Rəsmi gəlir",AA8,IF(D392="Qeyri rəsmi gəlir",AB8))</f>
        <v>0.25600000000000001</v>
      </c>
      <c r="N392" s="547">
        <f>IF(D392="Rəsmi gəlir",AA9,IF(D392="Qeyri rəsmi gəlir",AB9))</f>
        <v>0.28550000000000003</v>
      </c>
      <c r="O392" s="547">
        <f>IF(D392="Rəsmi gəlir",AA10,IF(D392="Qeyri rəsmi gəlir",AB10))</f>
        <v>0</v>
      </c>
      <c r="P392" s="547" t="b">
        <f t="shared" si="36"/>
        <v>0</v>
      </c>
      <c r="Q392" s="548">
        <f t="shared" si="37"/>
        <v>0</v>
      </c>
      <c r="R392" s="543" t="str">
        <f t="shared" si="39"/>
        <v>-</v>
      </c>
      <c r="S392" s="549"/>
      <c r="T392" s="543" t="e">
        <f t="shared" si="40"/>
        <v>#VALUE!</v>
      </c>
      <c r="U392" s="548" t="e">
        <f t="shared" si="38"/>
        <v>#VALUE!</v>
      </c>
      <c r="V392" s="548" t="e">
        <f t="shared" si="41"/>
        <v>#VALUE!</v>
      </c>
      <c r="W392" s="544"/>
      <c r="X392" s="556"/>
    </row>
    <row r="393" spans="1:24">
      <c r="A393" s="552">
        <v>391</v>
      </c>
      <c r="B393" s="560"/>
      <c r="C393" s="554"/>
      <c r="D393" s="544" t="s">
        <v>799</v>
      </c>
      <c r="E393" s="555"/>
      <c r="F393" s="545">
        <f>E393-(E393*Z13)</f>
        <v>0</v>
      </c>
      <c r="G393" s="546"/>
      <c r="H393" s="547">
        <f>IF(D393="Rəsmi gəlir",AA3,IF(D393="Qeyri rəsmi gəlir",AB3))</f>
        <v>7.0000000000000007E-2</v>
      </c>
      <c r="I393" s="547">
        <f>IF(D393="Rəsmi gəlir",AA4,IF(D393="Qeyri rəsmi gəlir",AB4))</f>
        <v>0.12</v>
      </c>
      <c r="J393" s="547">
        <f>IF(D393="Rəsmi gəlir",AA5,IF(D393="Qeyri rəsmi gəlir",AB5))</f>
        <v>0.16</v>
      </c>
      <c r="K393" s="547">
        <f>IF(D393="Rəsmi gəlir",AA6,IF(D393="Qeyri rəsmi gəlir",AB6))</f>
        <v>0.2</v>
      </c>
      <c r="L393" s="547">
        <f>IF(D393="Rəsmi gəlir",AA7,IF(D393="Qeyri rəsmi gəlir",AB7))</f>
        <v>0.23</v>
      </c>
      <c r="M393" s="547">
        <f>IF(D393="Rəsmi gəlir",AA8,IF(D393="Qeyri rəsmi gəlir",AB8))</f>
        <v>0.25600000000000001</v>
      </c>
      <c r="N393" s="547">
        <f>IF(D393="Rəsmi gəlir",AA9,IF(D393="Qeyri rəsmi gəlir",AB9))</f>
        <v>0.28550000000000003</v>
      </c>
      <c r="O393" s="547">
        <f>IF(D393="Rəsmi gəlir",AA10,IF(D393="Qeyri rəsmi gəlir",AB10))</f>
        <v>0</v>
      </c>
      <c r="P393" s="547" t="b">
        <f t="shared" si="36"/>
        <v>0</v>
      </c>
      <c r="Q393" s="548">
        <f t="shared" si="37"/>
        <v>0</v>
      </c>
      <c r="R393" s="543" t="str">
        <f t="shared" si="39"/>
        <v>-</v>
      </c>
      <c r="S393" s="549"/>
      <c r="T393" s="543" t="e">
        <f t="shared" si="40"/>
        <v>#VALUE!</v>
      </c>
      <c r="U393" s="548" t="e">
        <f t="shared" si="38"/>
        <v>#VALUE!</v>
      </c>
      <c r="V393" s="548" t="e">
        <f t="shared" si="41"/>
        <v>#VALUE!</v>
      </c>
      <c r="W393" s="544"/>
      <c r="X393" s="556"/>
    </row>
    <row r="394" spans="1:24">
      <c r="A394" s="552">
        <v>392</v>
      </c>
      <c r="B394" s="560"/>
      <c r="C394" s="554"/>
      <c r="D394" s="544" t="s">
        <v>799</v>
      </c>
      <c r="E394" s="555"/>
      <c r="F394" s="545">
        <f>E394-(E394*Z13)</f>
        <v>0</v>
      </c>
      <c r="G394" s="546"/>
      <c r="H394" s="547">
        <f>IF(D394="Rəsmi gəlir",AA3,IF(D394="Qeyri rəsmi gəlir",AB3))</f>
        <v>7.0000000000000007E-2</v>
      </c>
      <c r="I394" s="547">
        <f>IF(D394="Rəsmi gəlir",AA4,IF(D394="Qeyri rəsmi gəlir",AB4))</f>
        <v>0.12</v>
      </c>
      <c r="J394" s="547">
        <f>IF(D394="Rəsmi gəlir",AA5,IF(D394="Qeyri rəsmi gəlir",AB5))</f>
        <v>0.16</v>
      </c>
      <c r="K394" s="547">
        <f>IF(D394="Rəsmi gəlir",AA6,IF(D394="Qeyri rəsmi gəlir",AB6))</f>
        <v>0.2</v>
      </c>
      <c r="L394" s="547">
        <f>IF(D394="Rəsmi gəlir",AA7,IF(D394="Qeyri rəsmi gəlir",AB7))</f>
        <v>0.23</v>
      </c>
      <c r="M394" s="547">
        <f>IF(D394="Rəsmi gəlir",AA8,IF(D394="Qeyri rəsmi gəlir",AB8))</f>
        <v>0.25600000000000001</v>
      </c>
      <c r="N394" s="547">
        <f>IF(D394="Rəsmi gəlir",AA9,IF(D394="Qeyri rəsmi gəlir",AB9))</f>
        <v>0.28550000000000003</v>
      </c>
      <c r="O394" s="547">
        <f>IF(D394="Rəsmi gəlir",AA10,IF(D394="Qeyri rəsmi gəlir",AB10))</f>
        <v>0</v>
      </c>
      <c r="P394" s="547" t="b">
        <f t="shared" si="36"/>
        <v>0</v>
      </c>
      <c r="Q394" s="548">
        <f t="shared" si="37"/>
        <v>0</v>
      </c>
      <c r="R394" s="543" t="str">
        <f t="shared" si="39"/>
        <v>-</v>
      </c>
      <c r="S394" s="549"/>
      <c r="T394" s="543" t="e">
        <f t="shared" si="40"/>
        <v>#VALUE!</v>
      </c>
      <c r="U394" s="548" t="e">
        <f t="shared" si="38"/>
        <v>#VALUE!</v>
      </c>
      <c r="V394" s="548" t="e">
        <f t="shared" si="41"/>
        <v>#VALUE!</v>
      </c>
      <c r="W394" s="544"/>
      <c r="X394" s="556"/>
    </row>
    <row r="395" spans="1:24">
      <c r="A395" s="552">
        <v>393</v>
      </c>
      <c r="B395" s="560"/>
      <c r="C395" s="554"/>
      <c r="D395" s="544" t="s">
        <v>799</v>
      </c>
      <c r="E395" s="555"/>
      <c r="F395" s="545">
        <f>E395-(E395*Z13)</f>
        <v>0</v>
      </c>
      <c r="G395" s="546"/>
      <c r="H395" s="547">
        <f>IF(D395="Rəsmi gəlir",AA3,IF(D395="Qeyri rəsmi gəlir",AB3))</f>
        <v>7.0000000000000007E-2</v>
      </c>
      <c r="I395" s="547">
        <f>IF(D395="Rəsmi gəlir",AA4,IF(D395="Qeyri rəsmi gəlir",AB4))</f>
        <v>0.12</v>
      </c>
      <c r="J395" s="547">
        <f>IF(D395="Rəsmi gəlir",AA5,IF(D395="Qeyri rəsmi gəlir",AB5))</f>
        <v>0.16</v>
      </c>
      <c r="K395" s="547">
        <f>IF(D395="Rəsmi gəlir",AA6,IF(D395="Qeyri rəsmi gəlir",AB6))</f>
        <v>0.2</v>
      </c>
      <c r="L395" s="547">
        <f>IF(D395="Rəsmi gəlir",AA7,IF(D395="Qeyri rəsmi gəlir",AB7))</f>
        <v>0.23</v>
      </c>
      <c r="M395" s="547">
        <f>IF(D395="Rəsmi gəlir",AA8,IF(D395="Qeyri rəsmi gəlir",AB8))</f>
        <v>0.25600000000000001</v>
      </c>
      <c r="N395" s="547">
        <f>IF(D395="Rəsmi gəlir",AA9,IF(D395="Qeyri rəsmi gəlir",AB9))</f>
        <v>0.28550000000000003</v>
      </c>
      <c r="O395" s="547">
        <f>IF(D395="Rəsmi gəlir",AA10,IF(D395="Qeyri rəsmi gəlir",AB10))</f>
        <v>0</v>
      </c>
      <c r="P395" s="547" t="b">
        <f t="shared" si="36"/>
        <v>0</v>
      </c>
      <c r="Q395" s="548">
        <f t="shared" si="37"/>
        <v>0</v>
      </c>
      <c r="R395" s="543" t="str">
        <f t="shared" si="39"/>
        <v>-</v>
      </c>
      <c r="S395" s="549"/>
      <c r="T395" s="543" t="e">
        <f t="shared" si="40"/>
        <v>#VALUE!</v>
      </c>
      <c r="U395" s="548" t="e">
        <f t="shared" si="38"/>
        <v>#VALUE!</v>
      </c>
      <c r="V395" s="548" t="e">
        <f t="shared" si="41"/>
        <v>#VALUE!</v>
      </c>
      <c r="W395" s="544"/>
      <c r="X395" s="556"/>
    </row>
    <row r="396" spans="1:24">
      <c r="A396" s="552">
        <v>394</v>
      </c>
      <c r="B396" s="560"/>
      <c r="C396" s="554"/>
      <c r="D396" s="544" t="s">
        <v>799</v>
      </c>
      <c r="E396" s="555"/>
      <c r="F396" s="545">
        <f>E396-(E396*Z13)</f>
        <v>0</v>
      </c>
      <c r="G396" s="546"/>
      <c r="H396" s="547">
        <f>IF(D396="Rəsmi gəlir",AA3,IF(D396="Qeyri rəsmi gəlir",AB3))</f>
        <v>7.0000000000000007E-2</v>
      </c>
      <c r="I396" s="547">
        <f>IF(D396="Rəsmi gəlir",AA4,IF(D396="Qeyri rəsmi gəlir",AB4))</f>
        <v>0.12</v>
      </c>
      <c r="J396" s="547">
        <f>IF(D396="Rəsmi gəlir",AA5,IF(D396="Qeyri rəsmi gəlir",AB5))</f>
        <v>0.16</v>
      </c>
      <c r="K396" s="547">
        <f>IF(D396="Rəsmi gəlir",AA6,IF(D396="Qeyri rəsmi gəlir",AB6))</f>
        <v>0.2</v>
      </c>
      <c r="L396" s="547">
        <f>IF(D396="Rəsmi gəlir",AA7,IF(D396="Qeyri rəsmi gəlir",AB7))</f>
        <v>0.23</v>
      </c>
      <c r="M396" s="547">
        <f>IF(D396="Rəsmi gəlir",AA8,IF(D396="Qeyri rəsmi gəlir",AB8))</f>
        <v>0.25600000000000001</v>
      </c>
      <c r="N396" s="547">
        <f>IF(D396="Rəsmi gəlir",AA9,IF(D396="Qeyri rəsmi gəlir",AB9))</f>
        <v>0.28550000000000003</v>
      </c>
      <c r="O396" s="547">
        <f>IF(D396="Rəsmi gəlir",AA10,IF(D396="Qeyri rəsmi gəlir",AB10))</f>
        <v>0</v>
      </c>
      <c r="P396" s="547" t="b">
        <f t="shared" si="36"/>
        <v>0</v>
      </c>
      <c r="Q396" s="548">
        <f t="shared" si="37"/>
        <v>0</v>
      </c>
      <c r="R396" s="543" t="str">
        <f t="shared" si="39"/>
        <v>-</v>
      </c>
      <c r="S396" s="549"/>
      <c r="T396" s="543" t="e">
        <f t="shared" si="40"/>
        <v>#VALUE!</v>
      </c>
      <c r="U396" s="548" t="e">
        <f t="shared" si="38"/>
        <v>#VALUE!</v>
      </c>
      <c r="V396" s="548" t="e">
        <f t="shared" si="41"/>
        <v>#VALUE!</v>
      </c>
      <c r="W396" s="544"/>
      <c r="X396" s="556"/>
    </row>
    <row r="397" spans="1:24">
      <c r="A397" s="552">
        <v>395</v>
      </c>
      <c r="B397" s="560"/>
      <c r="C397" s="554"/>
      <c r="D397" s="544" t="s">
        <v>799</v>
      </c>
      <c r="E397" s="555"/>
      <c r="F397" s="545">
        <f>E397-(E397*Z13)</f>
        <v>0</v>
      </c>
      <c r="G397" s="546"/>
      <c r="H397" s="547">
        <f>IF(D397="Rəsmi gəlir",AA3,IF(D397="Qeyri rəsmi gəlir",AB3))</f>
        <v>7.0000000000000007E-2</v>
      </c>
      <c r="I397" s="547">
        <f>IF(D397="Rəsmi gəlir",AA4,IF(D397="Qeyri rəsmi gəlir",AB4))</f>
        <v>0.12</v>
      </c>
      <c r="J397" s="547">
        <f>IF(D397="Rəsmi gəlir",AA5,IF(D397="Qeyri rəsmi gəlir",AB5))</f>
        <v>0.16</v>
      </c>
      <c r="K397" s="547">
        <f>IF(D397="Rəsmi gəlir",AA6,IF(D397="Qeyri rəsmi gəlir",AB6))</f>
        <v>0.2</v>
      </c>
      <c r="L397" s="547">
        <f>IF(D397="Rəsmi gəlir",AA7,IF(D397="Qeyri rəsmi gəlir",AB7))</f>
        <v>0.23</v>
      </c>
      <c r="M397" s="547">
        <f>IF(D397="Rəsmi gəlir",AA8,IF(D397="Qeyri rəsmi gəlir",AB8))</f>
        <v>0.25600000000000001</v>
      </c>
      <c r="N397" s="547">
        <f>IF(D397="Rəsmi gəlir",AA9,IF(D397="Qeyri rəsmi gəlir",AB9))</f>
        <v>0.28550000000000003</v>
      </c>
      <c r="O397" s="547">
        <f>IF(D397="Rəsmi gəlir",AA10,IF(D397="Qeyri rəsmi gəlir",AB10))</f>
        <v>0</v>
      </c>
      <c r="P397" s="547" t="b">
        <f t="shared" si="36"/>
        <v>0</v>
      </c>
      <c r="Q397" s="548">
        <f t="shared" si="37"/>
        <v>0</v>
      </c>
      <c r="R397" s="543" t="str">
        <f t="shared" si="39"/>
        <v>-</v>
      </c>
      <c r="S397" s="549"/>
      <c r="T397" s="543" t="e">
        <f t="shared" si="40"/>
        <v>#VALUE!</v>
      </c>
      <c r="U397" s="548" t="e">
        <f t="shared" si="38"/>
        <v>#VALUE!</v>
      </c>
      <c r="V397" s="548" t="e">
        <f t="shared" si="41"/>
        <v>#VALUE!</v>
      </c>
      <c r="W397" s="544"/>
      <c r="X397" s="556"/>
    </row>
    <row r="398" spans="1:24">
      <c r="A398" s="552">
        <v>396</v>
      </c>
      <c r="B398" s="560"/>
      <c r="C398" s="554"/>
      <c r="D398" s="544" t="s">
        <v>799</v>
      </c>
      <c r="E398" s="555"/>
      <c r="F398" s="545">
        <f>E398-(E398*Z13)</f>
        <v>0</v>
      </c>
      <c r="G398" s="546"/>
      <c r="H398" s="547">
        <f>IF(D398="Rəsmi gəlir",AA3,IF(D398="Qeyri rəsmi gəlir",AB3))</f>
        <v>7.0000000000000007E-2</v>
      </c>
      <c r="I398" s="547">
        <f>IF(D398="Rəsmi gəlir",AA4,IF(D398="Qeyri rəsmi gəlir",AB4))</f>
        <v>0.12</v>
      </c>
      <c r="J398" s="547">
        <f>IF(D398="Rəsmi gəlir",AA5,IF(D398="Qeyri rəsmi gəlir",AB5))</f>
        <v>0.16</v>
      </c>
      <c r="K398" s="547">
        <f>IF(D398="Rəsmi gəlir",AA6,IF(D398="Qeyri rəsmi gəlir",AB6))</f>
        <v>0.2</v>
      </c>
      <c r="L398" s="547">
        <f>IF(D398="Rəsmi gəlir",AA7,IF(D398="Qeyri rəsmi gəlir",AB7))</f>
        <v>0.23</v>
      </c>
      <c r="M398" s="547">
        <f>IF(D398="Rəsmi gəlir",AA8,IF(D398="Qeyri rəsmi gəlir",AB8))</f>
        <v>0.25600000000000001</v>
      </c>
      <c r="N398" s="547">
        <f>IF(D398="Rəsmi gəlir",AA9,IF(D398="Qeyri rəsmi gəlir",AB9))</f>
        <v>0.28550000000000003</v>
      </c>
      <c r="O398" s="547">
        <f>IF(D398="Rəsmi gəlir",AA10,IF(D398="Qeyri rəsmi gəlir",AB10))</f>
        <v>0</v>
      </c>
      <c r="P398" s="547" t="b">
        <f t="shared" si="36"/>
        <v>0</v>
      </c>
      <c r="Q398" s="548">
        <f t="shared" si="37"/>
        <v>0</v>
      </c>
      <c r="R398" s="543" t="str">
        <f t="shared" si="39"/>
        <v>-</v>
      </c>
      <c r="S398" s="549"/>
      <c r="T398" s="543" t="e">
        <f t="shared" si="40"/>
        <v>#VALUE!</v>
      </c>
      <c r="U398" s="548" t="e">
        <f t="shared" si="38"/>
        <v>#VALUE!</v>
      </c>
      <c r="V398" s="548" t="e">
        <f t="shared" si="41"/>
        <v>#VALUE!</v>
      </c>
      <c r="W398" s="544"/>
      <c r="X398" s="556"/>
    </row>
    <row r="399" spans="1:24">
      <c r="A399" s="552">
        <v>397</v>
      </c>
      <c r="B399" s="560"/>
      <c r="C399" s="554"/>
      <c r="D399" s="544" t="s">
        <v>799</v>
      </c>
      <c r="E399" s="555"/>
      <c r="F399" s="545">
        <f>E399-(E399*Z13)</f>
        <v>0</v>
      </c>
      <c r="G399" s="546"/>
      <c r="H399" s="547">
        <f>IF(D399="Rəsmi gəlir",AA3,IF(D399="Qeyri rəsmi gəlir",AB3))</f>
        <v>7.0000000000000007E-2</v>
      </c>
      <c r="I399" s="547">
        <f>IF(D399="Rəsmi gəlir",AA4,IF(D399="Qeyri rəsmi gəlir",AB4))</f>
        <v>0.12</v>
      </c>
      <c r="J399" s="547">
        <f>IF(D399="Rəsmi gəlir",AA5,IF(D399="Qeyri rəsmi gəlir",AB5))</f>
        <v>0.16</v>
      </c>
      <c r="K399" s="547">
        <f>IF(D399="Rəsmi gəlir",AA6,IF(D399="Qeyri rəsmi gəlir",AB6))</f>
        <v>0.2</v>
      </c>
      <c r="L399" s="547">
        <f>IF(D399="Rəsmi gəlir",AA7,IF(D399="Qeyri rəsmi gəlir",AB7))</f>
        <v>0.23</v>
      </c>
      <c r="M399" s="547">
        <f>IF(D399="Rəsmi gəlir",AA8,IF(D399="Qeyri rəsmi gəlir",AB8))</f>
        <v>0.25600000000000001</v>
      </c>
      <c r="N399" s="547">
        <f>IF(D399="Rəsmi gəlir",AA9,IF(D399="Qeyri rəsmi gəlir",AB9))</f>
        <v>0.28550000000000003</v>
      </c>
      <c r="O399" s="547">
        <f>IF(D399="Rəsmi gəlir",AA10,IF(D399="Qeyri rəsmi gəlir",AB10))</f>
        <v>0</v>
      </c>
      <c r="P399" s="547" t="b">
        <f t="shared" si="36"/>
        <v>0</v>
      </c>
      <c r="Q399" s="548">
        <f t="shared" si="37"/>
        <v>0</v>
      </c>
      <c r="R399" s="543" t="str">
        <f t="shared" si="39"/>
        <v>-</v>
      </c>
      <c r="S399" s="549"/>
      <c r="T399" s="543" t="e">
        <f t="shared" si="40"/>
        <v>#VALUE!</v>
      </c>
      <c r="U399" s="548" t="e">
        <f t="shared" si="38"/>
        <v>#VALUE!</v>
      </c>
      <c r="V399" s="548" t="e">
        <f t="shared" si="41"/>
        <v>#VALUE!</v>
      </c>
      <c r="W399" s="544"/>
      <c r="X399" s="556"/>
    </row>
    <row r="400" spans="1:24">
      <c r="A400" s="552">
        <v>398</v>
      </c>
      <c r="B400" s="560"/>
      <c r="C400" s="554"/>
      <c r="D400" s="544" t="s">
        <v>799</v>
      </c>
      <c r="E400" s="555"/>
      <c r="F400" s="545">
        <f>E400-(E400*Z13)</f>
        <v>0</v>
      </c>
      <c r="G400" s="546"/>
      <c r="H400" s="547">
        <f>IF(D400="Rəsmi gəlir",AA3,IF(D400="Qeyri rəsmi gəlir",AB3))</f>
        <v>7.0000000000000007E-2</v>
      </c>
      <c r="I400" s="547">
        <f>IF(D400="Rəsmi gəlir",AA4,IF(D400="Qeyri rəsmi gəlir",AB4))</f>
        <v>0.12</v>
      </c>
      <c r="J400" s="547">
        <f>IF(D400="Rəsmi gəlir",AA5,IF(D400="Qeyri rəsmi gəlir",AB5))</f>
        <v>0.16</v>
      </c>
      <c r="K400" s="547">
        <f>IF(D400="Rəsmi gəlir",AA6,IF(D400="Qeyri rəsmi gəlir",AB6))</f>
        <v>0.2</v>
      </c>
      <c r="L400" s="547">
        <f>IF(D400="Rəsmi gəlir",AA7,IF(D400="Qeyri rəsmi gəlir",AB7))</f>
        <v>0.23</v>
      </c>
      <c r="M400" s="547">
        <f>IF(D400="Rəsmi gəlir",AA8,IF(D400="Qeyri rəsmi gəlir",AB8))</f>
        <v>0.25600000000000001</v>
      </c>
      <c r="N400" s="547">
        <f>IF(D400="Rəsmi gəlir",AA9,IF(D400="Qeyri rəsmi gəlir",AB9))</f>
        <v>0.28550000000000003</v>
      </c>
      <c r="O400" s="547">
        <f>IF(D400="Rəsmi gəlir",AA10,IF(D400="Qeyri rəsmi gəlir",AB10))</f>
        <v>0</v>
      </c>
      <c r="P400" s="547" t="b">
        <f t="shared" si="36"/>
        <v>0</v>
      </c>
      <c r="Q400" s="548">
        <f t="shared" si="37"/>
        <v>0</v>
      </c>
      <c r="R400" s="543" t="str">
        <f t="shared" si="39"/>
        <v>-</v>
      </c>
      <c r="S400" s="549"/>
      <c r="T400" s="543" t="e">
        <f t="shared" si="40"/>
        <v>#VALUE!</v>
      </c>
      <c r="U400" s="548" t="e">
        <f t="shared" si="38"/>
        <v>#VALUE!</v>
      </c>
      <c r="V400" s="548" t="e">
        <f t="shared" si="41"/>
        <v>#VALUE!</v>
      </c>
      <c r="W400" s="544"/>
      <c r="X400" s="556"/>
    </row>
    <row r="401" spans="1:24">
      <c r="A401" s="552">
        <v>399</v>
      </c>
      <c r="B401" s="560"/>
      <c r="C401" s="554"/>
      <c r="D401" s="544" t="s">
        <v>799</v>
      </c>
      <c r="E401" s="555"/>
      <c r="F401" s="545">
        <f>E401-(E401*Z13)</f>
        <v>0</v>
      </c>
      <c r="G401" s="546"/>
      <c r="H401" s="547">
        <f>IF(D401="Rəsmi gəlir",AA3,IF(D401="Qeyri rəsmi gəlir",AB3))</f>
        <v>7.0000000000000007E-2</v>
      </c>
      <c r="I401" s="547">
        <f>IF(D401="Rəsmi gəlir",AA4,IF(D401="Qeyri rəsmi gəlir",AB4))</f>
        <v>0.12</v>
      </c>
      <c r="J401" s="547">
        <f>IF(D401="Rəsmi gəlir",AA5,IF(D401="Qeyri rəsmi gəlir",AB5))</f>
        <v>0.16</v>
      </c>
      <c r="K401" s="547">
        <f>IF(D401="Rəsmi gəlir",AA6,IF(D401="Qeyri rəsmi gəlir",AB6))</f>
        <v>0.2</v>
      </c>
      <c r="L401" s="547">
        <f>IF(D401="Rəsmi gəlir",AA7,IF(D401="Qeyri rəsmi gəlir",AB7))</f>
        <v>0.23</v>
      </c>
      <c r="M401" s="547">
        <f>IF(D401="Rəsmi gəlir",AA8,IF(D401="Qeyri rəsmi gəlir",AB8))</f>
        <v>0.25600000000000001</v>
      </c>
      <c r="N401" s="547">
        <f>IF(D401="Rəsmi gəlir",AA9,IF(D401="Qeyri rəsmi gəlir",AB9))</f>
        <v>0.28550000000000003</v>
      </c>
      <c r="O401" s="547">
        <f>IF(D401="Rəsmi gəlir",AA10,IF(D401="Qeyri rəsmi gəlir",AB10))</f>
        <v>0</v>
      </c>
      <c r="P401" s="547" t="b">
        <f t="shared" si="36"/>
        <v>0</v>
      </c>
      <c r="Q401" s="548">
        <f t="shared" si="37"/>
        <v>0</v>
      </c>
      <c r="R401" s="543" t="str">
        <f t="shared" si="39"/>
        <v>-</v>
      </c>
      <c r="S401" s="549"/>
      <c r="T401" s="543" t="e">
        <f t="shared" si="40"/>
        <v>#VALUE!</v>
      </c>
      <c r="U401" s="548" t="e">
        <f t="shared" si="38"/>
        <v>#VALUE!</v>
      </c>
      <c r="V401" s="548" t="e">
        <f t="shared" si="41"/>
        <v>#VALUE!</v>
      </c>
      <c r="W401" s="544"/>
      <c r="X401" s="556"/>
    </row>
    <row r="402" spans="1:24">
      <c r="A402" s="552">
        <v>400</v>
      </c>
      <c r="B402" s="560"/>
      <c r="C402" s="554"/>
      <c r="D402" s="544" t="s">
        <v>799</v>
      </c>
      <c r="E402" s="555"/>
      <c r="F402" s="545">
        <f>E402-(E402*Z13)</f>
        <v>0</v>
      </c>
      <c r="G402" s="546"/>
      <c r="H402" s="547">
        <f>IF(D402="Rəsmi gəlir",AA3,IF(D402="Qeyri rəsmi gəlir",AB3))</f>
        <v>7.0000000000000007E-2</v>
      </c>
      <c r="I402" s="547">
        <f>IF(D402="Rəsmi gəlir",AA4,IF(D402="Qeyri rəsmi gəlir",AB4))</f>
        <v>0.12</v>
      </c>
      <c r="J402" s="547">
        <f>IF(D402="Rəsmi gəlir",AA5,IF(D402="Qeyri rəsmi gəlir",AB5))</f>
        <v>0.16</v>
      </c>
      <c r="K402" s="547">
        <f>IF(D402="Rəsmi gəlir",AA6,IF(D402="Qeyri rəsmi gəlir",AB6))</f>
        <v>0.2</v>
      </c>
      <c r="L402" s="547">
        <f>IF(D402="Rəsmi gəlir",AA7,IF(D402="Qeyri rəsmi gəlir",AB7))</f>
        <v>0.23</v>
      </c>
      <c r="M402" s="547">
        <f>IF(D402="Rəsmi gəlir",AA8,IF(D402="Qeyri rəsmi gəlir",AB8))</f>
        <v>0.25600000000000001</v>
      </c>
      <c r="N402" s="547">
        <f>IF(D402="Rəsmi gəlir",AA9,IF(D402="Qeyri rəsmi gəlir",AB9))</f>
        <v>0.28550000000000003</v>
      </c>
      <c r="O402" s="547">
        <f>IF(D402="Rəsmi gəlir",AA10,IF(D402="Qeyri rəsmi gəlir",AB10))</f>
        <v>0</v>
      </c>
      <c r="P402" s="547" t="b">
        <f t="shared" si="36"/>
        <v>0</v>
      </c>
      <c r="Q402" s="548">
        <f t="shared" si="37"/>
        <v>0</v>
      </c>
      <c r="R402" s="543" t="str">
        <f t="shared" si="39"/>
        <v>-</v>
      </c>
      <c r="S402" s="549"/>
      <c r="T402" s="543" t="e">
        <f t="shared" si="40"/>
        <v>#VALUE!</v>
      </c>
      <c r="U402" s="548" t="e">
        <f t="shared" si="38"/>
        <v>#VALUE!</v>
      </c>
      <c r="V402" s="548" t="e">
        <f t="shared" si="41"/>
        <v>#VALUE!</v>
      </c>
      <c r="W402" s="544"/>
      <c r="X402" s="556"/>
    </row>
    <row r="403" spans="1:24">
      <c r="A403" s="552">
        <v>401</v>
      </c>
      <c r="B403" s="560"/>
      <c r="C403" s="554"/>
      <c r="D403" s="544" t="s">
        <v>799</v>
      </c>
      <c r="E403" s="555"/>
      <c r="F403" s="545">
        <f>E403-(E403*Z13)</f>
        <v>0</v>
      </c>
      <c r="G403" s="546"/>
      <c r="H403" s="547">
        <f>IF(D403="Rəsmi gəlir",AA3,IF(D403="Qeyri rəsmi gəlir",AB3))</f>
        <v>7.0000000000000007E-2</v>
      </c>
      <c r="I403" s="547">
        <f>IF(D403="Rəsmi gəlir",AA4,IF(D403="Qeyri rəsmi gəlir",AB4))</f>
        <v>0.12</v>
      </c>
      <c r="J403" s="547">
        <f>IF(D403="Rəsmi gəlir",AA5,IF(D403="Qeyri rəsmi gəlir",AB5))</f>
        <v>0.16</v>
      </c>
      <c r="K403" s="547">
        <f>IF(D403="Rəsmi gəlir",AA6,IF(D403="Qeyri rəsmi gəlir",AB6))</f>
        <v>0.2</v>
      </c>
      <c r="L403" s="547">
        <f>IF(D403="Rəsmi gəlir",AA7,IF(D403="Qeyri rəsmi gəlir",AB7))</f>
        <v>0.23</v>
      </c>
      <c r="M403" s="547">
        <f>IF(D403="Rəsmi gəlir",AA8,IF(D403="Qeyri rəsmi gəlir",AB8))</f>
        <v>0.25600000000000001</v>
      </c>
      <c r="N403" s="547">
        <f>IF(D403="Rəsmi gəlir",AA9,IF(D403="Qeyri rəsmi gəlir",AB9))</f>
        <v>0.28550000000000003</v>
      </c>
      <c r="O403" s="547">
        <f>IF(D403="Rəsmi gəlir",AA10,IF(D403="Qeyri rəsmi gəlir",AB10))</f>
        <v>0</v>
      </c>
      <c r="P403" s="547" t="b">
        <f t="shared" si="36"/>
        <v>0</v>
      </c>
      <c r="Q403" s="548">
        <f t="shared" si="37"/>
        <v>0</v>
      </c>
      <c r="R403" s="543" t="str">
        <f t="shared" si="39"/>
        <v>-</v>
      </c>
      <c r="S403" s="549"/>
      <c r="T403" s="543" t="e">
        <f t="shared" si="40"/>
        <v>#VALUE!</v>
      </c>
      <c r="U403" s="548" t="e">
        <f t="shared" si="38"/>
        <v>#VALUE!</v>
      </c>
      <c r="V403" s="548" t="e">
        <f t="shared" si="41"/>
        <v>#VALUE!</v>
      </c>
      <c r="W403" s="544"/>
      <c r="X403" s="556"/>
    </row>
    <row r="404" spans="1:24">
      <c r="A404" s="552">
        <v>402</v>
      </c>
      <c r="B404" s="560"/>
      <c r="C404" s="554"/>
      <c r="D404" s="544" t="s">
        <v>799</v>
      </c>
      <c r="E404" s="555"/>
      <c r="F404" s="545">
        <f>E404-(E404*Z13)</f>
        <v>0</v>
      </c>
      <c r="G404" s="546"/>
      <c r="H404" s="547">
        <f>IF(D404="Rəsmi gəlir",AA3,IF(D404="Qeyri rəsmi gəlir",AB3))</f>
        <v>7.0000000000000007E-2</v>
      </c>
      <c r="I404" s="547">
        <f>IF(D404="Rəsmi gəlir",AA4,IF(D404="Qeyri rəsmi gəlir",AB4))</f>
        <v>0.12</v>
      </c>
      <c r="J404" s="547">
        <f>IF(D404="Rəsmi gəlir",AA5,IF(D404="Qeyri rəsmi gəlir",AB5))</f>
        <v>0.16</v>
      </c>
      <c r="K404" s="547">
        <f>IF(D404="Rəsmi gəlir",AA6,IF(D404="Qeyri rəsmi gəlir",AB6))</f>
        <v>0.2</v>
      </c>
      <c r="L404" s="547">
        <f>IF(D404="Rəsmi gəlir",AA7,IF(D404="Qeyri rəsmi gəlir",AB7))</f>
        <v>0.23</v>
      </c>
      <c r="M404" s="547">
        <f>IF(D404="Rəsmi gəlir",AA8,IF(D404="Qeyri rəsmi gəlir",AB8))</f>
        <v>0.25600000000000001</v>
      </c>
      <c r="N404" s="547">
        <f>IF(D404="Rəsmi gəlir",AA9,IF(D404="Qeyri rəsmi gəlir",AB9))</f>
        <v>0.28550000000000003</v>
      </c>
      <c r="O404" s="547">
        <f>IF(D404="Rəsmi gəlir",AA10,IF(D404="Qeyri rəsmi gəlir",AB10))</f>
        <v>0</v>
      </c>
      <c r="P404" s="547" t="b">
        <f t="shared" si="36"/>
        <v>0</v>
      </c>
      <c r="Q404" s="548">
        <f t="shared" si="37"/>
        <v>0</v>
      </c>
      <c r="R404" s="543" t="str">
        <f t="shared" si="39"/>
        <v>-</v>
      </c>
      <c r="S404" s="549"/>
      <c r="T404" s="543" t="e">
        <f t="shared" si="40"/>
        <v>#VALUE!</v>
      </c>
      <c r="U404" s="548" t="e">
        <f t="shared" si="38"/>
        <v>#VALUE!</v>
      </c>
      <c r="V404" s="548" t="e">
        <f t="shared" si="41"/>
        <v>#VALUE!</v>
      </c>
      <c r="W404" s="544"/>
      <c r="X404" s="556"/>
    </row>
    <row r="405" spans="1:24">
      <c r="A405" s="552">
        <v>403</v>
      </c>
      <c r="B405" s="560"/>
      <c r="C405" s="554"/>
      <c r="D405" s="544" t="s">
        <v>799</v>
      </c>
      <c r="E405" s="555"/>
      <c r="F405" s="545">
        <f>E405-(E405*Z13)</f>
        <v>0</v>
      </c>
      <c r="G405" s="546"/>
      <c r="H405" s="547">
        <f>IF(D405="Rəsmi gəlir",AA3,IF(D405="Qeyri rəsmi gəlir",AB3))</f>
        <v>7.0000000000000007E-2</v>
      </c>
      <c r="I405" s="547">
        <f>IF(D405="Rəsmi gəlir",AA4,IF(D405="Qeyri rəsmi gəlir",AB4))</f>
        <v>0.12</v>
      </c>
      <c r="J405" s="547">
        <f>IF(D405="Rəsmi gəlir",AA5,IF(D405="Qeyri rəsmi gəlir",AB5))</f>
        <v>0.16</v>
      </c>
      <c r="K405" s="547">
        <f>IF(D405="Rəsmi gəlir",AA6,IF(D405="Qeyri rəsmi gəlir",AB6))</f>
        <v>0.2</v>
      </c>
      <c r="L405" s="547">
        <f>IF(D405="Rəsmi gəlir",AA7,IF(D405="Qeyri rəsmi gəlir",AB7))</f>
        <v>0.23</v>
      </c>
      <c r="M405" s="547">
        <f>IF(D405="Rəsmi gəlir",AA8,IF(D405="Qeyri rəsmi gəlir",AB8))</f>
        <v>0.25600000000000001</v>
      </c>
      <c r="N405" s="547">
        <f>IF(D405="Rəsmi gəlir",AA9,IF(D405="Qeyri rəsmi gəlir",AB9))</f>
        <v>0.28550000000000003</v>
      </c>
      <c r="O405" s="547">
        <f>IF(D405="Rəsmi gəlir",AA10,IF(D405="Qeyri rəsmi gəlir",AB10))</f>
        <v>0</v>
      </c>
      <c r="P405" s="547" t="b">
        <f t="shared" si="36"/>
        <v>0</v>
      </c>
      <c r="Q405" s="548">
        <f t="shared" si="37"/>
        <v>0</v>
      </c>
      <c r="R405" s="543" t="str">
        <f t="shared" si="39"/>
        <v>-</v>
      </c>
      <c r="S405" s="549"/>
      <c r="T405" s="543" t="e">
        <f t="shared" si="40"/>
        <v>#VALUE!</v>
      </c>
      <c r="U405" s="548" t="e">
        <f t="shared" si="38"/>
        <v>#VALUE!</v>
      </c>
      <c r="V405" s="548" t="e">
        <f t="shared" si="41"/>
        <v>#VALUE!</v>
      </c>
      <c r="W405" s="544"/>
      <c r="X405" s="556"/>
    </row>
    <row r="406" spans="1:24">
      <c r="A406" s="552">
        <v>404</v>
      </c>
      <c r="B406" s="560"/>
      <c r="C406" s="554"/>
      <c r="D406" s="544" t="s">
        <v>799</v>
      </c>
      <c r="E406" s="555"/>
      <c r="F406" s="545">
        <f>E406-(E406*Z13)</f>
        <v>0</v>
      </c>
      <c r="G406" s="546"/>
      <c r="H406" s="547">
        <f>IF(D406="Rəsmi gəlir",AA3,IF(D406="Qeyri rəsmi gəlir",AB3))</f>
        <v>7.0000000000000007E-2</v>
      </c>
      <c r="I406" s="547">
        <f>IF(D406="Rəsmi gəlir",AA4,IF(D406="Qeyri rəsmi gəlir",AB4))</f>
        <v>0.12</v>
      </c>
      <c r="J406" s="547">
        <f>IF(D406="Rəsmi gəlir",AA5,IF(D406="Qeyri rəsmi gəlir",AB5))</f>
        <v>0.16</v>
      </c>
      <c r="K406" s="547">
        <f>IF(D406="Rəsmi gəlir",AA6,IF(D406="Qeyri rəsmi gəlir",AB6))</f>
        <v>0.2</v>
      </c>
      <c r="L406" s="547">
        <f>IF(D406="Rəsmi gəlir",AA7,IF(D406="Qeyri rəsmi gəlir",AB7))</f>
        <v>0.23</v>
      </c>
      <c r="M406" s="547">
        <f>IF(D406="Rəsmi gəlir",AA8,IF(D406="Qeyri rəsmi gəlir",AB8))</f>
        <v>0.25600000000000001</v>
      </c>
      <c r="N406" s="547">
        <f>IF(D406="Rəsmi gəlir",AA9,IF(D406="Qeyri rəsmi gəlir",AB9))</f>
        <v>0.28550000000000003</v>
      </c>
      <c r="O406" s="547">
        <f>IF(D406="Rəsmi gəlir",AA10,IF(D406="Qeyri rəsmi gəlir",AB10))</f>
        <v>0</v>
      </c>
      <c r="P406" s="547" t="b">
        <f t="shared" si="36"/>
        <v>0</v>
      </c>
      <c r="Q406" s="548">
        <f t="shared" si="37"/>
        <v>0</v>
      </c>
      <c r="R406" s="543" t="str">
        <f t="shared" si="39"/>
        <v>-</v>
      </c>
      <c r="S406" s="549"/>
      <c r="T406" s="543" t="e">
        <f t="shared" si="40"/>
        <v>#VALUE!</v>
      </c>
      <c r="U406" s="548" t="e">
        <f t="shared" si="38"/>
        <v>#VALUE!</v>
      </c>
      <c r="V406" s="548" t="e">
        <f t="shared" si="41"/>
        <v>#VALUE!</v>
      </c>
      <c r="W406" s="544"/>
      <c r="X406" s="556"/>
    </row>
    <row r="407" spans="1:24">
      <c r="A407" s="552">
        <v>405</v>
      </c>
      <c r="B407" s="560"/>
      <c r="C407" s="554"/>
      <c r="D407" s="544" t="s">
        <v>799</v>
      </c>
      <c r="E407" s="555"/>
      <c r="F407" s="545">
        <f>E407-(E407*Z13)</f>
        <v>0</v>
      </c>
      <c r="G407" s="546"/>
      <c r="H407" s="547">
        <f>IF(D407="Rəsmi gəlir",AA3,IF(D407="Qeyri rəsmi gəlir",AB3))</f>
        <v>7.0000000000000007E-2</v>
      </c>
      <c r="I407" s="547">
        <f>IF(D407="Rəsmi gəlir",AA4,IF(D407="Qeyri rəsmi gəlir",AB4))</f>
        <v>0.12</v>
      </c>
      <c r="J407" s="547">
        <f>IF(D407="Rəsmi gəlir",AA5,IF(D407="Qeyri rəsmi gəlir",AB5))</f>
        <v>0.16</v>
      </c>
      <c r="K407" s="547">
        <f>IF(D407="Rəsmi gəlir",AA6,IF(D407="Qeyri rəsmi gəlir",AB6))</f>
        <v>0.2</v>
      </c>
      <c r="L407" s="547">
        <f>IF(D407="Rəsmi gəlir",AA7,IF(D407="Qeyri rəsmi gəlir",AB7))</f>
        <v>0.23</v>
      </c>
      <c r="M407" s="547">
        <f>IF(D407="Rəsmi gəlir",AA8,IF(D407="Qeyri rəsmi gəlir",AB8))</f>
        <v>0.25600000000000001</v>
      </c>
      <c r="N407" s="547">
        <f>IF(D407="Rəsmi gəlir",AA9,IF(D407="Qeyri rəsmi gəlir",AB9))</f>
        <v>0.28550000000000003</v>
      </c>
      <c r="O407" s="547">
        <f>IF(D407="Rəsmi gəlir",AA10,IF(D407="Qeyri rəsmi gəlir",AB10))</f>
        <v>0</v>
      </c>
      <c r="P407" s="547" t="b">
        <f t="shared" si="36"/>
        <v>0</v>
      </c>
      <c r="Q407" s="548">
        <f t="shared" si="37"/>
        <v>0</v>
      </c>
      <c r="R407" s="543" t="str">
        <f t="shared" si="39"/>
        <v>-</v>
      </c>
      <c r="S407" s="549"/>
      <c r="T407" s="543" t="e">
        <f t="shared" si="40"/>
        <v>#VALUE!</v>
      </c>
      <c r="U407" s="548" t="e">
        <f t="shared" si="38"/>
        <v>#VALUE!</v>
      </c>
      <c r="V407" s="548" t="e">
        <f t="shared" si="41"/>
        <v>#VALUE!</v>
      </c>
      <c r="W407" s="544"/>
      <c r="X407" s="556"/>
    </row>
    <row r="408" spans="1:24">
      <c r="A408" s="552">
        <v>406</v>
      </c>
      <c r="B408" s="560"/>
      <c r="C408" s="554"/>
      <c r="D408" s="544" t="s">
        <v>799</v>
      </c>
      <c r="E408" s="555"/>
      <c r="F408" s="545">
        <f>E408-(E408*Z13)</f>
        <v>0</v>
      </c>
      <c r="G408" s="546"/>
      <c r="H408" s="547">
        <f>IF(D408="Rəsmi gəlir",AA3,IF(D408="Qeyri rəsmi gəlir",AB3))</f>
        <v>7.0000000000000007E-2</v>
      </c>
      <c r="I408" s="547">
        <f>IF(D408="Rəsmi gəlir",AA4,IF(D408="Qeyri rəsmi gəlir",AB4))</f>
        <v>0.12</v>
      </c>
      <c r="J408" s="547">
        <f>IF(D408="Rəsmi gəlir",AA5,IF(D408="Qeyri rəsmi gəlir",AB5))</f>
        <v>0.16</v>
      </c>
      <c r="K408" s="547">
        <f>IF(D408="Rəsmi gəlir",AA6,IF(D408="Qeyri rəsmi gəlir",AB6))</f>
        <v>0.2</v>
      </c>
      <c r="L408" s="547">
        <f>IF(D408="Rəsmi gəlir",AA7,IF(D408="Qeyri rəsmi gəlir",AB7))</f>
        <v>0.23</v>
      </c>
      <c r="M408" s="547">
        <f>IF(D408="Rəsmi gəlir",AA8,IF(D408="Qeyri rəsmi gəlir",AB8))</f>
        <v>0.25600000000000001</v>
      </c>
      <c r="N408" s="547">
        <f>IF(D408="Rəsmi gəlir",AA9,IF(D408="Qeyri rəsmi gəlir",AB9))</f>
        <v>0.28550000000000003</v>
      </c>
      <c r="O408" s="547">
        <f>IF(D408="Rəsmi gəlir",AA10,IF(D408="Qeyri rəsmi gəlir",AB10))</f>
        <v>0</v>
      </c>
      <c r="P408" s="547" t="b">
        <f t="shared" si="36"/>
        <v>0</v>
      </c>
      <c r="Q408" s="548">
        <f t="shared" si="37"/>
        <v>0</v>
      </c>
      <c r="R408" s="543" t="str">
        <f t="shared" si="39"/>
        <v>-</v>
      </c>
      <c r="S408" s="549"/>
      <c r="T408" s="543" t="e">
        <f t="shared" si="40"/>
        <v>#VALUE!</v>
      </c>
      <c r="U408" s="548" t="e">
        <f t="shared" si="38"/>
        <v>#VALUE!</v>
      </c>
      <c r="V408" s="548" t="e">
        <f t="shared" si="41"/>
        <v>#VALUE!</v>
      </c>
      <c r="W408" s="544"/>
      <c r="X408" s="556"/>
    </row>
    <row r="409" spans="1:24">
      <c r="A409" s="552">
        <v>407</v>
      </c>
      <c r="B409" s="560"/>
      <c r="C409" s="554"/>
      <c r="D409" s="544" t="s">
        <v>799</v>
      </c>
      <c r="E409" s="555"/>
      <c r="F409" s="545">
        <f>E409-(E409*Z13)</f>
        <v>0</v>
      </c>
      <c r="G409" s="546"/>
      <c r="H409" s="547">
        <f>IF(D409="Rəsmi gəlir",AA3,IF(D409="Qeyri rəsmi gəlir",AB3))</f>
        <v>7.0000000000000007E-2</v>
      </c>
      <c r="I409" s="547">
        <f>IF(D409="Rəsmi gəlir",AA4,IF(D409="Qeyri rəsmi gəlir",AB4))</f>
        <v>0.12</v>
      </c>
      <c r="J409" s="547">
        <f>IF(D409="Rəsmi gəlir",AA5,IF(D409="Qeyri rəsmi gəlir",AB5))</f>
        <v>0.16</v>
      </c>
      <c r="K409" s="547">
        <f>IF(D409="Rəsmi gəlir",AA6,IF(D409="Qeyri rəsmi gəlir",AB6))</f>
        <v>0.2</v>
      </c>
      <c r="L409" s="547">
        <f>IF(D409="Rəsmi gəlir",AA7,IF(D409="Qeyri rəsmi gəlir",AB7))</f>
        <v>0.23</v>
      </c>
      <c r="M409" s="547">
        <f>IF(D409="Rəsmi gəlir",AA8,IF(D409="Qeyri rəsmi gəlir",AB8))</f>
        <v>0.25600000000000001</v>
      </c>
      <c r="N409" s="547">
        <f>IF(D409="Rəsmi gəlir",AA9,IF(D409="Qeyri rəsmi gəlir",AB9))</f>
        <v>0.28550000000000003</v>
      </c>
      <c r="O409" s="547">
        <f>IF(D409="Rəsmi gəlir",AA10,IF(D409="Qeyri rəsmi gəlir",AB10))</f>
        <v>0</v>
      </c>
      <c r="P409" s="547" t="b">
        <f t="shared" si="36"/>
        <v>0</v>
      </c>
      <c r="Q409" s="548">
        <f t="shared" si="37"/>
        <v>0</v>
      </c>
      <c r="R409" s="543" t="str">
        <f t="shared" si="39"/>
        <v>-</v>
      </c>
      <c r="S409" s="549"/>
      <c r="T409" s="543" t="e">
        <f t="shared" si="40"/>
        <v>#VALUE!</v>
      </c>
      <c r="U409" s="548" t="e">
        <f t="shared" si="38"/>
        <v>#VALUE!</v>
      </c>
      <c r="V409" s="548" t="e">
        <f t="shared" si="41"/>
        <v>#VALUE!</v>
      </c>
      <c r="W409" s="544"/>
      <c r="X409" s="556"/>
    </row>
    <row r="410" spans="1:24">
      <c r="A410" s="552">
        <v>408</v>
      </c>
      <c r="B410" s="560"/>
      <c r="C410" s="554"/>
      <c r="D410" s="544" t="s">
        <v>799</v>
      </c>
      <c r="E410" s="555"/>
      <c r="F410" s="545">
        <f>E410-(E410*Z13)</f>
        <v>0</v>
      </c>
      <c r="G410" s="546"/>
      <c r="H410" s="547">
        <f>IF(D410="Rəsmi gəlir",AA3,IF(D410="Qeyri rəsmi gəlir",AB3))</f>
        <v>7.0000000000000007E-2</v>
      </c>
      <c r="I410" s="547">
        <f>IF(D410="Rəsmi gəlir",AA4,IF(D410="Qeyri rəsmi gəlir",AB4))</f>
        <v>0.12</v>
      </c>
      <c r="J410" s="547">
        <f>IF(D410="Rəsmi gəlir",AA5,IF(D410="Qeyri rəsmi gəlir",AB5))</f>
        <v>0.16</v>
      </c>
      <c r="K410" s="547">
        <f>IF(D410="Rəsmi gəlir",AA6,IF(D410="Qeyri rəsmi gəlir",AB6))</f>
        <v>0.2</v>
      </c>
      <c r="L410" s="547">
        <f>IF(D410="Rəsmi gəlir",AA7,IF(D410="Qeyri rəsmi gəlir",AB7))</f>
        <v>0.23</v>
      </c>
      <c r="M410" s="547">
        <f>IF(D410="Rəsmi gəlir",AA8,IF(D410="Qeyri rəsmi gəlir",AB8))</f>
        <v>0.25600000000000001</v>
      </c>
      <c r="N410" s="547">
        <f>IF(D410="Rəsmi gəlir",AA9,IF(D410="Qeyri rəsmi gəlir",AB9))</f>
        <v>0.28550000000000003</v>
      </c>
      <c r="O410" s="547">
        <f>IF(D410="Rəsmi gəlir",AA10,IF(D410="Qeyri rəsmi gəlir",AB10))</f>
        <v>0</v>
      </c>
      <c r="P410" s="547" t="b">
        <f t="shared" si="36"/>
        <v>0</v>
      </c>
      <c r="Q410" s="548">
        <f t="shared" si="37"/>
        <v>0</v>
      </c>
      <c r="R410" s="543" t="str">
        <f t="shared" si="39"/>
        <v>-</v>
      </c>
      <c r="S410" s="549"/>
      <c r="T410" s="543" t="e">
        <f t="shared" si="40"/>
        <v>#VALUE!</v>
      </c>
      <c r="U410" s="548" t="e">
        <f t="shared" si="38"/>
        <v>#VALUE!</v>
      </c>
      <c r="V410" s="548" t="e">
        <f t="shared" si="41"/>
        <v>#VALUE!</v>
      </c>
      <c r="W410" s="544"/>
      <c r="X410" s="556"/>
    </row>
    <row r="411" spans="1:24">
      <c r="A411" s="552">
        <v>409</v>
      </c>
      <c r="B411" s="560"/>
      <c r="C411" s="554"/>
      <c r="D411" s="544" t="s">
        <v>799</v>
      </c>
      <c r="E411" s="555"/>
      <c r="F411" s="545">
        <f>E411-(E411*Z13)</f>
        <v>0</v>
      </c>
      <c r="G411" s="546"/>
      <c r="H411" s="547">
        <f>IF(D411="Rəsmi gəlir",AA3,IF(D411="Qeyri rəsmi gəlir",AB3))</f>
        <v>7.0000000000000007E-2</v>
      </c>
      <c r="I411" s="547">
        <f>IF(D411="Rəsmi gəlir",AA4,IF(D411="Qeyri rəsmi gəlir",AB4))</f>
        <v>0.12</v>
      </c>
      <c r="J411" s="547">
        <f>IF(D411="Rəsmi gəlir",AA5,IF(D411="Qeyri rəsmi gəlir",AB5))</f>
        <v>0.16</v>
      </c>
      <c r="K411" s="547">
        <f>IF(D411="Rəsmi gəlir",AA6,IF(D411="Qeyri rəsmi gəlir",AB6))</f>
        <v>0.2</v>
      </c>
      <c r="L411" s="547">
        <f>IF(D411="Rəsmi gəlir",AA7,IF(D411="Qeyri rəsmi gəlir",AB7))</f>
        <v>0.23</v>
      </c>
      <c r="M411" s="547">
        <f>IF(D411="Rəsmi gəlir",AA8,IF(D411="Qeyri rəsmi gəlir",AB8))</f>
        <v>0.25600000000000001</v>
      </c>
      <c r="N411" s="547">
        <f>IF(D411="Rəsmi gəlir",AA9,IF(D411="Qeyri rəsmi gəlir",AB9))</f>
        <v>0.28550000000000003</v>
      </c>
      <c r="O411" s="547">
        <f>IF(D411="Rəsmi gəlir",AA10,IF(D411="Qeyri rəsmi gəlir",AB10))</f>
        <v>0</v>
      </c>
      <c r="P411" s="547" t="b">
        <f t="shared" si="36"/>
        <v>0</v>
      </c>
      <c r="Q411" s="548">
        <f t="shared" si="37"/>
        <v>0</v>
      </c>
      <c r="R411" s="543" t="str">
        <f t="shared" si="39"/>
        <v>-</v>
      </c>
      <c r="S411" s="549"/>
      <c r="T411" s="543" t="e">
        <f t="shared" si="40"/>
        <v>#VALUE!</v>
      </c>
      <c r="U411" s="548" t="e">
        <f t="shared" si="38"/>
        <v>#VALUE!</v>
      </c>
      <c r="V411" s="548" t="e">
        <f t="shared" si="41"/>
        <v>#VALUE!</v>
      </c>
      <c r="W411" s="544"/>
      <c r="X411" s="556"/>
    </row>
    <row r="412" spans="1:24">
      <c r="A412" s="552">
        <v>410</v>
      </c>
      <c r="B412" s="560"/>
      <c r="C412" s="554"/>
      <c r="D412" s="544" t="s">
        <v>799</v>
      </c>
      <c r="E412" s="555"/>
      <c r="F412" s="545">
        <f>E412-(E412*Z13)</f>
        <v>0</v>
      </c>
      <c r="G412" s="546"/>
      <c r="H412" s="547">
        <f>IF(D412="Rəsmi gəlir",AA3,IF(D412="Qeyri rəsmi gəlir",AB3))</f>
        <v>7.0000000000000007E-2</v>
      </c>
      <c r="I412" s="547">
        <f>IF(D412="Rəsmi gəlir",AA4,IF(D412="Qeyri rəsmi gəlir",AB4))</f>
        <v>0.12</v>
      </c>
      <c r="J412" s="547">
        <f>IF(D412="Rəsmi gəlir",AA5,IF(D412="Qeyri rəsmi gəlir",AB5))</f>
        <v>0.16</v>
      </c>
      <c r="K412" s="547">
        <f>IF(D412="Rəsmi gəlir",AA6,IF(D412="Qeyri rəsmi gəlir",AB6))</f>
        <v>0.2</v>
      </c>
      <c r="L412" s="547">
        <f>IF(D412="Rəsmi gəlir",AA7,IF(D412="Qeyri rəsmi gəlir",AB7))</f>
        <v>0.23</v>
      </c>
      <c r="M412" s="547">
        <f>IF(D412="Rəsmi gəlir",AA8,IF(D412="Qeyri rəsmi gəlir",AB8))</f>
        <v>0.25600000000000001</v>
      </c>
      <c r="N412" s="547">
        <f>IF(D412="Rəsmi gəlir",AA9,IF(D412="Qeyri rəsmi gəlir",AB9))</f>
        <v>0.28550000000000003</v>
      </c>
      <c r="O412" s="547">
        <f>IF(D412="Rəsmi gəlir",AA10,IF(D412="Qeyri rəsmi gəlir",AB10))</f>
        <v>0</v>
      </c>
      <c r="P412" s="547" t="b">
        <f t="shared" si="36"/>
        <v>0</v>
      </c>
      <c r="Q412" s="548">
        <f t="shared" si="37"/>
        <v>0</v>
      </c>
      <c r="R412" s="543" t="str">
        <f t="shared" si="39"/>
        <v>-</v>
      </c>
      <c r="S412" s="549"/>
      <c r="T412" s="543" t="e">
        <f t="shared" si="40"/>
        <v>#VALUE!</v>
      </c>
      <c r="U412" s="548" t="e">
        <f t="shared" si="38"/>
        <v>#VALUE!</v>
      </c>
      <c r="V412" s="548" t="e">
        <f t="shared" si="41"/>
        <v>#VALUE!</v>
      </c>
      <c r="W412" s="544"/>
      <c r="X412" s="556"/>
    </row>
    <row r="413" spans="1:24">
      <c r="A413" s="552">
        <v>411</v>
      </c>
      <c r="B413" s="560"/>
      <c r="C413" s="554"/>
      <c r="D413" s="544" t="s">
        <v>799</v>
      </c>
      <c r="E413" s="555"/>
      <c r="F413" s="545">
        <f>E413-(E413*Z13)</f>
        <v>0</v>
      </c>
      <c r="G413" s="546"/>
      <c r="H413" s="547">
        <f>IF(D413="Rəsmi gəlir",AA3,IF(D413="Qeyri rəsmi gəlir",AB3))</f>
        <v>7.0000000000000007E-2</v>
      </c>
      <c r="I413" s="547">
        <f>IF(D413="Rəsmi gəlir",AA4,IF(D413="Qeyri rəsmi gəlir",AB4))</f>
        <v>0.12</v>
      </c>
      <c r="J413" s="547">
        <f>IF(D413="Rəsmi gəlir",AA5,IF(D413="Qeyri rəsmi gəlir",AB5))</f>
        <v>0.16</v>
      </c>
      <c r="K413" s="547">
        <f>IF(D413="Rəsmi gəlir",AA6,IF(D413="Qeyri rəsmi gəlir",AB6))</f>
        <v>0.2</v>
      </c>
      <c r="L413" s="547">
        <f>IF(D413="Rəsmi gəlir",AA7,IF(D413="Qeyri rəsmi gəlir",AB7))</f>
        <v>0.23</v>
      </c>
      <c r="M413" s="547">
        <f>IF(D413="Rəsmi gəlir",AA8,IF(D413="Qeyri rəsmi gəlir",AB8))</f>
        <v>0.25600000000000001</v>
      </c>
      <c r="N413" s="547">
        <f>IF(D413="Rəsmi gəlir",AA9,IF(D413="Qeyri rəsmi gəlir",AB9))</f>
        <v>0.28550000000000003</v>
      </c>
      <c r="O413" s="547">
        <f>IF(D413="Rəsmi gəlir",AA10,IF(D413="Qeyri rəsmi gəlir",AB10))</f>
        <v>0</v>
      </c>
      <c r="P413" s="547" t="b">
        <f t="shared" si="36"/>
        <v>0</v>
      </c>
      <c r="Q413" s="548">
        <f t="shared" si="37"/>
        <v>0</v>
      </c>
      <c r="R413" s="543" t="str">
        <f t="shared" si="39"/>
        <v>-</v>
      </c>
      <c r="S413" s="549"/>
      <c r="T413" s="543" t="e">
        <f t="shared" si="40"/>
        <v>#VALUE!</v>
      </c>
      <c r="U413" s="548" t="e">
        <f t="shared" si="38"/>
        <v>#VALUE!</v>
      </c>
      <c r="V413" s="548" t="e">
        <f t="shared" si="41"/>
        <v>#VALUE!</v>
      </c>
      <c r="W413" s="544"/>
      <c r="X413" s="556"/>
    </row>
    <row r="414" spans="1:24">
      <c r="A414" s="552">
        <v>412</v>
      </c>
      <c r="B414" s="560"/>
      <c r="C414" s="554"/>
      <c r="D414" s="544" t="s">
        <v>799</v>
      </c>
      <c r="E414" s="555"/>
      <c r="F414" s="545">
        <f>E414-(E414*Z13)</f>
        <v>0</v>
      </c>
      <c r="G414" s="546"/>
      <c r="H414" s="547">
        <f>IF(D414="Rəsmi gəlir",AA3,IF(D414="Qeyri rəsmi gəlir",AB3))</f>
        <v>7.0000000000000007E-2</v>
      </c>
      <c r="I414" s="547">
        <f>IF(D414="Rəsmi gəlir",AA4,IF(D414="Qeyri rəsmi gəlir",AB4))</f>
        <v>0.12</v>
      </c>
      <c r="J414" s="547">
        <f>IF(D414="Rəsmi gəlir",AA5,IF(D414="Qeyri rəsmi gəlir",AB5))</f>
        <v>0.16</v>
      </c>
      <c r="K414" s="547">
        <f>IF(D414="Rəsmi gəlir",AA6,IF(D414="Qeyri rəsmi gəlir",AB6))</f>
        <v>0.2</v>
      </c>
      <c r="L414" s="547">
        <f>IF(D414="Rəsmi gəlir",AA7,IF(D414="Qeyri rəsmi gəlir",AB7))</f>
        <v>0.23</v>
      </c>
      <c r="M414" s="547">
        <f>IF(D414="Rəsmi gəlir",AA8,IF(D414="Qeyri rəsmi gəlir",AB8))</f>
        <v>0.25600000000000001</v>
      </c>
      <c r="N414" s="547">
        <f>IF(D414="Rəsmi gəlir",AA9,IF(D414="Qeyri rəsmi gəlir",AB9))</f>
        <v>0.28550000000000003</v>
      </c>
      <c r="O414" s="547">
        <f>IF(D414="Rəsmi gəlir",AA10,IF(D414="Qeyri rəsmi gəlir",AB10))</f>
        <v>0</v>
      </c>
      <c r="P414" s="547" t="b">
        <f t="shared" si="36"/>
        <v>0</v>
      </c>
      <c r="Q414" s="548">
        <f t="shared" si="37"/>
        <v>0</v>
      </c>
      <c r="R414" s="543" t="str">
        <f t="shared" si="39"/>
        <v>-</v>
      </c>
      <c r="S414" s="549"/>
      <c r="T414" s="543" t="e">
        <f t="shared" si="40"/>
        <v>#VALUE!</v>
      </c>
      <c r="U414" s="548" t="e">
        <f t="shared" si="38"/>
        <v>#VALUE!</v>
      </c>
      <c r="V414" s="548" t="e">
        <f t="shared" si="41"/>
        <v>#VALUE!</v>
      </c>
      <c r="W414" s="544"/>
      <c r="X414" s="556"/>
    </row>
    <row r="415" spans="1:24">
      <c r="A415" s="552">
        <v>413</v>
      </c>
      <c r="B415" s="560"/>
      <c r="C415" s="554"/>
      <c r="D415" s="544" t="s">
        <v>799</v>
      </c>
      <c r="E415" s="555"/>
      <c r="F415" s="545">
        <f>E415-(E415*Z13)</f>
        <v>0</v>
      </c>
      <c r="G415" s="546"/>
      <c r="H415" s="547">
        <f>IF(D415="Rəsmi gəlir",AA3,IF(D415="Qeyri rəsmi gəlir",AB3))</f>
        <v>7.0000000000000007E-2</v>
      </c>
      <c r="I415" s="547">
        <f>IF(D415="Rəsmi gəlir",AA4,IF(D415="Qeyri rəsmi gəlir",AB4))</f>
        <v>0.12</v>
      </c>
      <c r="J415" s="547">
        <f>IF(D415="Rəsmi gəlir",AA5,IF(D415="Qeyri rəsmi gəlir",AB5))</f>
        <v>0.16</v>
      </c>
      <c r="K415" s="547">
        <f>IF(D415="Rəsmi gəlir",AA6,IF(D415="Qeyri rəsmi gəlir",AB6))</f>
        <v>0.2</v>
      </c>
      <c r="L415" s="547">
        <f>IF(D415="Rəsmi gəlir",AA7,IF(D415="Qeyri rəsmi gəlir",AB7))</f>
        <v>0.23</v>
      </c>
      <c r="M415" s="547">
        <f>IF(D415="Rəsmi gəlir",AA8,IF(D415="Qeyri rəsmi gəlir",AB8))</f>
        <v>0.25600000000000001</v>
      </c>
      <c r="N415" s="547">
        <f>IF(D415="Rəsmi gəlir",AA9,IF(D415="Qeyri rəsmi gəlir",AB9))</f>
        <v>0.28550000000000003</v>
      </c>
      <c r="O415" s="547">
        <f>IF(D415="Rəsmi gəlir",AA10,IF(D415="Qeyri rəsmi gəlir",AB10))</f>
        <v>0</v>
      </c>
      <c r="P415" s="547" t="b">
        <f t="shared" si="36"/>
        <v>0</v>
      </c>
      <c r="Q415" s="548">
        <f t="shared" si="37"/>
        <v>0</v>
      </c>
      <c r="R415" s="543" t="str">
        <f t="shared" si="39"/>
        <v>-</v>
      </c>
      <c r="S415" s="549"/>
      <c r="T415" s="543" t="e">
        <f t="shared" si="40"/>
        <v>#VALUE!</v>
      </c>
      <c r="U415" s="548" t="e">
        <f t="shared" si="38"/>
        <v>#VALUE!</v>
      </c>
      <c r="V415" s="548" t="e">
        <f t="shared" si="41"/>
        <v>#VALUE!</v>
      </c>
      <c r="W415" s="544"/>
      <c r="X415" s="556"/>
    </row>
    <row r="416" spans="1:24">
      <c r="A416" s="552">
        <v>414</v>
      </c>
      <c r="B416" s="560"/>
      <c r="C416" s="554"/>
      <c r="D416" s="544" t="s">
        <v>799</v>
      </c>
      <c r="E416" s="555"/>
      <c r="F416" s="545">
        <f>E416-(E416*Z13)</f>
        <v>0</v>
      </c>
      <c r="G416" s="546"/>
      <c r="H416" s="547">
        <f>IF(D416="Rəsmi gəlir",AA3,IF(D416="Qeyri rəsmi gəlir",AB3))</f>
        <v>7.0000000000000007E-2</v>
      </c>
      <c r="I416" s="547">
        <f>IF(D416="Rəsmi gəlir",AA4,IF(D416="Qeyri rəsmi gəlir",AB4))</f>
        <v>0.12</v>
      </c>
      <c r="J416" s="547">
        <f>IF(D416="Rəsmi gəlir",AA5,IF(D416="Qeyri rəsmi gəlir",AB5))</f>
        <v>0.16</v>
      </c>
      <c r="K416" s="547">
        <f>IF(D416="Rəsmi gəlir",AA6,IF(D416="Qeyri rəsmi gəlir",AB6))</f>
        <v>0.2</v>
      </c>
      <c r="L416" s="547">
        <f>IF(D416="Rəsmi gəlir",AA7,IF(D416="Qeyri rəsmi gəlir",AB7))</f>
        <v>0.23</v>
      </c>
      <c r="M416" s="547">
        <f>IF(D416="Rəsmi gəlir",AA8,IF(D416="Qeyri rəsmi gəlir",AB8))</f>
        <v>0.25600000000000001</v>
      </c>
      <c r="N416" s="547">
        <f>IF(D416="Rəsmi gəlir",AA9,IF(D416="Qeyri rəsmi gəlir",AB9))</f>
        <v>0.28550000000000003</v>
      </c>
      <c r="O416" s="547">
        <f>IF(D416="Rəsmi gəlir",AA10,IF(D416="Qeyri rəsmi gəlir",AB10))</f>
        <v>0</v>
      </c>
      <c r="P416" s="547" t="b">
        <f t="shared" si="36"/>
        <v>0</v>
      </c>
      <c r="Q416" s="548">
        <f t="shared" si="37"/>
        <v>0</v>
      </c>
      <c r="R416" s="543" t="str">
        <f t="shared" si="39"/>
        <v>-</v>
      </c>
      <c r="S416" s="549"/>
      <c r="T416" s="543" t="e">
        <f t="shared" si="40"/>
        <v>#VALUE!</v>
      </c>
      <c r="U416" s="548" t="e">
        <f t="shared" si="38"/>
        <v>#VALUE!</v>
      </c>
      <c r="V416" s="548" t="e">
        <f t="shared" si="41"/>
        <v>#VALUE!</v>
      </c>
      <c r="W416" s="544"/>
      <c r="X416" s="556"/>
    </row>
    <row r="417" spans="1:24">
      <c r="A417" s="552">
        <v>415</v>
      </c>
      <c r="B417" s="560"/>
      <c r="C417" s="554"/>
      <c r="D417" s="544" t="s">
        <v>799</v>
      </c>
      <c r="E417" s="555"/>
      <c r="F417" s="545">
        <f>E417-(E417*Z13)</f>
        <v>0</v>
      </c>
      <c r="G417" s="546"/>
      <c r="H417" s="547">
        <f>IF(D417="Rəsmi gəlir",AA3,IF(D417="Qeyri rəsmi gəlir",AB3))</f>
        <v>7.0000000000000007E-2</v>
      </c>
      <c r="I417" s="547">
        <f>IF(D417="Rəsmi gəlir",AA4,IF(D417="Qeyri rəsmi gəlir",AB4))</f>
        <v>0.12</v>
      </c>
      <c r="J417" s="547">
        <f>IF(D417="Rəsmi gəlir",AA5,IF(D417="Qeyri rəsmi gəlir",AB5))</f>
        <v>0.16</v>
      </c>
      <c r="K417" s="547">
        <f>IF(D417="Rəsmi gəlir",AA6,IF(D417="Qeyri rəsmi gəlir",AB6))</f>
        <v>0.2</v>
      </c>
      <c r="L417" s="547">
        <f>IF(D417="Rəsmi gəlir",AA7,IF(D417="Qeyri rəsmi gəlir",AB7))</f>
        <v>0.23</v>
      </c>
      <c r="M417" s="547">
        <f>IF(D417="Rəsmi gəlir",AA8,IF(D417="Qeyri rəsmi gəlir",AB8))</f>
        <v>0.25600000000000001</v>
      </c>
      <c r="N417" s="547">
        <f>IF(D417="Rəsmi gəlir",AA9,IF(D417="Qeyri rəsmi gəlir",AB9))</f>
        <v>0.28550000000000003</v>
      </c>
      <c r="O417" s="547">
        <f>IF(D417="Rəsmi gəlir",AA10,IF(D417="Qeyri rəsmi gəlir",AB10))</f>
        <v>0</v>
      </c>
      <c r="P417" s="547" t="b">
        <f t="shared" si="36"/>
        <v>0</v>
      </c>
      <c r="Q417" s="548">
        <f t="shared" si="37"/>
        <v>0</v>
      </c>
      <c r="R417" s="543" t="str">
        <f t="shared" si="39"/>
        <v>-</v>
      </c>
      <c r="S417" s="549"/>
      <c r="T417" s="543" t="e">
        <f t="shared" si="40"/>
        <v>#VALUE!</v>
      </c>
      <c r="U417" s="548" t="e">
        <f t="shared" si="38"/>
        <v>#VALUE!</v>
      </c>
      <c r="V417" s="548" t="e">
        <f t="shared" si="41"/>
        <v>#VALUE!</v>
      </c>
      <c r="W417" s="544"/>
      <c r="X417" s="556"/>
    </row>
    <row r="418" spans="1:24">
      <c r="A418" s="552">
        <v>416</v>
      </c>
      <c r="B418" s="560"/>
      <c r="C418" s="554"/>
      <c r="D418" s="544" t="s">
        <v>799</v>
      </c>
      <c r="E418" s="555"/>
      <c r="F418" s="545">
        <f>E418-(E418*Z13)</f>
        <v>0</v>
      </c>
      <c r="G418" s="546"/>
      <c r="H418" s="547">
        <f>IF(D418="Rəsmi gəlir",AA3,IF(D418="Qeyri rəsmi gəlir",AB3))</f>
        <v>7.0000000000000007E-2</v>
      </c>
      <c r="I418" s="547">
        <f>IF(D418="Rəsmi gəlir",AA4,IF(D418="Qeyri rəsmi gəlir",AB4))</f>
        <v>0.12</v>
      </c>
      <c r="J418" s="547">
        <f>IF(D418="Rəsmi gəlir",AA5,IF(D418="Qeyri rəsmi gəlir",AB5))</f>
        <v>0.16</v>
      </c>
      <c r="K418" s="547">
        <f>IF(D418="Rəsmi gəlir",AA6,IF(D418="Qeyri rəsmi gəlir",AB6))</f>
        <v>0.2</v>
      </c>
      <c r="L418" s="547">
        <f>IF(D418="Rəsmi gəlir",AA7,IF(D418="Qeyri rəsmi gəlir",AB7))</f>
        <v>0.23</v>
      </c>
      <c r="M418" s="547">
        <f>IF(D418="Rəsmi gəlir",AA8,IF(D418="Qeyri rəsmi gəlir",AB8))</f>
        <v>0.25600000000000001</v>
      </c>
      <c r="N418" s="547">
        <f>IF(D418="Rəsmi gəlir",AA9,IF(D418="Qeyri rəsmi gəlir",AB9))</f>
        <v>0.28550000000000003</v>
      </c>
      <c r="O418" s="547">
        <f>IF(D418="Rəsmi gəlir",AA10,IF(D418="Qeyri rəsmi gəlir",AB10))</f>
        <v>0</v>
      </c>
      <c r="P418" s="547" t="b">
        <f t="shared" si="36"/>
        <v>0</v>
      </c>
      <c r="Q418" s="548">
        <f t="shared" si="37"/>
        <v>0</v>
      </c>
      <c r="R418" s="543" t="str">
        <f t="shared" si="39"/>
        <v>-</v>
      </c>
      <c r="S418" s="549"/>
      <c r="T418" s="543" t="e">
        <f t="shared" si="40"/>
        <v>#VALUE!</v>
      </c>
      <c r="U418" s="548" t="e">
        <f t="shared" si="38"/>
        <v>#VALUE!</v>
      </c>
      <c r="V418" s="548" t="e">
        <f t="shared" si="41"/>
        <v>#VALUE!</v>
      </c>
      <c r="W418" s="544"/>
      <c r="X418" s="556"/>
    </row>
    <row r="419" spans="1:24">
      <c r="A419" s="552">
        <v>417</v>
      </c>
      <c r="B419" s="560"/>
      <c r="C419" s="554"/>
      <c r="D419" s="544" t="s">
        <v>799</v>
      </c>
      <c r="E419" s="555"/>
      <c r="F419" s="545">
        <f>E419-(E419*Z13)</f>
        <v>0</v>
      </c>
      <c r="G419" s="546"/>
      <c r="H419" s="547">
        <f>IF(D419="Rəsmi gəlir",AA3,IF(D419="Qeyri rəsmi gəlir",AB3))</f>
        <v>7.0000000000000007E-2</v>
      </c>
      <c r="I419" s="547">
        <f>IF(D419="Rəsmi gəlir",AA4,IF(D419="Qeyri rəsmi gəlir",AB4))</f>
        <v>0.12</v>
      </c>
      <c r="J419" s="547">
        <f>IF(D419="Rəsmi gəlir",AA5,IF(D419="Qeyri rəsmi gəlir",AB5))</f>
        <v>0.16</v>
      </c>
      <c r="K419" s="547">
        <f>IF(D419="Rəsmi gəlir",AA6,IF(D419="Qeyri rəsmi gəlir",AB6))</f>
        <v>0.2</v>
      </c>
      <c r="L419" s="547">
        <f>IF(D419="Rəsmi gəlir",AA7,IF(D419="Qeyri rəsmi gəlir",AB7))</f>
        <v>0.23</v>
      </c>
      <c r="M419" s="547">
        <f>IF(D419="Rəsmi gəlir",AA8,IF(D419="Qeyri rəsmi gəlir",AB8))</f>
        <v>0.25600000000000001</v>
      </c>
      <c r="N419" s="547">
        <f>IF(D419="Rəsmi gəlir",AA9,IF(D419="Qeyri rəsmi gəlir",AB9))</f>
        <v>0.28550000000000003</v>
      </c>
      <c r="O419" s="547">
        <f>IF(D419="Rəsmi gəlir",AA10,IF(D419="Qeyri rəsmi gəlir",AB10))</f>
        <v>0</v>
      </c>
      <c r="P419" s="547" t="b">
        <f t="shared" si="36"/>
        <v>0</v>
      </c>
      <c r="Q419" s="548">
        <f t="shared" si="37"/>
        <v>0</v>
      </c>
      <c r="R419" s="543" t="str">
        <f t="shared" si="39"/>
        <v>-</v>
      </c>
      <c r="S419" s="549"/>
      <c r="T419" s="543" t="e">
        <f t="shared" si="40"/>
        <v>#VALUE!</v>
      </c>
      <c r="U419" s="548" t="e">
        <f t="shared" si="38"/>
        <v>#VALUE!</v>
      </c>
      <c r="V419" s="548" t="e">
        <f t="shared" si="41"/>
        <v>#VALUE!</v>
      </c>
      <c r="W419" s="544"/>
      <c r="X419" s="556"/>
    </row>
    <row r="420" spans="1:24">
      <c r="A420" s="552">
        <v>418</v>
      </c>
      <c r="B420" s="560"/>
      <c r="C420" s="554"/>
      <c r="D420" s="544" t="s">
        <v>799</v>
      </c>
      <c r="E420" s="555"/>
      <c r="F420" s="545">
        <f>E420-(E420*Z13)</f>
        <v>0</v>
      </c>
      <c r="G420" s="546"/>
      <c r="H420" s="547">
        <f>IF(D420="Rəsmi gəlir",AA3,IF(D420="Qeyri rəsmi gəlir",AB3))</f>
        <v>7.0000000000000007E-2</v>
      </c>
      <c r="I420" s="547">
        <f>IF(D420="Rəsmi gəlir",AA4,IF(D420="Qeyri rəsmi gəlir",AB4))</f>
        <v>0.12</v>
      </c>
      <c r="J420" s="547">
        <f>IF(D420="Rəsmi gəlir",AA5,IF(D420="Qeyri rəsmi gəlir",AB5))</f>
        <v>0.16</v>
      </c>
      <c r="K420" s="547">
        <f>IF(D420="Rəsmi gəlir",AA6,IF(D420="Qeyri rəsmi gəlir",AB6))</f>
        <v>0.2</v>
      </c>
      <c r="L420" s="547">
        <f>IF(D420="Rəsmi gəlir",AA7,IF(D420="Qeyri rəsmi gəlir",AB7))</f>
        <v>0.23</v>
      </c>
      <c r="M420" s="547">
        <f>IF(D420="Rəsmi gəlir",AA8,IF(D420="Qeyri rəsmi gəlir",AB8))</f>
        <v>0.25600000000000001</v>
      </c>
      <c r="N420" s="547">
        <f>IF(D420="Rəsmi gəlir",AA9,IF(D420="Qeyri rəsmi gəlir",AB9))</f>
        <v>0.28550000000000003</v>
      </c>
      <c r="O420" s="547">
        <f>IF(D420="Rəsmi gəlir",AA10,IF(D420="Qeyri rəsmi gəlir",AB10))</f>
        <v>0</v>
      </c>
      <c r="P420" s="547" t="b">
        <f t="shared" si="36"/>
        <v>0</v>
      </c>
      <c r="Q420" s="548">
        <f t="shared" si="37"/>
        <v>0</v>
      </c>
      <c r="R420" s="543" t="str">
        <f t="shared" si="39"/>
        <v>-</v>
      </c>
      <c r="S420" s="549"/>
      <c r="T420" s="543" t="e">
        <f t="shared" si="40"/>
        <v>#VALUE!</v>
      </c>
      <c r="U420" s="548" t="e">
        <f t="shared" si="38"/>
        <v>#VALUE!</v>
      </c>
      <c r="V420" s="548" t="e">
        <f t="shared" si="41"/>
        <v>#VALUE!</v>
      </c>
      <c r="W420" s="544"/>
      <c r="X420" s="556"/>
    </row>
    <row r="421" spans="1:24">
      <c r="A421" s="552">
        <v>419</v>
      </c>
      <c r="B421" s="560"/>
      <c r="C421" s="554"/>
      <c r="D421" s="544" t="s">
        <v>799</v>
      </c>
      <c r="E421" s="555"/>
      <c r="F421" s="545">
        <f>E421-(E421*Z13)</f>
        <v>0</v>
      </c>
      <c r="G421" s="546"/>
      <c r="H421" s="547">
        <f>IF(D421="Rəsmi gəlir",AA3,IF(D421="Qeyri rəsmi gəlir",AB3))</f>
        <v>7.0000000000000007E-2</v>
      </c>
      <c r="I421" s="547">
        <f>IF(D421="Rəsmi gəlir",AA4,IF(D421="Qeyri rəsmi gəlir",AB4))</f>
        <v>0.12</v>
      </c>
      <c r="J421" s="547">
        <f>IF(D421="Rəsmi gəlir",AA5,IF(D421="Qeyri rəsmi gəlir",AB5))</f>
        <v>0.16</v>
      </c>
      <c r="K421" s="547">
        <f>IF(D421="Rəsmi gəlir",AA6,IF(D421="Qeyri rəsmi gəlir",AB6))</f>
        <v>0.2</v>
      </c>
      <c r="L421" s="547">
        <f>IF(D421="Rəsmi gəlir",AA7,IF(D421="Qeyri rəsmi gəlir",AB7))</f>
        <v>0.23</v>
      </c>
      <c r="M421" s="547">
        <f>IF(D421="Rəsmi gəlir",AA8,IF(D421="Qeyri rəsmi gəlir",AB8))</f>
        <v>0.25600000000000001</v>
      </c>
      <c r="N421" s="547">
        <f>IF(D421="Rəsmi gəlir",AA9,IF(D421="Qeyri rəsmi gəlir",AB9))</f>
        <v>0.28550000000000003</v>
      </c>
      <c r="O421" s="547">
        <f>IF(D421="Rəsmi gəlir",AA10,IF(D421="Qeyri rəsmi gəlir",AB10))</f>
        <v>0</v>
      </c>
      <c r="P421" s="547" t="b">
        <f t="shared" si="36"/>
        <v>0</v>
      </c>
      <c r="Q421" s="548">
        <f t="shared" si="37"/>
        <v>0</v>
      </c>
      <c r="R421" s="543" t="str">
        <f t="shared" si="39"/>
        <v>-</v>
      </c>
      <c r="S421" s="549"/>
      <c r="T421" s="543" t="e">
        <f t="shared" si="40"/>
        <v>#VALUE!</v>
      </c>
      <c r="U421" s="548" t="e">
        <f t="shared" si="38"/>
        <v>#VALUE!</v>
      </c>
      <c r="V421" s="548" t="e">
        <f t="shared" si="41"/>
        <v>#VALUE!</v>
      </c>
      <c r="W421" s="544"/>
      <c r="X421" s="556"/>
    </row>
    <row r="422" spans="1:24">
      <c r="A422" s="552">
        <v>420</v>
      </c>
      <c r="B422" s="560"/>
      <c r="C422" s="554"/>
      <c r="D422" s="544" t="s">
        <v>799</v>
      </c>
      <c r="E422" s="555"/>
      <c r="F422" s="545">
        <f>E422-(E422*Z13)</f>
        <v>0</v>
      </c>
      <c r="G422" s="546"/>
      <c r="H422" s="547">
        <f>IF(D422="Rəsmi gəlir",AA3,IF(D422="Qeyri rəsmi gəlir",AB3))</f>
        <v>7.0000000000000007E-2</v>
      </c>
      <c r="I422" s="547">
        <f>IF(D422="Rəsmi gəlir",AA4,IF(D422="Qeyri rəsmi gəlir",AB4))</f>
        <v>0.12</v>
      </c>
      <c r="J422" s="547">
        <f>IF(D422="Rəsmi gəlir",AA5,IF(D422="Qeyri rəsmi gəlir",AB5))</f>
        <v>0.16</v>
      </c>
      <c r="K422" s="547">
        <f>IF(D422="Rəsmi gəlir",AA6,IF(D422="Qeyri rəsmi gəlir",AB6))</f>
        <v>0.2</v>
      </c>
      <c r="L422" s="547">
        <f>IF(D422="Rəsmi gəlir",AA7,IF(D422="Qeyri rəsmi gəlir",AB7))</f>
        <v>0.23</v>
      </c>
      <c r="M422" s="547">
        <f>IF(D422="Rəsmi gəlir",AA8,IF(D422="Qeyri rəsmi gəlir",AB8))</f>
        <v>0.25600000000000001</v>
      </c>
      <c r="N422" s="547">
        <f>IF(D422="Rəsmi gəlir",AA9,IF(D422="Qeyri rəsmi gəlir",AB9))</f>
        <v>0.28550000000000003</v>
      </c>
      <c r="O422" s="547">
        <f>IF(D422="Rəsmi gəlir",AA10,IF(D422="Qeyri rəsmi gəlir",AB10))</f>
        <v>0</v>
      </c>
      <c r="P422" s="547" t="b">
        <f t="shared" si="36"/>
        <v>0</v>
      </c>
      <c r="Q422" s="548">
        <f t="shared" si="37"/>
        <v>0</v>
      </c>
      <c r="R422" s="543" t="str">
        <f t="shared" si="39"/>
        <v>-</v>
      </c>
      <c r="S422" s="549"/>
      <c r="T422" s="543" t="e">
        <f t="shared" si="40"/>
        <v>#VALUE!</v>
      </c>
      <c r="U422" s="548" t="e">
        <f t="shared" si="38"/>
        <v>#VALUE!</v>
      </c>
      <c r="V422" s="548" t="e">
        <f t="shared" si="41"/>
        <v>#VALUE!</v>
      </c>
      <c r="W422" s="544"/>
      <c r="X422" s="556"/>
    </row>
    <row r="423" spans="1:24">
      <c r="A423" s="552">
        <v>421</v>
      </c>
      <c r="B423" s="560"/>
      <c r="C423" s="554"/>
      <c r="D423" s="544" t="s">
        <v>799</v>
      </c>
      <c r="E423" s="555"/>
      <c r="F423" s="545">
        <f>E423-(E423*Z13)</f>
        <v>0</v>
      </c>
      <c r="G423" s="546"/>
      <c r="H423" s="547">
        <f>IF(D423="Rəsmi gəlir",AA3,IF(D423="Qeyri rəsmi gəlir",AB3))</f>
        <v>7.0000000000000007E-2</v>
      </c>
      <c r="I423" s="547">
        <f>IF(D423="Rəsmi gəlir",AA4,IF(D423="Qeyri rəsmi gəlir",AB4))</f>
        <v>0.12</v>
      </c>
      <c r="J423" s="547">
        <f>IF(D423="Rəsmi gəlir",AA5,IF(D423="Qeyri rəsmi gəlir",AB5))</f>
        <v>0.16</v>
      </c>
      <c r="K423" s="547">
        <f>IF(D423="Rəsmi gəlir",AA6,IF(D423="Qeyri rəsmi gəlir",AB6))</f>
        <v>0.2</v>
      </c>
      <c r="L423" s="547">
        <f>IF(D423="Rəsmi gəlir",AA7,IF(D423="Qeyri rəsmi gəlir",AB7))</f>
        <v>0.23</v>
      </c>
      <c r="M423" s="547">
        <f>IF(D423="Rəsmi gəlir",AA8,IF(D423="Qeyri rəsmi gəlir",AB8))</f>
        <v>0.25600000000000001</v>
      </c>
      <c r="N423" s="547">
        <f>IF(D423="Rəsmi gəlir",AA9,IF(D423="Qeyri rəsmi gəlir",AB9))</f>
        <v>0.28550000000000003</v>
      </c>
      <c r="O423" s="547">
        <f>IF(D423="Rəsmi gəlir",AA10,IF(D423="Qeyri rəsmi gəlir",AB10))</f>
        <v>0</v>
      </c>
      <c r="P423" s="547" t="b">
        <f t="shared" si="36"/>
        <v>0</v>
      </c>
      <c r="Q423" s="548">
        <f t="shared" si="37"/>
        <v>0</v>
      </c>
      <c r="R423" s="543" t="str">
        <f t="shared" si="39"/>
        <v>-</v>
      </c>
      <c r="S423" s="549"/>
      <c r="T423" s="543" t="e">
        <f t="shared" si="40"/>
        <v>#VALUE!</v>
      </c>
      <c r="U423" s="548" t="e">
        <f t="shared" si="38"/>
        <v>#VALUE!</v>
      </c>
      <c r="V423" s="548" t="e">
        <f t="shared" si="41"/>
        <v>#VALUE!</v>
      </c>
      <c r="W423" s="544"/>
      <c r="X423" s="556"/>
    </row>
    <row r="424" spans="1:24">
      <c r="A424" s="552">
        <v>422</v>
      </c>
      <c r="B424" s="560"/>
      <c r="C424" s="554"/>
      <c r="D424" s="544" t="s">
        <v>799</v>
      </c>
      <c r="E424" s="555"/>
      <c r="F424" s="545">
        <f>E424-(E424*Z13)</f>
        <v>0</v>
      </c>
      <c r="G424" s="546"/>
      <c r="H424" s="547">
        <f>IF(D424="Rəsmi gəlir",AA3,IF(D424="Qeyri rəsmi gəlir",AB3))</f>
        <v>7.0000000000000007E-2</v>
      </c>
      <c r="I424" s="547">
        <f>IF(D424="Rəsmi gəlir",AA4,IF(D424="Qeyri rəsmi gəlir",AB4))</f>
        <v>0.12</v>
      </c>
      <c r="J424" s="547">
        <f>IF(D424="Rəsmi gəlir",AA5,IF(D424="Qeyri rəsmi gəlir",AB5))</f>
        <v>0.16</v>
      </c>
      <c r="K424" s="547">
        <f>IF(D424="Rəsmi gəlir",AA6,IF(D424="Qeyri rəsmi gəlir",AB6))</f>
        <v>0.2</v>
      </c>
      <c r="L424" s="547">
        <f>IF(D424="Rəsmi gəlir",AA7,IF(D424="Qeyri rəsmi gəlir",AB7))</f>
        <v>0.23</v>
      </c>
      <c r="M424" s="547">
        <f>IF(D424="Rəsmi gəlir",AA8,IF(D424="Qeyri rəsmi gəlir",AB8))</f>
        <v>0.25600000000000001</v>
      </c>
      <c r="N424" s="547">
        <f>IF(D424="Rəsmi gəlir",AA9,IF(D424="Qeyri rəsmi gəlir",AB9))</f>
        <v>0.28550000000000003</v>
      </c>
      <c r="O424" s="547">
        <f>IF(D424="Rəsmi gəlir",AA10,IF(D424="Qeyri rəsmi gəlir",AB10))</f>
        <v>0</v>
      </c>
      <c r="P424" s="547" t="b">
        <f t="shared" si="36"/>
        <v>0</v>
      </c>
      <c r="Q424" s="548">
        <f t="shared" si="37"/>
        <v>0</v>
      </c>
      <c r="R424" s="543" t="str">
        <f t="shared" si="39"/>
        <v>-</v>
      </c>
      <c r="S424" s="549"/>
      <c r="T424" s="543" t="e">
        <f t="shared" si="40"/>
        <v>#VALUE!</v>
      </c>
      <c r="U424" s="548" t="e">
        <f t="shared" si="38"/>
        <v>#VALUE!</v>
      </c>
      <c r="V424" s="548" t="e">
        <f t="shared" si="41"/>
        <v>#VALUE!</v>
      </c>
      <c r="W424" s="544"/>
      <c r="X424" s="556"/>
    </row>
    <row r="425" spans="1:24">
      <c r="A425" s="552">
        <v>423</v>
      </c>
      <c r="B425" s="560"/>
      <c r="C425" s="554"/>
      <c r="D425" s="544" t="s">
        <v>799</v>
      </c>
      <c r="E425" s="555"/>
      <c r="F425" s="545">
        <f>E425-(E425*Z13)</f>
        <v>0</v>
      </c>
      <c r="G425" s="546"/>
      <c r="H425" s="547">
        <f>IF(D425="Rəsmi gəlir",AA3,IF(D425="Qeyri rəsmi gəlir",AB3))</f>
        <v>7.0000000000000007E-2</v>
      </c>
      <c r="I425" s="547">
        <f>IF(D425="Rəsmi gəlir",AA4,IF(D425="Qeyri rəsmi gəlir",AB4))</f>
        <v>0.12</v>
      </c>
      <c r="J425" s="547">
        <f>IF(D425="Rəsmi gəlir",AA5,IF(D425="Qeyri rəsmi gəlir",AB5))</f>
        <v>0.16</v>
      </c>
      <c r="K425" s="547">
        <f>IF(D425="Rəsmi gəlir",AA6,IF(D425="Qeyri rəsmi gəlir",AB6))</f>
        <v>0.2</v>
      </c>
      <c r="L425" s="547">
        <f>IF(D425="Rəsmi gəlir",AA7,IF(D425="Qeyri rəsmi gəlir",AB7))</f>
        <v>0.23</v>
      </c>
      <c r="M425" s="547">
        <f>IF(D425="Rəsmi gəlir",AA8,IF(D425="Qeyri rəsmi gəlir",AB8))</f>
        <v>0.25600000000000001</v>
      </c>
      <c r="N425" s="547">
        <f>IF(D425="Rəsmi gəlir",AA9,IF(D425="Qeyri rəsmi gəlir",AB9))</f>
        <v>0.28550000000000003</v>
      </c>
      <c r="O425" s="547">
        <f>IF(D425="Rəsmi gəlir",AA10,IF(D425="Qeyri rəsmi gəlir",AB10))</f>
        <v>0</v>
      </c>
      <c r="P425" s="547" t="b">
        <f t="shared" si="36"/>
        <v>0</v>
      </c>
      <c r="Q425" s="548">
        <f t="shared" si="37"/>
        <v>0</v>
      </c>
      <c r="R425" s="543" t="str">
        <f t="shared" si="39"/>
        <v>-</v>
      </c>
      <c r="S425" s="549"/>
      <c r="T425" s="543" t="e">
        <f t="shared" si="40"/>
        <v>#VALUE!</v>
      </c>
      <c r="U425" s="548" t="e">
        <f t="shared" si="38"/>
        <v>#VALUE!</v>
      </c>
      <c r="V425" s="548" t="e">
        <f t="shared" si="41"/>
        <v>#VALUE!</v>
      </c>
      <c r="W425" s="544"/>
      <c r="X425" s="556"/>
    </row>
    <row r="426" spans="1:24">
      <c r="A426" s="552">
        <v>424</v>
      </c>
      <c r="B426" s="560"/>
      <c r="C426" s="554"/>
      <c r="D426" s="544" t="s">
        <v>799</v>
      </c>
      <c r="E426" s="555"/>
      <c r="F426" s="545">
        <f>E426-(E426*Z13)</f>
        <v>0</v>
      </c>
      <c r="G426" s="546"/>
      <c r="H426" s="547">
        <f>IF(D426="Rəsmi gəlir",AA3,IF(D426="Qeyri rəsmi gəlir",AB3))</f>
        <v>7.0000000000000007E-2</v>
      </c>
      <c r="I426" s="547">
        <f>IF(D426="Rəsmi gəlir",AA4,IF(D426="Qeyri rəsmi gəlir",AB4))</f>
        <v>0.12</v>
      </c>
      <c r="J426" s="547">
        <f>IF(D426="Rəsmi gəlir",AA5,IF(D426="Qeyri rəsmi gəlir",AB5))</f>
        <v>0.16</v>
      </c>
      <c r="K426" s="547">
        <f>IF(D426="Rəsmi gəlir",AA6,IF(D426="Qeyri rəsmi gəlir",AB6))</f>
        <v>0.2</v>
      </c>
      <c r="L426" s="547">
        <f>IF(D426="Rəsmi gəlir",AA7,IF(D426="Qeyri rəsmi gəlir",AB7))</f>
        <v>0.23</v>
      </c>
      <c r="M426" s="547">
        <f>IF(D426="Rəsmi gəlir",AA8,IF(D426="Qeyri rəsmi gəlir",AB8))</f>
        <v>0.25600000000000001</v>
      </c>
      <c r="N426" s="547">
        <f>IF(D426="Rəsmi gəlir",AA9,IF(D426="Qeyri rəsmi gəlir",AB9))</f>
        <v>0.28550000000000003</v>
      </c>
      <c r="O426" s="547">
        <f>IF(D426="Rəsmi gəlir",AA10,IF(D426="Qeyri rəsmi gəlir",AB10))</f>
        <v>0</v>
      </c>
      <c r="P426" s="547" t="b">
        <f t="shared" si="36"/>
        <v>0</v>
      </c>
      <c r="Q426" s="548">
        <f t="shared" si="37"/>
        <v>0</v>
      </c>
      <c r="R426" s="543" t="str">
        <f t="shared" si="39"/>
        <v>-</v>
      </c>
      <c r="S426" s="549"/>
      <c r="T426" s="543" t="e">
        <f t="shared" si="40"/>
        <v>#VALUE!</v>
      </c>
      <c r="U426" s="548" t="e">
        <f t="shared" si="38"/>
        <v>#VALUE!</v>
      </c>
      <c r="V426" s="548" t="e">
        <f t="shared" si="41"/>
        <v>#VALUE!</v>
      </c>
      <c r="W426" s="544"/>
      <c r="X426" s="556"/>
    </row>
    <row r="427" spans="1:24">
      <c r="A427" s="552">
        <v>425</v>
      </c>
      <c r="B427" s="560"/>
      <c r="C427" s="554"/>
      <c r="D427" s="544" t="s">
        <v>799</v>
      </c>
      <c r="E427" s="555"/>
      <c r="F427" s="545">
        <f>E427-(E427*Z13)</f>
        <v>0</v>
      </c>
      <c r="G427" s="546"/>
      <c r="H427" s="547">
        <f>IF(D427="Rəsmi gəlir",AA3,IF(D427="Qeyri rəsmi gəlir",AB3))</f>
        <v>7.0000000000000007E-2</v>
      </c>
      <c r="I427" s="547">
        <f>IF(D427="Rəsmi gəlir",AA4,IF(D427="Qeyri rəsmi gəlir",AB4))</f>
        <v>0.12</v>
      </c>
      <c r="J427" s="547">
        <f>IF(D427="Rəsmi gəlir",AA5,IF(D427="Qeyri rəsmi gəlir",AB5))</f>
        <v>0.16</v>
      </c>
      <c r="K427" s="547">
        <f>IF(D427="Rəsmi gəlir",AA6,IF(D427="Qeyri rəsmi gəlir",AB6))</f>
        <v>0.2</v>
      </c>
      <c r="L427" s="547">
        <f>IF(D427="Rəsmi gəlir",AA7,IF(D427="Qeyri rəsmi gəlir",AB7))</f>
        <v>0.23</v>
      </c>
      <c r="M427" s="547">
        <f>IF(D427="Rəsmi gəlir",AA8,IF(D427="Qeyri rəsmi gəlir",AB8))</f>
        <v>0.25600000000000001</v>
      </c>
      <c r="N427" s="547">
        <f>IF(D427="Rəsmi gəlir",AA9,IF(D427="Qeyri rəsmi gəlir",AB9))</f>
        <v>0.28550000000000003</v>
      </c>
      <c r="O427" s="547">
        <f>IF(D427="Rəsmi gəlir",AA10,IF(D427="Qeyri rəsmi gəlir",AB10))</f>
        <v>0</v>
      </c>
      <c r="P427" s="547" t="b">
        <f t="shared" si="36"/>
        <v>0</v>
      </c>
      <c r="Q427" s="548">
        <f t="shared" si="37"/>
        <v>0</v>
      </c>
      <c r="R427" s="543" t="str">
        <f t="shared" si="39"/>
        <v>-</v>
      </c>
      <c r="S427" s="549"/>
      <c r="T427" s="543" t="e">
        <f t="shared" si="40"/>
        <v>#VALUE!</v>
      </c>
      <c r="U427" s="548" t="e">
        <f t="shared" si="38"/>
        <v>#VALUE!</v>
      </c>
      <c r="V427" s="548" t="e">
        <f t="shared" si="41"/>
        <v>#VALUE!</v>
      </c>
      <c r="W427" s="544"/>
      <c r="X427" s="556"/>
    </row>
    <row r="428" spans="1:24">
      <c r="A428" s="552">
        <v>426</v>
      </c>
      <c r="B428" s="560"/>
      <c r="C428" s="554"/>
      <c r="D428" s="544" t="s">
        <v>799</v>
      </c>
      <c r="E428" s="555"/>
      <c r="F428" s="545">
        <f>E428-(E428*Z13)</f>
        <v>0</v>
      </c>
      <c r="G428" s="546"/>
      <c r="H428" s="547">
        <f>IF(D428="Rəsmi gəlir",AA3,IF(D428="Qeyri rəsmi gəlir",AB3))</f>
        <v>7.0000000000000007E-2</v>
      </c>
      <c r="I428" s="547">
        <f>IF(D428="Rəsmi gəlir",AA4,IF(D428="Qeyri rəsmi gəlir",AB4))</f>
        <v>0.12</v>
      </c>
      <c r="J428" s="547">
        <f>IF(D428="Rəsmi gəlir",AA5,IF(D428="Qeyri rəsmi gəlir",AB5))</f>
        <v>0.16</v>
      </c>
      <c r="K428" s="547">
        <f>IF(D428="Rəsmi gəlir",AA6,IF(D428="Qeyri rəsmi gəlir",AB6))</f>
        <v>0.2</v>
      </c>
      <c r="L428" s="547">
        <f>IF(D428="Rəsmi gəlir",AA7,IF(D428="Qeyri rəsmi gəlir",AB7))</f>
        <v>0.23</v>
      </c>
      <c r="M428" s="547">
        <f>IF(D428="Rəsmi gəlir",AA8,IF(D428="Qeyri rəsmi gəlir",AB8))</f>
        <v>0.25600000000000001</v>
      </c>
      <c r="N428" s="547">
        <f>IF(D428="Rəsmi gəlir",AA9,IF(D428="Qeyri rəsmi gəlir",AB9))</f>
        <v>0.28550000000000003</v>
      </c>
      <c r="O428" s="547">
        <f>IF(D428="Rəsmi gəlir",AA10,IF(D428="Qeyri rəsmi gəlir",AB10))</f>
        <v>0</v>
      </c>
      <c r="P428" s="547" t="b">
        <f t="shared" si="36"/>
        <v>0</v>
      </c>
      <c r="Q428" s="548">
        <f t="shared" si="37"/>
        <v>0</v>
      </c>
      <c r="R428" s="543" t="str">
        <f t="shared" si="39"/>
        <v>-</v>
      </c>
      <c r="S428" s="549"/>
      <c r="T428" s="543" t="e">
        <f t="shared" si="40"/>
        <v>#VALUE!</v>
      </c>
      <c r="U428" s="548" t="e">
        <f t="shared" si="38"/>
        <v>#VALUE!</v>
      </c>
      <c r="V428" s="548" t="e">
        <f t="shared" si="41"/>
        <v>#VALUE!</v>
      </c>
      <c r="W428" s="544"/>
      <c r="X428" s="556"/>
    </row>
    <row r="429" spans="1:24">
      <c r="A429" s="552">
        <v>427</v>
      </c>
      <c r="B429" s="560"/>
      <c r="C429" s="554"/>
      <c r="D429" s="544" t="s">
        <v>799</v>
      </c>
      <c r="E429" s="555"/>
      <c r="F429" s="545">
        <f>E429-(E429*Z13)</f>
        <v>0</v>
      </c>
      <c r="G429" s="546"/>
      <c r="H429" s="547">
        <f>IF(D429="Rəsmi gəlir",AA3,IF(D429="Qeyri rəsmi gəlir",AB3))</f>
        <v>7.0000000000000007E-2</v>
      </c>
      <c r="I429" s="547">
        <f>IF(D429="Rəsmi gəlir",AA4,IF(D429="Qeyri rəsmi gəlir",AB4))</f>
        <v>0.12</v>
      </c>
      <c r="J429" s="547">
        <f>IF(D429="Rəsmi gəlir",AA5,IF(D429="Qeyri rəsmi gəlir",AB5))</f>
        <v>0.16</v>
      </c>
      <c r="K429" s="547">
        <f>IF(D429="Rəsmi gəlir",AA6,IF(D429="Qeyri rəsmi gəlir",AB6))</f>
        <v>0.2</v>
      </c>
      <c r="L429" s="547">
        <f>IF(D429="Rəsmi gəlir",AA7,IF(D429="Qeyri rəsmi gəlir",AB7))</f>
        <v>0.23</v>
      </c>
      <c r="M429" s="547">
        <f>IF(D429="Rəsmi gəlir",AA8,IF(D429="Qeyri rəsmi gəlir",AB8))</f>
        <v>0.25600000000000001</v>
      </c>
      <c r="N429" s="547">
        <f>IF(D429="Rəsmi gəlir",AA9,IF(D429="Qeyri rəsmi gəlir",AB9))</f>
        <v>0.28550000000000003</v>
      </c>
      <c r="O429" s="547">
        <f>IF(D429="Rəsmi gəlir",AA10,IF(D429="Qeyri rəsmi gəlir",AB10))</f>
        <v>0</v>
      </c>
      <c r="P429" s="547" t="b">
        <f t="shared" si="36"/>
        <v>0</v>
      </c>
      <c r="Q429" s="548">
        <f t="shared" si="37"/>
        <v>0</v>
      </c>
      <c r="R429" s="543" t="str">
        <f t="shared" si="39"/>
        <v>-</v>
      </c>
      <c r="S429" s="549"/>
      <c r="T429" s="543" t="e">
        <f t="shared" si="40"/>
        <v>#VALUE!</v>
      </c>
      <c r="U429" s="548" t="e">
        <f t="shared" si="38"/>
        <v>#VALUE!</v>
      </c>
      <c r="V429" s="548" t="e">
        <f t="shared" si="41"/>
        <v>#VALUE!</v>
      </c>
      <c r="W429" s="544"/>
      <c r="X429" s="556"/>
    </row>
    <row r="430" spans="1:24">
      <c r="A430" s="552">
        <v>428</v>
      </c>
      <c r="B430" s="560"/>
      <c r="C430" s="554"/>
      <c r="D430" s="544" t="s">
        <v>799</v>
      </c>
      <c r="E430" s="555"/>
      <c r="F430" s="545">
        <f>E430-(E430*Z13)</f>
        <v>0</v>
      </c>
      <c r="G430" s="546"/>
      <c r="H430" s="547">
        <f>IF(D430="Rəsmi gəlir",AA3,IF(D430="Qeyri rəsmi gəlir",AB3))</f>
        <v>7.0000000000000007E-2</v>
      </c>
      <c r="I430" s="547">
        <f>IF(D430="Rəsmi gəlir",AA4,IF(D430="Qeyri rəsmi gəlir",AB4))</f>
        <v>0.12</v>
      </c>
      <c r="J430" s="547">
        <f>IF(D430="Rəsmi gəlir",AA5,IF(D430="Qeyri rəsmi gəlir",AB5))</f>
        <v>0.16</v>
      </c>
      <c r="K430" s="547">
        <f>IF(D430="Rəsmi gəlir",AA6,IF(D430="Qeyri rəsmi gəlir",AB6))</f>
        <v>0.2</v>
      </c>
      <c r="L430" s="547">
        <f>IF(D430="Rəsmi gəlir",AA7,IF(D430="Qeyri rəsmi gəlir",AB7))</f>
        <v>0.23</v>
      </c>
      <c r="M430" s="547">
        <f>IF(D430="Rəsmi gəlir",AA8,IF(D430="Qeyri rəsmi gəlir",AB8))</f>
        <v>0.25600000000000001</v>
      </c>
      <c r="N430" s="547">
        <f>IF(D430="Rəsmi gəlir",AA9,IF(D430="Qeyri rəsmi gəlir",AB9))</f>
        <v>0.28550000000000003</v>
      </c>
      <c r="O430" s="547">
        <f>IF(D430="Rəsmi gəlir",AA10,IF(D430="Qeyri rəsmi gəlir",AB10))</f>
        <v>0</v>
      </c>
      <c r="P430" s="547" t="b">
        <f t="shared" si="36"/>
        <v>0</v>
      </c>
      <c r="Q430" s="548">
        <f t="shared" si="37"/>
        <v>0</v>
      </c>
      <c r="R430" s="543" t="str">
        <f t="shared" si="39"/>
        <v>-</v>
      </c>
      <c r="S430" s="549"/>
      <c r="T430" s="543" t="e">
        <f t="shared" si="40"/>
        <v>#VALUE!</v>
      </c>
      <c r="U430" s="548" t="e">
        <f t="shared" si="38"/>
        <v>#VALUE!</v>
      </c>
      <c r="V430" s="548" t="e">
        <f t="shared" si="41"/>
        <v>#VALUE!</v>
      </c>
      <c r="W430" s="544"/>
      <c r="X430" s="556"/>
    </row>
    <row r="431" spans="1:24">
      <c r="A431" s="552">
        <v>429</v>
      </c>
      <c r="B431" s="560"/>
      <c r="C431" s="554"/>
      <c r="D431" s="544" t="s">
        <v>799</v>
      </c>
      <c r="E431" s="555"/>
      <c r="F431" s="545">
        <f>E431-(E431*Z13)</f>
        <v>0</v>
      </c>
      <c r="G431" s="546"/>
      <c r="H431" s="547">
        <f>IF(D431="Rəsmi gəlir",AA3,IF(D431="Qeyri rəsmi gəlir",AB3))</f>
        <v>7.0000000000000007E-2</v>
      </c>
      <c r="I431" s="547">
        <f>IF(D431="Rəsmi gəlir",AA4,IF(D431="Qeyri rəsmi gəlir",AB4))</f>
        <v>0.12</v>
      </c>
      <c r="J431" s="547">
        <f>IF(D431="Rəsmi gəlir",AA5,IF(D431="Qeyri rəsmi gəlir",AB5))</f>
        <v>0.16</v>
      </c>
      <c r="K431" s="547">
        <f>IF(D431="Rəsmi gəlir",AA6,IF(D431="Qeyri rəsmi gəlir",AB6))</f>
        <v>0.2</v>
      </c>
      <c r="L431" s="547">
        <f>IF(D431="Rəsmi gəlir",AA7,IF(D431="Qeyri rəsmi gəlir",AB7))</f>
        <v>0.23</v>
      </c>
      <c r="M431" s="547">
        <f>IF(D431="Rəsmi gəlir",AA8,IF(D431="Qeyri rəsmi gəlir",AB8))</f>
        <v>0.25600000000000001</v>
      </c>
      <c r="N431" s="547">
        <f>IF(D431="Rəsmi gəlir",AA9,IF(D431="Qeyri rəsmi gəlir",AB9))</f>
        <v>0.28550000000000003</v>
      </c>
      <c r="O431" s="547">
        <f>IF(D431="Rəsmi gəlir",AA10,IF(D431="Qeyri rəsmi gəlir",AB10))</f>
        <v>0</v>
      </c>
      <c r="P431" s="547" t="b">
        <f t="shared" si="36"/>
        <v>0</v>
      </c>
      <c r="Q431" s="548">
        <f t="shared" si="37"/>
        <v>0</v>
      </c>
      <c r="R431" s="543" t="str">
        <f t="shared" si="39"/>
        <v>-</v>
      </c>
      <c r="S431" s="549"/>
      <c r="T431" s="543" t="e">
        <f t="shared" si="40"/>
        <v>#VALUE!</v>
      </c>
      <c r="U431" s="548" t="e">
        <f t="shared" si="38"/>
        <v>#VALUE!</v>
      </c>
      <c r="V431" s="548" t="e">
        <f t="shared" si="41"/>
        <v>#VALUE!</v>
      </c>
      <c r="W431" s="544"/>
      <c r="X431" s="556"/>
    </row>
    <row r="432" spans="1:24">
      <c r="A432" s="552">
        <v>430</v>
      </c>
      <c r="B432" s="560"/>
      <c r="C432" s="554"/>
      <c r="D432" s="544" t="s">
        <v>799</v>
      </c>
      <c r="E432" s="555"/>
      <c r="F432" s="545">
        <f>E432-(E432*Z13)</f>
        <v>0</v>
      </c>
      <c r="G432" s="546"/>
      <c r="H432" s="547">
        <f>IF(D432="Rəsmi gəlir",AA3,IF(D432="Qeyri rəsmi gəlir",AB3))</f>
        <v>7.0000000000000007E-2</v>
      </c>
      <c r="I432" s="547">
        <f>IF(D432="Rəsmi gəlir",AA4,IF(D432="Qeyri rəsmi gəlir",AB4))</f>
        <v>0.12</v>
      </c>
      <c r="J432" s="547">
        <f>IF(D432="Rəsmi gəlir",AA5,IF(D432="Qeyri rəsmi gəlir",AB5))</f>
        <v>0.16</v>
      </c>
      <c r="K432" s="547">
        <f>IF(D432="Rəsmi gəlir",AA6,IF(D432="Qeyri rəsmi gəlir",AB6))</f>
        <v>0.2</v>
      </c>
      <c r="L432" s="547">
        <f>IF(D432="Rəsmi gəlir",AA7,IF(D432="Qeyri rəsmi gəlir",AB7))</f>
        <v>0.23</v>
      </c>
      <c r="M432" s="547">
        <f>IF(D432="Rəsmi gəlir",AA8,IF(D432="Qeyri rəsmi gəlir",AB8))</f>
        <v>0.25600000000000001</v>
      </c>
      <c r="N432" s="547">
        <f>IF(D432="Rəsmi gəlir",AA9,IF(D432="Qeyri rəsmi gəlir",AB9))</f>
        <v>0.28550000000000003</v>
      </c>
      <c r="O432" s="547">
        <f>IF(D432="Rəsmi gəlir",AA10,IF(D432="Qeyri rəsmi gəlir",AB10))</f>
        <v>0</v>
      </c>
      <c r="P432" s="547" t="b">
        <f t="shared" si="36"/>
        <v>0</v>
      </c>
      <c r="Q432" s="548">
        <f t="shared" si="37"/>
        <v>0</v>
      </c>
      <c r="R432" s="543" t="str">
        <f t="shared" si="39"/>
        <v>-</v>
      </c>
      <c r="S432" s="549"/>
      <c r="T432" s="543" t="e">
        <f t="shared" si="40"/>
        <v>#VALUE!</v>
      </c>
      <c r="U432" s="548" t="e">
        <f t="shared" si="38"/>
        <v>#VALUE!</v>
      </c>
      <c r="V432" s="548" t="e">
        <f t="shared" si="41"/>
        <v>#VALUE!</v>
      </c>
      <c r="W432" s="544"/>
      <c r="X432" s="556"/>
    </row>
    <row r="433" spans="1:24">
      <c r="A433" s="552">
        <v>431</v>
      </c>
      <c r="B433" s="560"/>
      <c r="C433" s="554"/>
      <c r="D433" s="544" t="s">
        <v>799</v>
      </c>
      <c r="E433" s="555"/>
      <c r="F433" s="545">
        <f>E433-(E433*Z13)</f>
        <v>0</v>
      </c>
      <c r="G433" s="546"/>
      <c r="H433" s="547">
        <f>IF(D433="Rəsmi gəlir",AA3,IF(D433="Qeyri rəsmi gəlir",AB3))</f>
        <v>7.0000000000000007E-2</v>
      </c>
      <c r="I433" s="547">
        <f>IF(D433="Rəsmi gəlir",AA4,IF(D433="Qeyri rəsmi gəlir",AB4))</f>
        <v>0.12</v>
      </c>
      <c r="J433" s="547">
        <f>IF(D433="Rəsmi gəlir",AA5,IF(D433="Qeyri rəsmi gəlir",AB5))</f>
        <v>0.16</v>
      </c>
      <c r="K433" s="547">
        <f>IF(D433="Rəsmi gəlir",AA6,IF(D433="Qeyri rəsmi gəlir",AB6))</f>
        <v>0.2</v>
      </c>
      <c r="L433" s="547">
        <f>IF(D433="Rəsmi gəlir",AA7,IF(D433="Qeyri rəsmi gəlir",AB7))</f>
        <v>0.23</v>
      </c>
      <c r="M433" s="547">
        <f>IF(D433="Rəsmi gəlir",AA8,IF(D433="Qeyri rəsmi gəlir",AB8))</f>
        <v>0.25600000000000001</v>
      </c>
      <c r="N433" s="547">
        <f>IF(D433="Rəsmi gəlir",AA9,IF(D433="Qeyri rəsmi gəlir",AB9))</f>
        <v>0.28550000000000003</v>
      </c>
      <c r="O433" s="547">
        <f>IF(D433="Rəsmi gəlir",AA10,IF(D433="Qeyri rəsmi gəlir",AB10))</f>
        <v>0</v>
      </c>
      <c r="P433" s="547" t="b">
        <f t="shared" si="36"/>
        <v>0</v>
      </c>
      <c r="Q433" s="548">
        <f t="shared" si="37"/>
        <v>0</v>
      </c>
      <c r="R433" s="543" t="str">
        <f t="shared" si="39"/>
        <v>-</v>
      </c>
      <c r="S433" s="549"/>
      <c r="T433" s="543" t="e">
        <f t="shared" si="40"/>
        <v>#VALUE!</v>
      </c>
      <c r="U433" s="548" t="e">
        <f t="shared" si="38"/>
        <v>#VALUE!</v>
      </c>
      <c r="V433" s="548" t="e">
        <f t="shared" si="41"/>
        <v>#VALUE!</v>
      </c>
      <c r="W433" s="544"/>
      <c r="X433" s="556"/>
    </row>
    <row r="434" spans="1:24">
      <c r="A434" s="552">
        <v>432</v>
      </c>
      <c r="B434" s="560"/>
      <c r="C434" s="554"/>
      <c r="D434" s="544" t="s">
        <v>799</v>
      </c>
      <c r="E434" s="555"/>
      <c r="F434" s="545">
        <f>E434-(E434*Z13)</f>
        <v>0</v>
      </c>
      <c r="G434" s="546"/>
      <c r="H434" s="547">
        <f>IF(D434="Rəsmi gəlir",AA3,IF(D434="Qeyri rəsmi gəlir",AB3))</f>
        <v>7.0000000000000007E-2</v>
      </c>
      <c r="I434" s="547">
        <f>IF(D434="Rəsmi gəlir",AA4,IF(D434="Qeyri rəsmi gəlir",AB4))</f>
        <v>0.12</v>
      </c>
      <c r="J434" s="547">
        <f>IF(D434="Rəsmi gəlir",AA5,IF(D434="Qeyri rəsmi gəlir",AB5))</f>
        <v>0.16</v>
      </c>
      <c r="K434" s="547">
        <f>IF(D434="Rəsmi gəlir",AA6,IF(D434="Qeyri rəsmi gəlir",AB6))</f>
        <v>0.2</v>
      </c>
      <c r="L434" s="547">
        <f>IF(D434="Rəsmi gəlir",AA7,IF(D434="Qeyri rəsmi gəlir",AB7))</f>
        <v>0.23</v>
      </c>
      <c r="M434" s="547">
        <f>IF(D434="Rəsmi gəlir",AA8,IF(D434="Qeyri rəsmi gəlir",AB8))</f>
        <v>0.25600000000000001</v>
      </c>
      <c r="N434" s="547">
        <f>IF(D434="Rəsmi gəlir",AA9,IF(D434="Qeyri rəsmi gəlir",AB9))</f>
        <v>0.28550000000000003</v>
      </c>
      <c r="O434" s="547">
        <f>IF(D434="Rəsmi gəlir",AA10,IF(D434="Qeyri rəsmi gəlir",AB10))</f>
        <v>0</v>
      </c>
      <c r="P434" s="547" t="b">
        <f t="shared" si="36"/>
        <v>0</v>
      </c>
      <c r="Q434" s="548">
        <f t="shared" si="37"/>
        <v>0</v>
      </c>
      <c r="R434" s="543" t="str">
        <f t="shared" si="39"/>
        <v>-</v>
      </c>
      <c r="S434" s="549"/>
      <c r="T434" s="543" t="e">
        <f t="shared" si="40"/>
        <v>#VALUE!</v>
      </c>
      <c r="U434" s="548" t="e">
        <f t="shared" si="38"/>
        <v>#VALUE!</v>
      </c>
      <c r="V434" s="548" t="e">
        <f t="shared" si="41"/>
        <v>#VALUE!</v>
      </c>
      <c r="W434" s="544"/>
      <c r="X434" s="556"/>
    </row>
    <row r="435" spans="1:24">
      <c r="A435" s="552">
        <v>433</v>
      </c>
      <c r="B435" s="560"/>
      <c r="C435" s="554"/>
      <c r="D435" s="544" t="s">
        <v>799</v>
      </c>
      <c r="E435" s="555"/>
      <c r="F435" s="545">
        <f>E435-(E435*Z13)</f>
        <v>0</v>
      </c>
      <c r="G435" s="546"/>
      <c r="H435" s="547">
        <f>IF(D435="Rəsmi gəlir",AA3,IF(D435="Qeyri rəsmi gəlir",AB3))</f>
        <v>7.0000000000000007E-2</v>
      </c>
      <c r="I435" s="547">
        <f>IF(D435="Rəsmi gəlir",AA4,IF(D435="Qeyri rəsmi gəlir",AB4))</f>
        <v>0.12</v>
      </c>
      <c r="J435" s="547">
        <f>IF(D435="Rəsmi gəlir",AA5,IF(D435="Qeyri rəsmi gəlir",AB5))</f>
        <v>0.16</v>
      </c>
      <c r="K435" s="547">
        <f>IF(D435="Rəsmi gəlir",AA6,IF(D435="Qeyri rəsmi gəlir",AB6))</f>
        <v>0.2</v>
      </c>
      <c r="L435" s="547">
        <f>IF(D435="Rəsmi gəlir",AA7,IF(D435="Qeyri rəsmi gəlir",AB7))</f>
        <v>0.23</v>
      </c>
      <c r="M435" s="547">
        <f>IF(D435="Rəsmi gəlir",AA8,IF(D435="Qeyri rəsmi gəlir",AB8))</f>
        <v>0.25600000000000001</v>
      </c>
      <c r="N435" s="547">
        <f>IF(D435="Rəsmi gəlir",AA9,IF(D435="Qeyri rəsmi gəlir",AB9))</f>
        <v>0.28550000000000003</v>
      </c>
      <c r="O435" s="547">
        <f>IF(D435="Rəsmi gəlir",AA10,IF(D435="Qeyri rəsmi gəlir",AB10))</f>
        <v>0</v>
      </c>
      <c r="P435" s="547" t="b">
        <f t="shared" si="36"/>
        <v>0</v>
      </c>
      <c r="Q435" s="548">
        <f t="shared" si="37"/>
        <v>0</v>
      </c>
      <c r="R435" s="543" t="str">
        <f t="shared" si="39"/>
        <v>-</v>
      </c>
      <c r="S435" s="549"/>
      <c r="T435" s="543" t="e">
        <f t="shared" si="40"/>
        <v>#VALUE!</v>
      </c>
      <c r="U435" s="548" t="e">
        <f t="shared" si="38"/>
        <v>#VALUE!</v>
      </c>
      <c r="V435" s="548" t="e">
        <f t="shared" si="41"/>
        <v>#VALUE!</v>
      </c>
      <c r="W435" s="544"/>
      <c r="X435" s="556"/>
    </row>
    <row r="436" spans="1:24">
      <c r="A436" s="552">
        <v>434</v>
      </c>
      <c r="B436" s="560"/>
      <c r="C436" s="554"/>
      <c r="D436" s="544" t="s">
        <v>799</v>
      </c>
      <c r="E436" s="555"/>
      <c r="F436" s="545">
        <f>E436-(E436*Z13)</f>
        <v>0</v>
      </c>
      <c r="G436" s="546"/>
      <c r="H436" s="547">
        <f>IF(D436="Rəsmi gəlir",AA3,IF(D436="Qeyri rəsmi gəlir",AB3))</f>
        <v>7.0000000000000007E-2</v>
      </c>
      <c r="I436" s="547">
        <f>IF(D436="Rəsmi gəlir",AA4,IF(D436="Qeyri rəsmi gəlir",AB4))</f>
        <v>0.12</v>
      </c>
      <c r="J436" s="547">
        <f>IF(D436="Rəsmi gəlir",AA5,IF(D436="Qeyri rəsmi gəlir",AB5))</f>
        <v>0.16</v>
      </c>
      <c r="K436" s="547">
        <f>IF(D436="Rəsmi gəlir",AA6,IF(D436="Qeyri rəsmi gəlir",AB6))</f>
        <v>0.2</v>
      </c>
      <c r="L436" s="547">
        <f>IF(D436="Rəsmi gəlir",AA7,IF(D436="Qeyri rəsmi gəlir",AB7))</f>
        <v>0.23</v>
      </c>
      <c r="M436" s="547">
        <f>IF(D436="Rəsmi gəlir",AA8,IF(D436="Qeyri rəsmi gəlir",AB8))</f>
        <v>0.25600000000000001</v>
      </c>
      <c r="N436" s="547">
        <f>IF(D436="Rəsmi gəlir",AA9,IF(D436="Qeyri rəsmi gəlir",AB9))</f>
        <v>0.28550000000000003</v>
      </c>
      <c r="O436" s="547">
        <f>IF(D436="Rəsmi gəlir",AA10,IF(D436="Qeyri rəsmi gəlir",AB10))</f>
        <v>0</v>
      </c>
      <c r="P436" s="547" t="b">
        <f t="shared" si="36"/>
        <v>0</v>
      </c>
      <c r="Q436" s="548">
        <f t="shared" si="37"/>
        <v>0</v>
      </c>
      <c r="R436" s="543" t="str">
        <f t="shared" si="39"/>
        <v>-</v>
      </c>
      <c r="S436" s="549"/>
      <c r="T436" s="543" t="e">
        <f t="shared" si="40"/>
        <v>#VALUE!</v>
      </c>
      <c r="U436" s="548" t="e">
        <f t="shared" si="38"/>
        <v>#VALUE!</v>
      </c>
      <c r="V436" s="548" t="e">
        <f t="shared" si="41"/>
        <v>#VALUE!</v>
      </c>
      <c r="W436" s="544"/>
      <c r="X436" s="556"/>
    </row>
    <row r="437" spans="1:24">
      <c r="A437" s="552">
        <v>435</v>
      </c>
      <c r="B437" s="560"/>
      <c r="C437" s="554"/>
      <c r="D437" s="544" t="s">
        <v>799</v>
      </c>
      <c r="E437" s="555"/>
      <c r="F437" s="545">
        <f>E437-(E437*Z13)</f>
        <v>0</v>
      </c>
      <c r="G437" s="546"/>
      <c r="H437" s="547">
        <f>IF(D437="Rəsmi gəlir",AA3,IF(D437="Qeyri rəsmi gəlir",AB3))</f>
        <v>7.0000000000000007E-2</v>
      </c>
      <c r="I437" s="547">
        <f>IF(D437="Rəsmi gəlir",AA4,IF(D437="Qeyri rəsmi gəlir",AB4))</f>
        <v>0.12</v>
      </c>
      <c r="J437" s="547">
        <f>IF(D437="Rəsmi gəlir",AA5,IF(D437="Qeyri rəsmi gəlir",AB5))</f>
        <v>0.16</v>
      </c>
      <c r="K437" s="547">
        <f>IF(D437="Rəsmi gəlir",AA6,IF(D437="Qeyri rəsmi gəlir",AB6))</f>
        <v>0.2</v>
      </c>
      <c r="L437" s="547">
        <f>IF(D437="Rəsmi gəlir",AA7,IF(D437="Qeyri rəsmi gəlir",AB7))</f>
        <v>0.23</v>
      </c>
      <c r="M437" s="547">
        <f>IF(D437="Rəsmi gəlir",AA8,IF(D437="Qeyri rəsmi gəlir",AB8))</f>
        <v>0.25600000000000001</v>
      </c>
      <c r="N437" s="547">
        <f>IF(D437="Rəsmi gəlir",AA9,IF(D437="Qeyri rəsmi gəlir",AB9))</f>
        <v>0.28550000000000003</v>
      </c>
      <c r="O437" s="547">
        <f>IF(D437="Rəsmi gəlir",AA10,IF(D437="Qeyri rəsmi gəlir",AB10))</f>
        <v>0</v>
      </c>
      <c r="P437" s="547" t="b">
        <f t="shared" si="36"/>
        <v>0</v>
      </c>
      <c r="Q437" s="548">
        <f t="shared" si="37"/>
        <v>0</v>
      </c>
      <c r="R437" s="543" t="str">
        <f t="shared" si="39"/>
        <v>-</v>
      </c>
      <c r="S437" s="549"/>
      <c r="T437" s="543" t="e">
        <f t="shared" si="40"/>
        <v>#VALUE!</v>
      </c>
      <c r="U437" s="548" t="e">
        <f t="shared" si="38"/>
        <v>#VALUE!</v>
      </c>
      <c r="V437" s="548" t="e">
        <f t="shared" si="41"/>
        <v>#VALUE!</v>
      </c>
      <c r="W437" s="544"/>
      <c r="X437" s="556"/>
    </row>
    <row r="438" spans="1:24">
      <c r="A438" s="552">
        <v>436</v>
      </c>
      <c r="B438" s="560"/>
      <c r="C438" s="554"/>
      <c r="D438" s="544" t="s">
        <v>799</v>
      </c>
      <c r="E438" s="555"/>
      <c r="F438" s="545">
        <f>E438-(E438*Z13)</f>
        <v>0</v>
      </c>
      <c r="G438" s="546"/>
      <c r="H438" s="547">
        <f>IF(D438="Rəsmi gəlir",AA3,IF(D438="Qeyri rəsmi gəlir",AB3))</f>
        <v>7.0000000000000007E-2</v>
      </c>
      <c r="I438" s="547">
        <f>IF(D438="Rəsmi gəlir",AA4,IF(D438="Qeyri rəsmi gəlir",AB4))</f>
        <v>0.12</v>
      </c>
      <c r="J438" s="547">
        <f>IF(D438="Rəsmi gəlir",AA5,IF(D438="Qeyri rəsmi gəlir",AB5))</f>
        <v>0.16</v>
      </c>
      <c r="K438" s="547">
        <f>IF(D438="Rəsmi gəlir",AA6,IF(D438="Qeyri rəsmi gəlir",AB6))</f>
        <v>0.2</v>
      </c>
      <c r="L438" s="547">
        <f>IF(D438="Rəsmi gəlir",AA7,IF(D438="Qeyri rəsmi gəlir",AB7))</f>
        <v>0.23</v>
      </c>
      <c r="M438" s="547">
        <f>IF(D438="Rəsmi gəlir",AA8,IF(D438="Qeyri rəsmi gəlir",AB8))</f>
        <v>0.25600000000000001</v>
      </c>
      <c r="N438" s="547">
        <f>IF(D438="Rəsmi gəlir",AA9,IF(D438="Qeyri rəsmi gəlir",AB9))</f>
        <v>0.28550000000000003</v>
      </c>
      <c r="O438" s="547">
        <f>IF(D438="Rəsmi gəlir",AA10,IF(D438="Qeyri rəsmi gəlir",AB10))</f>
        <v>0</v>
      </c>
      <c r="P438" s="547" t="b">
        <f t="shared" si="36"/>
        <v>0</v>
      </c>
      <c r="Q438" s="548">
        <f t="shared" si="37"/>
        <v>0</v>
      </c>
      <c r="R438" s="543" t="str">
        <f t="shared" si="39"/>
        <v>-</v>
      </c>
      <c r="S438" s="549"/>
      <c r="T438" s="543" t="e">
        <f t="shared" si="40"/>
        <v>#VALUE!</v>
      </c>
      <c r="U438" s="548" t="e">
        <f t="shared" si="38"/>
        <v>#VALUE!</v>
      </c>
      <c r="V438" s="548" t="e">
        <f t="shared" si="41"/>
        <v>#VALUE!</v>
      </c>
      <c r="W438" s="544"/>
      <c r="X438" s="556"/>
    </row>
    <row r="439" spans="1:24">
      <c r="A439" s="552">
        <v>437</v>
      </c>
      <c r="B439" s="560"/>
      <c r="C439" s="554"/>
      <c r="D439" s="544" t="s">
        <v>799</v>
      </c>
      <c r="E439" s="555"/>
      <c r="F439" s="545">
        <f>E439-(E439*Z13)</f>
        <v>0</v>
      </c>
      <c r="G439" s="546"/>
      <c r="H439" s="547">
        <f>IF(D439="Rəsmi gəlir",AA3,IF(D439="Qeyri rəsmi gəlir",AB3))</f>
        <v>7.0000000000000007E-2</v>
      </c>
      <c r="I439" s="547">
        <f>IF(D439="Rəsmi gəlir",AA4,IF(D439="Qeyri rəsmi gəlir",AB4))</f>
        <v>0.12</v>
      </c>
      <c r="J439" s="547">
        <f>IF(D439="Rəsmi gəlir",AA5,IF(D439="Qeyri rəsmi gəlir",AB5))</f>
        <v>0.16</v>
      </c>
      <c r="K439" s="547">
        <f>IF(D439="Rəsmi gəlir",AA6,IF(D439="Qeyri rəsmi gəlir",AB6))</f>
        <v>0.2</v>
      </c>
      <c r="L439" s="547">
        <f>IF(D439="Rəsmi gəlir",AA7,IF(D439="Qeyri rəsmi gəlir",AB7))</f>
        <v>0.23</v>
      </c>
      <c r="M439" s="547">
        <f>IF(D439="Rəsmi gəlir",AA8,IF(D439="Qeyri rəsmi gəlir",AB8))</f>
        <v>0.25600000000000001</v>
      </c>
      <c r="N439" s="547">
        <f>IF(D439="Rəsmi gəlir",AA9,IF(D439="Qeyri rəsmi gəlir",AB9))</f>
        <v>0.28550000000000003</v>
      </c>
      <c r="O439" s="547">
        <f>IF(D439="Rəsmi gəlir",AA10,IF(D439="Qeyri rəsmi gəlir",AB10))</f>
        <v>0</v>
      </c>
      <c r="P439" s="547" t="b">
        <f t="shared" si="36"/>
        <v>0</v>
      </c>
      <c r="Q439" s="548">
        <f t="shared" si="37"/>
        <v>0</v>
      </c>
      <c r="R439" s="543" t="str">
        <f t="shared" si="39"/>
        <v>-</v>
      </c>
      <c r="S439" s="549"/>
      <c r="T439" s="543" t="e">
        <f t="shared" si="40"/>
        <v>#VALUE!</v>
      </c>
      <c r="U439" s="548" t="e">
        <f t="shared" si="38"/>
        <v>#VALUE!</v>
      </c>
      <c r="V439" s="548" t="e">
        <f t="shared" si="41"/>
        <v>#VALUE!</v>
      </c>
      <c r="W439" s="544"/>
      <c r="X439" s="556"/>
    </row>
    <row r="440" spans="1:24">
      <c r="A440" s="552">
        <v>438</v>
      </c>
      <c r="B440" s="560"/>
      <c r="C440" s="554"/>
      <c r="D440" s="544" t="s">
        <v>799</v>
      </c>
      <c r="E440" s="555"/>
      <c r="F440" s="545">
        <f>E440-(E440*Z13)</f>
        <v>0</v>
      </c>
      <c r="G440" s="546"/>
      <c r="H440" s="547">
        <f>IF(D440="Rəsmi gəlir",AA3,IF(D440="Qeyri rəsmi gəlir",AB3))</f>
        <v>7.0000000000000007E-2</v>
      </c>
      <c r="I440" s="547">
        <f>IF(D440="Rəsmi gəlir",AA4,IF(D440="Qeyri rəsmi gəlir",AB4))</f>
        <v>0.12</v>
      </c>
      <c r="J440" s="547">
        <f>IF(D440="Rəsmi gəlir",AA5,IF(D440="Qeyri rəsmi gəlir",AB5))</f>
        <v>0.16</v>
      </c>
      <c r="K440" s="547">
        <f>IF(D440="Rəsmi gəlir",AA6,IF(D440="Qeyri rəsmi gəlir",AB6))</f>
        <v>0.2</v>
      </c>
      <c r="L440" s="547">
        <f>IF(D440="Rəsmi gəlir",AA7,IF(D440="Qeyri rəsmi gəlir",AB7))</f>
        <v>0.23</v>
      </c>
      <c r="M440" s="547">
        <f>IF(D440="Rəsmi gəlir",AA8,IF(D440="Qeyri rəsmi gəlir",AB8))</f>
        <v>0.25600000000000001</v>
      </c>
      <c r="N440" s="547">
        <f>IF(D440="Rəsmi gəlir",AA9,IF(D440="Qeyri rəsmi gəlir",AB9))</f>
        <v>0.28550000000000003</v>
      </c>
      <c r="O440" s="547">
        <f>IF(D440="Rəsmi gəlir",AA10,IF(D440="Qeyri rəsmi gəlir",AB10))</f>
        <v>0</v>
      </c>
      <c r="P440" s="547" t="b">
        <f t="shared" si="36"/>
        <v>0</v>
      </c>
      <c r="Q440" s="548">
        <f t="shared" si="37"/>
        <v>0</v>
      </c>
      <c r="R440" s="543" t="str">
        <f t="shared" si="39"/>
        <v>-</v>
      </c>
      <c r="S440" s="549"/>
      <c r="T440" s="543" t="e">
        <f t="shared" si="40"/>
        <v>#VALUE!</v>
      </c>
      <c r="U440" s="548" t="e">
        <f t="shared" si="38"/>
        <v>#VALUE!</v>
      </c>
      <c r="V440" s="548" t="e">
        <f t="shared" si="41"/>
        <v>#VALUE!</v>
      </c>
      <c r="W440" s="544"/>
      <c r="X440" s="556"/>
    </row>
    <row r="441" spans="1:24">
      <c r="A441" s="552">
        <v>439</v>
      </c>
      <c r="B441" s="560"/>
      <c r="C441" s="554"/>
      <c r="D441" s="544" t="s">
        <v>799</v>
      </c>
      <c r="E441" s="555"/>
      <c r="F441" s="545">
        <f>E441-(E441*Z13)</f>
        <v>0</v>
      </c>
      <c r="G441" s="546"/>
      <c r="H441" s="547">
        <f>IF(D441="Rəsmi gəlir",AA3,IF(D441="Qeyri rəsmi gəlir",AB3))</f>
        <v>7.0000000000000007E-2</v>
      </c>
      <c r="I441" s="547">
        <f>IF(D441="Rəsmi gəlir",AA4,IF(D441="Qeyri rəsmi gəlir",AB4))</f>
        <v>0.12</v>
      </c>
      <c r="J441" s="547">
        <f>IF(D441="Rəsmi gəlir",AA5,IF(D441="Qeyri rəsmi gəlir",AB5))</f>
        <v>0.16</v>
      </c>
      <c r="K441" s="547">
        <f>IF(D441="Rəsmi gəlir",AA6,IF(D441="Qeyri rəsmi gəlir",AB6))</f>
        <v>0.2</v>
      </c>
      <c r="L441" s="547">
        <f>IF(D441="Rəsmi gəlir",AA7,IF(D441="Qeyri rəsmi gəlir",AB7))</f>
        <v>0.23</v>
      </c>
      <c r="M441" s="547">
        <f>IF(D441="Rəsmi gəlir",AA8,IF(D441="Qeyri rəsmi gəlir",AB8))</f>
        <v>0.25600000000000001</v>
      </c>
      <c r="N441" s="547">
        <f>IF(D441="Rəsmi gəlir",AA9,IF(D441="Qeyri rəsmi gəlir",AB9))</f>
        <v>0.28550000000000003</v>
      </c>
      <c r="O441" s="547">
        <f>IF(D441="Rəsmi gəlir",AA10,IF(D441="Qeyri rəsmi gəlir",AB10))</f>
        <v>0</v>
      </c>
      <c r="P441" s="547" t="b">
        <f t="shared" si="36"/>
        <v>0</v>
      </c>
      <c r="Q441" s="548">
        <f t="shared" si="37"/>
        <v>0</v>
      </c>
      <c r="R441" s="543" t="str">
        <f t="shared" si="39"/>
        <v>-</v>
      </c>
      <c r="S441" s="549"/>
      <c r="T441" s="543" t="e">
        <f t="shared" si="40"/>
        <v>#VALUE!</v>
      </c>
      <c r="U441" s="548" t="e">
        <f t="shared" si="38"/>
        <v>#VALUE!</v>
      </c>
      <c r="V441" s="548" t="e">
        <f t="shared" si="41"/>
        <v>#VALUE!</v>
      </c>
      <c r="W441" s="544"/>
      <c r="X441" s="556"/>
    </row>
    <row r="442" spans="1:24">
      <c r="A442" s="552">
        <v>440</v>
      </c>
      <c r="B442" s="560"/>
      <c r="C442" s="554"/>
      <c r="D442" s="544" t="s">
        <v>799</v>
      </c>
      <c r="E442" s="555"/>
      <c r="F442" s="545">
        <f>E442-(E442*Z13)</f>
        <v>0</v>
      </c>
      <c r="G442" s="546"/>
      <c r="H442" s="547">
        <f>IF(D442="Rəsmi gəlir",AA3,IF(D442="Qeyri rəsmi gəlir",AB3))</f>
        <v>7.0000000000000007E-2</v>
      </c>
      <c r="I442" s="547">
        <f>IF(D442="Rəsmi gəlir",AA4,IF(D442="Qeyri rəsmi gəlir",AB4))</f>
        <v>0.12</v>
      </c>
      <c r="J442" s="547">
        <f>IF(D442="Rəsmi gəlir",AA5,IF(D442="Qeyri rəsmi gəlir",AB5))</f>
        <v>0.16</v>
      </c>
      <c r="K442" s="547">
        <f>IF(D442="Rəsmi gəlir",AA6,IF(D442="Qeyri rəsmi gəlir",AB6))</f>
        <v>0.2</v>
      </c>
      <c r="L442" s="547">
        <f>IF(D442="Rəsmi gəlir",AA7,IF(D442="Qeyri rəsmi gəlir",AB7))</f>
        <v>0.23</v>
      </c>
      <c r="M442" s="547">
        <f>IF(D442="Rəsmi gəlir",AA8,IF(D442="Qeyri rəsmi gəlir",AB8))</f>
        <v>0.25600000000000001</v>
      </c>
      <c r="N442" s="547">
        <f>IF(D442="Rəsmi gəlir",AA9,IF(D442="Qeyri rəsmi gəlir",AB9))</f>
        <v>0.28550000000000003</v>
      </c>
      <c r="O442" s="547">
        <f>IF(D442="Rəsmi gəlir",AA10,IF(D442="Qeyri rəsmi gəlir",AB10))</f>
        <v>0</v>
      </c>
      <c r="P442" s="547" t="b">
        <f t="shared" si="36"/>
        <v>0</v>
      </c>
      <c r="Q442" s="548">
        <f t="shared" si="37"/>
        <v>0</v>
      </c>
      <c r="R442" s="543" t="str">
        <f t="shared" si="39"/>
        <v>-</v>
      </c>
      <c r="S442" s="549"/>
      <c r="T442" s="543" t="e">
        <f t="shared" si="40"/>
        <v>#VALUE!</v>
      </c>
      <c r="U442" s="548" t="e">
        <f t="shared" si="38"/>
        <v>#VALUE!</v>
      </c>
      <c r="V442" s="548" t="e">
        <f t="shared" si="41"/>
        <v>#VALUE!</v>
      </c>
      <c r="W442" s="544"/>
      <c r="X442" s="556"/>
    </row>
    <row r="443" spans="1:24">
      <c r="A443" s="552">
        <v>441</v>
      </c>
      <c r="B443" s="560"/>
      <c r="C443" s="554"/>
      <c r="D443" s="544" t="s">
        <v>799</v>
      </c>
      <c r="E443" s="555"/>
      <c r="F443" s="545">
        <f>E443-(E443*Z13)</f>
        <v>0</v>
      </c>
      <c r="G443" s="546"/>
      <c r="H443" s="547">
        <f>IF(D443="Rəsmi gəlir",AA3,IF(D443="Qeyri rəsmi gəlir",AB3))</f>
        <v>7.0000000000000007E-2</v>
      </c>
      <c r="I443" s="547">
        <f>IF(D443="Rəsmi gəlir",AA4,IF(D443="Qeyri rəsmi gəlir",AB4))</f>
        <v>0.12</v>
      </c>
      <c r="J443" s="547">
        <f>IF(D443="Rəsmi gəlir",AA5,IF(D443="Qeyri rəsmi gəlir",AB5))</f>
        <v>0.16</v>
      </c>
      <c r="K443" s="547">
        <f>IF(D443="Rəsmi gəlir",AA6,IF(D443="Qeyri rəsmi gəlir",AB6))</f>
        <v>0.2</v>
      </c>
      <c r="L443" s="547">
        <f>IF(D443="Rəsmi gəlir",AA7,IF(D443="Qeyri rəsmi gəlir",AB7))</f>
        <v>0.23</v>
      </c>
      <c r="M443" s="547">
        <f>IF(D443="Rəsmi gəlir",AA8,IF(D443="Qeyri rəsmi gəlir",AB8))</f>
        <v>0.25600000000000001</v>
      </c>
      <c r="N443" s="547">
        <f>IF(D443="Rəsmi gəlir",AA9,IF(D443="Qeyri rəsmi gəlir",AB9))</f>
        <v>0.28550000000000003</v>
      </c>
      <c r="O443" s="547">
        <f>IF(D443="Rəsmi gəlir",AA10,IF(D443="Qeyri rəsmi gəlir",AB10))</f>
        <v>0</v>
      </c>
      <c r="P443" s="547" t="b">
        <f t="shared" si="36"/>
        <v>0</v>
      </c>
      <c r="Q443" s="548">
        <f t="shared" si="37"/>
        <v>0</v>
      </c>
      <c r="R443" s="543" t="str">
        <f t="shared" si="39"/>
        <v>-</v>
      </c>
      <c r="S443" s="549"/>
      <c r="T443" s="543" t="e">
        <f t="shared" si="40"/>
        <v>#VALUE!</v>
      </c>
      <c r="U443" s="548" t="e">
        <f t="shared" si="38"/>
        <v>#VALUE!</v>
      </c>
      <c r="V443" s="548" t="e">
        <f t="shared" si="41"/>
        <v>#VALUE!</v>
      </c>
      <c r="W443" s="544"/>
      <c r="X443" s="556"/>
    </row>
    <row r="444" spans="1:24">
      <c r="A444" s="552">
        <v>442</v>
      </c>
      <c r="B444" s="560"/>
      <c r="C444" s="554"/>
      <c r="D444" s="544" t="s">
        <v>799</v>
      </c>
      <c r="E444" s="555"/>
      <c r="F444" s="545">
        <f>E444-(E444*Z13)</f>
        <v>0</v>
      </c>
      <c r="G444" s="546"/>
      <c r="H444" s="547">
        <f>IF(D444="Rəsmi gəlir",AA3,IF(D444="Qeyri rəsmi gəlir",AB3))</f>
        <v>7.0000000000000007E-2</v>
      </c>
      <c r="I444" s="547">
        <f>IF(D444="Rəsmi gəlir",AA4,IF(D444="Qeyri rəsmi gəlir",AB4))</f>
        <v>0.12</v>
      </c>
      <c r="J444" s="547">
        <f>IF(D444="Rəsmi gəlir",AA5,IF(D444="Qeyri rəsmi gəlir",AB5))</f>
        <v>0.16</v>
      </c>
      <c r="K444" s="547">
        <f>IF(D444="Rəsmi gəlir",AA6,IF(D444="Qeyri rəsmi gəlir",AB6))</f>
        <v>0.2</v>
      </c>
      <c r="L444" s="547">
        <f>IF(D444="Rəsmi gəlir",AA7,IF(D444="Qeyri rəsmi gəlir",AB7))</f>
        <v>0.23</v>
      </c>
      <c r="M444" s="547">
        <f>IF(D444="Rəsmi gəlir",AA8,IF(D444="Qeyri rəsmi gəlir",AB8))</f>
        <v>0.25600000000000001</v>
      </c>
      <c r="N444" s="547">
        <f>IF(D444="Rəsmi gəlir",AA9,IF(D444="Qeyri rəsmi gəlir",AB9))</f>
        <v>0.28550000000000003</v>
      </c>
      <c r="O444" s="547">
        <f>IF(D444="Rəsmi gəlir",AA10,IF(D444="Qeyri rəsmi gəlir",AB10))</f>
        <v>0</v>
      </c>
      <c r="P444" s="547" t="b">
        <f t="shared" si="36"/>
        <v>0</v>
      </c>
      <c r="Q444" s="548">
        <f t="shared" si="37"/>
        <v>0</v>
      </c>
      <c r="R444" s="543" t="str">
        <f t="shared" si="39"/>
        <v>-</v>
      </c>
      <c r="S444" s="549"/>
      <c r="T444" s="543" t="e">
        <f t="shared" si="40"/>
        <v>#VALUE!</v>
      </c>
      <c r="U444" s="548" t="e">
        <f t="shared" si="38"/>
        <v>#VALUE!</v>
      </c>
      <c r="V444" s="548" t="e">
        <f t="shared" si="41"/>
        <v>#VALUE!</v>
      </c>
      <c r="W444" s="544"/>
      <c r="X444" s="556"/>
    </row>
    <row r="445" spans="1:24">
      <c r="A445" s="552">
        <v>443</v>
      </c>
      <c r="B445" s="560"/>
      <c r="C445" s="554"/>
      <c r="D445" s="544" t="s">
        <v>799</v>
      </c>
      <c r="E445" s="555"/>
      <c r="F445" s="545">
        <f>E445-(E445*Z13)</f>
        <v>0</v>
      </c>
      <c r="G445" s="546"/>
      <c r="H445" s="547">
        <f>IF(D445="Rəsmi gəlir",AA3,IF(D445="Qeyri rəsmi gəlir",AB3))</f>
        <v>7.0000000000000007E-2</v>
      </c>
      <c r="I445" s="547">
        <f>IF(D445="Rəsmi gəlir",AA4,IF(D445="Qeyri rəsmi gəlir",AB4))</f>
        <v>0.12</v>
      </c>
      <c r="J445" s="547">
        <f>IF(D445="Rəsmi gəlir",AA5,IF(D445="Qeyri rəsmi gəlir",AB5))</f>
        <v>0.16</v>
      </c>
      <c r="K445" s="547">
        <f>IF(D445="Rəsmi gəlir",AA6,IF(D445="Qeyri rəsmi gəlir",AB6))</f>
        <v>0.2</v>
      </c>
      <c r="L445" s="547">
        <f>IF(D445="Rəsmi gəlir",AA7,IF(D445="Qeyri rəsmi gəlir",AB7))</f>
        <v>0.23</v>
      </c>
      <c r="M445" s="547">
        <f>IF(D445="Rəsmi gəlir",AA8,IF(D445="Qeyri rəsmi gəlir",AB8))</f>
        <v>0.25600000000000001</v>
      </c>
      <c r="N445" s="547">
        <f>IF(D445="Rəsmi gəlir",AA9,IF(D445="Qeyri rəsmi gəlir",AB9))</f>
        <v>0.28550000000000003</v>
      </c>
      <c r="O445" s="547">
        <f>IF(D445="Rəsmi gəlir",AA10,IF(D445="Qeyri rəsmi gəlir",AB10))</f>
        <v>0</v>
      </c>
      <c r="P445" s="547" t="b">
        <f t="shared" si="36"/>
        <v>0</v>
      </c>
      <c r="Q445" s="548">
        <f t="shared" si="37"/>
        <v>0</v>
      </c>
      <c r="R445" s="543" t="str">
        <f t="shared" si="39"/>
        <v>-</v>
      </c>
      <c r="S445" s="549"/>
      <c r="T445" s="543" t="e">
        <f t="shared" si="40"/>
        <v>#VALUE!</v>
      </c>
      <c r="U445" s="548" t="e">
        <f t="shared" si="38"/>
        <v>#VALUE!</v>
      </c>
      <c r="V445" s="548" t="e">
        <f t="shared" si="41"/>
        <v>#VALUE!</v>
      </c>
      <c r="W445" s="544"/>
      <c r="X445" s="556"/>
    </row>
    <row r="446" spans="1:24">
      <c r="A446" s="552">
        <v>444</v>
      </c>
      <c r="B446" s="560"/>
      <c r="C446" s="554"/>
      <c r="D446" s="544" t="s">
        <v>799</v>
      </c>
      <c r="E446" s="555"/>
      <c r="F446" s="545">
        <f>E446-(E446*Z13)</f>
        <v>0</v>
      </c>
      <c r="G446" s="546"/>
      <c r="H446" s="547">
        <f>IF(D446="Rəsmi gəlir",AA3,IF(D446="Qeyri rəsmi gəlir",AB3))</f>
        <v>7.0000000000000007E-2</v>
      </c>
      <c r="I446" s="547">
        <f>IF(D446="Rəsmi gəlir",AA4,IF(D446="Qeyri rəsmi gəlir",AB4))</f>
        <v>0.12</v>
      </c>
      <c r="J446" s="547">
        <f>IF(D446="Rəsmi gəlir",AA5,IF(D446="Qeyri rəsmi gəlir",AB5))</f>
        <v>0.16</v>
      </c>
      <c r="K446" s="547">
        <f>IF(D446="Rəsmi gəlir",AA6,IF(D446="Qeyri rəsmi gəlir",AB6))</f>
        <v>0.2</v>
      </c>
      <c r="L446" s="547">
        <f>IF(D446="Rəsmi gəlir",AA7,IF(D446="Qeyri rəsmi gəlir",AB7))</f>
        <v>0.23</v>
      </c>
      <c r="M446" s="547">
        <f>IF(D446="Rəsmi gəlir",AA8,IF(D446="Qeyri rəsmi gəlir",AB8))</f>
        <v>0.25600000000000001</v>
      </c>
      <c r="N446" s="547">
        <f>IF(D446="Rəsmi gəlir",AA9,IF(D446="Qeyri rəsmi gəlir",AB9))</f>
        <v>0.28550000000000003</v>
      </c>
      <c r="O446" s="547">
        <f>IF(D446="Rəsmi gəlir",AA10,IF(D446="Qeyri rəsmi gəlir",AB10))</f>
        <v>0</v>
      </c>
      <c r="P446" s="547" t="b">
        <f t="shared" si="36"/>
        <v>0</v>
      </c>
      <c r="Q446" s="548">
        <f t="shared" si="37"/>
        <v>0</v>
      </c>
      <c r="R446" s="543" t="str">
        <f t="shared" si="39"/>
        <v>-</v>
      </c>
      <c r="S446" s="549"/>
      <c r="T446" s="543" t="e">
        <f t="shared" si="40"/>
        <v>#VALUE!</v>
      </c>
      <c r="U446" s="548" t="e">
        <f t="shared" si="38"/>
        <v>#VALUE!</v>
      </c>
      <c r="V446" s="548" t="e">
        <f t="shared" si="41"/>
        <v>#VALUE!</v>
      </c>
      <c r="W446" s="544"/>
      <c r="X446" s="556"/>
    </row>
    <row r="447" spans="1:24">
      <c r="A447" s="552">
        <v>445</v>
      </c>
      <c r="B447" s="560"/>
      <c r="C447" s="554"/>
      <c r="D447" s="544" t="s">
        <v>799</v>
      </c>
      <c r="E447" s="555"/>
      <c r="F447" s="545">
        <f>E447-(E447*Z13)</f>
        <v>0</v>
      </c>
      <c r="G447" s="546"/>
      <c r="H447" s="547">
        <f>IF(D447="Rəsmi gəlir",AA3,IF(D447="Qeyri rəsmi gəlir",AB3))</f>
        <v>7.0000000000000007E-2</v>
      </c>
      <c r="I447" s="547">
        <f>IF(D447="Rəsmi gəlir",AA4,IF(D447="Qeyri rəsmi gəlir",AB4))</f>
        <v>0.12</v>
      </c>
      <c r="J447" s="547">
        <f>IF(D447="Rəsmi gəlir",AA5,IF(D447="Qeyri rəsmi gəlir",AB5))</f>
        <v>0.16</v>
      </c>
      <c r="K447" s="547">
        <f>IF(D447="Rəsmi gəlir",AA6,IF(D447="Qeyri rəsmi gəlir",AB6))</f>
        <v>0.2</v>
      </c>
      <c r="L447" s="547">
        <f>IF(D447="Rəsmi gəlir",AA7,IF(D447="Qeyri rəsmi gəlir",AB7))</f>
        <v>0.23</v>
      </c>
      <c r="M447" s="547">
        <f>IF(D447="Rəsmi gəlir",AA8,IF(D447="Qeyri rəsmi gəlir",AB8))</f>
        <v>0.25600000000000001</v>
      </c>
      <c r="N447" s="547">
        <f>IF(D447="Rəsmi gəlir",AA9,IF(D447="Qeyri rəsmi gəlir",AB9))</f>
        <v>0.28550000000000003</v>
      </c>
      <c r="O447" s="547">
        <f>IF(D447="Rəsmi gəlir",AA10,IF(D447="Qeyri rəsmi gəlir",AB10))</f>
        <v>0</v>
      </c>
      <c r="P447" s="547" t="b">
        <f t="shared" si="36"/>
        <v>0</v>
      </c>
      <c r="Q447" s="548">
        <f t="shared" si="37"/>
        <v>0</v>
      </c>
      <c r="R447" s="543" t="str">
        <f t="shared" si="39"/>
        <v>-</v>
      </c>
      <c r="S447" s="549"/>
      <c r="T447" s="543" t="e">
        <f t="shared" si="40"/>
        <v>#VALUE!</v>
      </c>
      <c r="U447" s="548" t="e">
        <f t="shared" si="38"/>
        <v>#VALUE!</v>
      </c>
      <c r="V447" s="548" t="e">
        <f t="shared" si="41"/>
        <v>#VALUE!</v>
      </c>
      <c r="W447" s="544"/>
      <c r="X447" s="556"/>
    </row>
    <row r="448" spans="1:24">
      <c r="A448" s="552">
        <v>446</v>
      </c>
      <c r="B448" s="560"/>
      <c r="C448" s="554"/>
      <c r="D448" s="544" t="s">
        <v>799</v>
      </c>
      <c r="E448" s="555"/>
      <c r="F448" s="545">
        <f>E448-(E448*Z13)</f>
        <v>0</v>
      </c>
      <c r="G448" s="546"/>
      <c r="H448" s="547">
        <f>IF(D448="Rəsmi gəlir",AA3,IF(D448="Qeyri rəsmi gəlir",AB3))</f>
        <v>7.0000000000000007E-2</v>
      </c>
      <c r="I448" s="547">
        <f>IF(D448="Rəsmi gəlir",AA4,IF(D448="Qeyri rəsmi gəlir",AB4))</f>
        <v>0.12</v>
      </c>
      <c r="J448" s="547">
        <f>IF(D448="Rəsmi gəlir",AA5,IF(D448="Qeyri rəsmi gəlir",AB5))</f>
        <v>0.16</v>
      </c>
      <c r="K448" s="547">
        <f>IF(D448="Rəsmi gəlir",AA6,IF(D448="Qeyri rəsmi gəlir",AB6))</f>
        <v>0.2</v>
      </c>
      <c r="L448" s="547">
        <f>IF(D448="Rəsmi gəlir",AA7,IF(D448="Qeyri rəsmi gəlir",AB7))</f>
        <v>0.23</v>
      </c>
      <c r="M448" s="547">
        <f>IF(D448="Rəsmi gəlir",AA8,IF(D448="Qeyri rəsmi gəlir",AB8))</f>
        <v>0.25600000000000001</v>
      </c>
      <c r="N448" s="547">
        <f>IF(D448="Rəsmi gəlir",AA9,IF(D448="Qeyri rəsmi gəlir",AB9))</f>
        <v>0.28550000000000003</v>
      </c>
      <c r="O448" s="547">
        <f>IF(D448="Rəsmi gəlir",AA10,IF(D448="Qeyri rəsmi gəlir",AB10))</f>
        <v>0</v>
      </c>
      <c r="P448" s="547" t="b">
        <f t="shared" si="36"/>
        <v>0</v>
      </c>
      <c r="Q448" s="548">
        <f t="shared" si="37"/>
        <v>0</v>
      </c>
      <c r="R448" s="543" t="str">
        <f t="shared" si="39"/>
        <v>-</v>
      </c>
      <c r="S448" s="549"/>
      <c r="T448" s="543" t="e">
        <f t="shared" si="40"/>
        <v>#VALUE!</v>
      </c>
      <c r="U448" s="548" t="e">
        <f t="shared" si="38"/>
        <v>#VALUE!</v>
      </c>
      <c r="V448" s="548" t="e">
        <f t="shared" si="41"/>
        <v>#VALUE!</v>
      </c>
      <c r="W448" s="544"/>
      <c r="X448" s="556"/>
    </row>
    <row r="449" spans="1:24">
      <c r="A449" s="552">
        <v>447</v>
      </c>
      <c r="B449" s="560"/>
      <c r="C449" s="554"/>
      <c r="D449" s="544" t="s">
        <v>799</v>
      </c>
      <c r="E449" s="555"/>
      <c r="F449" s="545">
        <f>E449-(E449*Z13)</f>
        <v>0</v>
      </c>
      <c r="G449" s="546"/>
      <c r="H449" s="547">
        <f>IF(D449="Rəsmi gəlir",AA3,IF(D449="Qeyri rəsmi gəlir",AB3))</f>
        <v>7.0000000000000007E-2</v>
      </c>
      <c r="I449" s="547">
        <f>IF(D449="Rəsmi gəlir",AA4,IF(D449="Qeyri rəsmi gəlir",AB4))</f>
        <v>0.12</v>
      </c>
      <c r="J449" s="547">
        <f>IF(D449="Rəsmi gəlir",AA5,IF(D449="Qeyri rəsmi gəlir",AB5))</f>
        <v>0.16</v>
      </c>
      <c r="K449" s="547">
        <f>IF(D449="Rəsmi gəlir",AA6,IF(D449="Qeyri rəsmi gəlir",AB6))</f>
        <v>0.2</v>
      </c>
      <c r="L449" s="547">
        <f>IF(D449="Rəsmi gəlir",AA7,IF(D449="Qeyri rəsmi gəlir",AB7))</f>
        <v>0.23</v>
      </c>
      <c r="M449" s="547">
        <f>IF(D449="Rəsmi gəlir",AA8,IF(D449="Qeyri rəsmi gəlir",AB8))</f>
        <v>0.25600000000000001</v>
      </c>
      <c r="N449" s="547">
        <f>IF(D449="Rəsmi gəlir",AA9,IF(D449="Qeyri rəsmi gəlir",AB9))</f>
        <v>0.28550000000000003</v>
      </c>
      <c r="O449" s="547">
        <f>IF(D449="Rəsmi gəlir",AA10,IF(D449="Qeyri rəsmi gəlir",AB10))</f>
        <v>0</v>
      </c>
      <c r="P449" s="547" t="b">
        <f t="shared" si="36"/>
        <v>0</v>
      </c>
      <c r="Q449" s="548">
        <f t="shared" si="37"/>
        <v>0</v>
      </c>
      <c r="R449" s="543" t="str">
        <f t="shared" si="39"/>
        <v>-</v>
      </c>
      <c r="S449" s="549"/>
      <c r="T449" s="543" t="e">
        <f t="shared" si="40"/>
        <v>#VALUE!</v>
      </c>
      <c r="U449" s="548" t="e">
        <f t="shared" si="38"/>
        <v>#VALUE!</v>
      </c>
      <c r="V449" s="548" t="e">
        <f t="shared" si="41"/>
        <v>#VALUE!</v>
      </c>
      <c r="W449" s="544"/>
      <c r="X449" s="556"/>
    </row>
    <row r="450" spans="1:24">
      <c r="A450" s="552">
        <v>448</v>
      </c>
      <c r="B450" s="560"/>
      <c r="C450" s="554"/>
      <c r="D450" s="544" t="s">
        <v>799</v>
      </c>
      <c r="E450" s="555"/>
      <c r="F450" s="545">
        <f>E450-(E450*Z13)</f>
        <v>0</v>
      </c>
      <c r="G450" s="546"/>
      <c r="H450" s="547">
        <f>IF(D450="Rəsmi gəlir",AA3,IF(D450="Qeyri rəsmi gəlir",AB3))</f>
        <v>7.0000000000000007E-2</v>
      </c>
      <c r="I450" s="547">
        <f>IF(D450="Rəsmi gəlir",AA4,IF(D450="Qeyri rəsmi gəlir",AB4))</f>
        <v>0.12</v>
      </c>
      <c r="J450" s="547">
        <f>IF(D450="Rəsmi gəlir",AA5,IF(D450="Qeyri rəsmi gəlir",AB5))</f>
        <v>0.16</v>
      </c>
      <c r="K450" s="547">
        <f>IF(D450="Rəsmi gəlir",AA6,IF(D450="Qeyri rəsmi gəlir",AB6))</f>
        <v>0.2</v>
      </c>
      <c r="L450" s="547">
        <f>IF(D450="Rəsmi gəlir",AA7,IF(D450="Qeyri rəsmi gəlir",AB7))</f>
        <v>0.23</v>
      </c>
      <c r="M450" s="547">
        <f>IF(D450="Rəsmi gəlir",AA8,IF(D450="Qeyri rəsmi gəlir",AB8))</f>
        <v>0.25600000000000001</v>
      </c>
      <c r="N450" s="547">
        <f>IF(D450="Rəsmi gəlir",AA9,IF(D450="Qeyri rəsmi gəlir",AB9))</f>
        <v>0.28550000000000003</v>
      </c>
      <c r="O450" s="547">
        <f>IF(D450="Rəsmi gəlir",AA10,IF(D450="Qeyri rəsmi gəlir",AB10))</f>
        <v>0</v>
      </c>
      <c r="P450" s="547" t="b">
        <f t="shared" si="36"/>
        <v>0</v>
      </c>
      <c r="Q450" s="548">
        <f t="shared" si="37"/>
        <v>0</v>
      </c>
      <c r="R450" s="543" t="str">
        <f t="shared" si="39"/>
        <v>-</v>
      </c>
      <c r="S450" s="549"/>
      <c r="T450" s="543" t="e">
        <f t="shared" si="40"/>
        <v>#VALUE!</v>
      </c>
      <c r="U450" s="548" t="e">
        <f t="shared" si="38"/>
        <v>#VALUE!</v>
      </c>
      <c r="V450" s="548" t="e">
        <f t="shared" si="41"/>
        <v>#VALUE!</v>
      </c>
      <c r="W450" s="544"/>
      <c r="X450" s="556"/>
    </row>
    <row r="451" spans="1:24">
      <c r="A451" s="552">
        <v>449</v>
      </c>
      <c r="B451" s="560"/>
      <c r="C451" s="554"/>
      <c r="D451" s="544" t="s">
        <v>799</v>
      </c>
      <c r="E451" s="555"/>
      <c r="F451" s="545">
        <f>E451-(E451*Z13)</f>
        <v>0</v>
      </c>
      <c r="G451" s="546"/>
      <c r="H451" s="547">
        <f>IF(D451="Rəsmi gəlir",AA3,IF(D451="Qeyri rəsmi gəlir",AB3))</f>
        <v>7.0000000000000007E-2</v>
      </c>
      <c r="I451" s="547">
        <f>IF(D451="Rəsmi gəlir",AA4,IF(D451="Qeyri rəsmi gəlir",AB4))</f>
        <v>0.12</v>
      </c>
      <c r="J451" s="547">
        <f>IF(D451="Rəsmi gəlir",AA5,IF(D451="Qeyri rəsmi gəlir",AB5))</f>
        <v>0.16</v>
      </c>
      <c r="K451" s="547">
        <f>IF(D451="Rəsmi gəlir",AA6,IF(D451="Qeyri rəsmi gəlir",AB6))</f>
        <v>0.2</v>
      </c>
      <c r="L451" s="547">
        <f>IF(D451="Rəsmi gəlir",AA7,IF(D451="Qeyri rəsmi gəlir",AB7))</f>
        <v>0.23</v>
      </c>
      <c r="M451" s="547">
        <f>IF(D451="Rəsmi gəlir",AA8,IF(D451="Qeyri rəsmi gəlir",AB8))</f>
        <v>0.25600000000000001</v>
      </c>
      <c r="N451" s="547">
        <f>IF(D451="Rəsmi gəlir",AA9,IF(D451="Qeyri rəsmi gəlir",AB9))</f>
        <v>0.28550000000000003</v>
      </c>
      <c r="O451" s="547">
        <f>IF(D451="Rəsmi gəlir",AA10,IF(D451="Qeyri rəsmi gəlir",AB10))</f>
        <v>0</v>
      </c>
      <c r="P451" s="547" t="b">
        <f t="shared" ref="P451:P502" si="42">IF(G451="2",H451,IF(G451="3",H451,IF(G451="4",I451,IF(G451="5",I451,IF(G451="6",I451,IF(G451="7",J451,IF(G451="8",J451,IF(G451="9",J451,IF(G451="10",K451,IF(G451="11",K451,IF(G451="12",K451,IF(G451="13",L451,IF(G451="14",L451,IF(G451="15",L451,IF(G451="16",M451,IF(G451="17",M451,IF(G451="18",M451,IF(G451="19",N451,IF(G451="20",N451,IF(G451="21",N451,IF(G451="22",O451,IF(G451="23",O451,IF(G451="24",O451)))))))))))))))))))))))</f>
        <v>0</v>
      </c>
      <c r="Q451" s="548">
        <f t="shared" ref="Q451:Q502" si="43">F451*P451</f>
        <v>0</v>
      </c>
      <c r="R451" s="543" t="str">
        <f t="shared" si="39"/>
        <v>-</v>
      </c>
      <c r="S451" s="549"/>
      <c r="T451" s="543" t="e">
        <f t="shared" si="40"/>
        <v>#VALUE!</v>
      </c>
      <c r="U451" s="548" t="e">
        <f t="shared" ref="U451:U502" si="44">F451-(F451*P451)-R451</f>
        <v>#VALUE!</v>
      </c>
      <c r="V451" s="548" t="e">
        <f t="shared" si="41"/>
        <v>#VALUE!</v>
      </c>
      <c r="W451" s="544"/>
      <c r="X451" s="556"/>
    </row>
    <row r="452" spans="1:24">
      <c r="A452" s="552">
        <v>450</v>
      </c>
      <c r="B452" s="560"/>
      <c r="C452" s="554"/>
      <c r="D452" s="544" t="s">
        <v>799</v>
      </c>
      <c r="E452" s="555"/>
      <c r="F452" s="545">
        <f>E452-(E452*Z13)</f>
        <v>0</v>
      </c>
      <c r="G452" s="546"/>
      <c r="H452" s="547">
        <f>IF(D452="Rəsmi gəlir",AA3,IF(D452="Qeyri rəsmi gəlir",AB3))</f>
        <v>7.0000000000000007E-2</v>
      </c>
      <c r="I452" s="547">
        <f>IF(D452="Rəsmi gəlir",AA4,IF(D452="Qeyri rəsmi gəlir",AB4))</f>
        <v>0.12</v>
      </c>
      <c r="J452" s="547">
        <f>IF(D452="Rəsmi gəlir",AA5,IF(D452="Qeyri rəsmi gəlir",AB5))</f>
        <v>0.16</v>
      </c>
      <c r="K452" s="547">
        <f>IF(D452="Rəsmi gəlir",AA6,IF(D452="Qeyri rəsmi gəlir",AB6))</f>
        <v>0.2</v>
      </c>
      <c r="L452" s="547">
        <f>IF(D452="Rəsmi gəlir",AA7,IF(D452="Qeyri rəsmi gəlir",AB7))</f>
        <v>0.23</v>
      </c>
      <c r="M452" s="547">
        <f>IF(D452="Rəsmi gəlir",AA8,IF(D452="Qeyri rəsmi gəlir",AB8))</f>
        <v>0.25600000000000001</v>
      </c>
      <c r="N452" s="547">
        <f>IF(D452="Rəsmi gəlir",AA9,IF(D452="Qeyri rəsmi gəlir",AB9))</f>
        <v>0.28550000000000003</v>
      </c>
      <c r="O452" s="547">
        <f>IF(D452="Rəsmi gəlir",AA10,IF(D452="Qeyri rəsmi gəlir",AB10))</f>
        <v>0</v>
      </c>
      <c r="P452" s="547" t="b">
        <f t="shared" si="42"/>
        <v>0</v>
      </c>
      <c r="Q452" s="548">
        <f t="shared" si="43"/>
        <v>0</v>
      </c>
      <c r="R452" s="543" t="str">
        <f t="shared" ref="R452:R502" si="45">IF(Q452&lt;=0,"-",IF(Q452&gt;0,9))</f>
        <v>-</v>
      </c>
      <c r="S452" s="549"/>
      <c r="T452" s="543" t="e">
        <f t="shared" ref="T452:T502" si="46">U452*S452</f>
        <v>#VALUE!</v>
      </c>
      <c r="U452" s="548" t="e">
        <f t="shared" si="44"/>
        <v>#VALUE!</v>
      </c>
      <c r="V452" s="548" t="e">
        <f t="shared" ref="V452:V502" si="47">U452-T452</f>
        <v>#VALUE!</v>
      </c>
      <c r="W452" s="544"/>
      <c r="X452" s="556"/>
    </row>
    <row r="453" spans="1:24">
      <c r="A453" s="552">
        <v>451</v>
      </c>
      <c r="B453" s="560"/>
      <c r="C453" s="554"/>
      <c r="D453" s="544" t="s">
        <v>799</v>
      </c>
      <c r="E453" s="555"/>
      <c r="F453" s="545">
        <f>E453-(E453*Z13)</f>
        <v>0</v>
      </c>
      <c r="G453" s="546"/>
      <c r="H453" s="547">
        <f>IF(D453="Rəsmi gəlir",AA3,IF(D453="Qeyri rəsmi gəlir",AB3))</f>
        <v>7.0000000000000007E-2</v>
      </c>
      <c r="I453" s="547">
        <f>IF(D453="Rəsmi gəlir",AA4,IF(D453="Qeyri rəsmi gəlir",AB4))</f>
        <v>0.12</v>
      </c>
      <c r="J453" s="547">
        <f>IF(D453="Rəsmi gəlir",AA5,IF(D453="Qeyri rəsmi gəlir",AB5))</f>
        <v>0.16</v>
      </c>
      <c r="K453" s="547">
        <f>IF(D453="Rəsmi gəlir",AA6,IF(D453="Qeyri rəsmi gəlir",AB6))</f>
        <v>0.2</v>
      </c>
      <c r="L453" s="547">
        <f>IF(D453="Rəsmi gəlir",AA7,IF(D453="Qeyri rəsmi gəlir",AB7))</f>
        <v>0.23</v>
      </c>
      <c r="M453" s="547">
        <f>IF(D453="Rəsmi gəlir",AA8,IF(D453="Qeyri rəsmi gəlir",AB8))</f>
        <v>0.25600000000000001</v>
      </c>
      <c r="N453" s="547">
        <f>IF(D453="Rəsmi gəlir",AA9,IF(D453="Qeyri rəsmi gəlir",AB9))</f>
        <v>0.28550000000000003</v>
      </c>
      <c r="O453" s="547">
        <f>IF(D453="Rəsmi gəlir",AA10,IF(D453="Qeyri rəsmi gəlir",AB10))</f>
        <v>0</v>
      </c>
      <c r="P453" s="547" t="b">
        <f t="shared" si="42"/>
        <v>0</v>
      </c>
      <c r="Q453" s="548">
        <f t="shared" si="43"/>
        <v>0</v>
      </c>
      <c r="R453" s="543" t="str">
        <f t="shared" si="45"/>
        <v>-</v>
      </c>
      <c r="S453" s="549"/>
      <c r="T453" s="543" t="e">
        <f t="shared" si="46"/>
        <v>#VALUE!</v>
      </c>
      <c r="U453" s="548" t="e">
        <f t="shared" si="44"/>
        <v>#VALUE!</v>
      </c>
      <c r="V453" s="548" t="e">
        <f t="shared" si="47"/>
        <v>#VALUE!</v>
      </c>
      <c r="W453" s="544"/>
      <c r="X453" s="556"/>
    </row>
    <row r="454" spans="1:24">
      <c r="A454" s="552">
        <v>452</v>
      </c>
      <c r="B454" s="560"/>
      <c r="C454" s="554"/>
      <c r="D454" s="544" t="s">
        <v>799</v>
      </c>
      <c r="E454" s="555"/>
      <c r="F454" s="545">
        <f>E454-(E454*Z13)</f>
        <v>0</v>
      </c>
      <c r="G454" s="546"/>
      <c r="H454" s="547">
        <f>IF(D454="Rəsmi gəlir",AA3,IF(D454="Qeyri rəsmi gəlir",AB3))</f>
        <v>7.0000000000000007E-2</v>
      </c>
      <c r="I454" s="547">
        <f>IF(D454="Rəsmi gəlir",AA4,IF(D454="Qeyri rəsmi gəlir",AB4))</f>
        <v>0.12</v>
      </c>
      <c r="J454" s="547">
        <f>IF(D454="Rəsmi gəlir",AA5,IF(D454="Qeyri rəsmi gəlir",AB5))</f>
        <v>0.16</v>
      </c>
      <c r="K454" s="547">
        <f>IF(D454="Rəsmi gəlir",AA6,IF(D454="Qeyri rəsmi gəlir",AB6))</f>
        <v>0.2</v>
      </c>
      <c r="L454" s="547">
        <f>IF(D454="Rəsmi gəlir",AA7,IF(D454="Qeyri rəsmi gəlir",AB7))</f>
        <v>0.23</v>
      </c>
      <c r="M454" s="547">
        <f>IF(D454="Rəsmi gəlir",AA8,IF(D454="Qeyri rəsmi gəlir",AB8))</f>
        <v>0.25600000000000001</v>
      </c>
      <c r="N454" s="547">
        <f>IF(D454="Rəsmi gəlir",AA9,IF(D454="Qeyri rəsmi gəlir",AB9))</f>
        <v>0.28550000000000003</v>
      </c>
      <c r="O454" s="547">
        <f>IF(D454="Rəsmi gəlir",AA10,IF(D454="Qeyri rəsmi gəlir",AB10))</f>
        <v>0</v>
      </c>
      <c r="P454" s="547" t="b">
        <f t="shared" si="42"/>
        <v>0</v>
      </c>
      <c r="Q454" s="548">
        <f t="shared" si="43"/>
        <v>0</v>
      </c>
      <c r="R454" s="543" t="str">
        <f t="shared" si="45"/>
        <v>-</v>
      </c>
      <c r="S454" s="549"/>
      <c r="T454" s="543" t="e">
        <f t="shared" si="46"/>
        <v>#VALUE!</v>
      </c>
      <c r="U454" s="548" t="e">
        <f t="shared" si="44"/>
        <v>#VALUE!</v>
      </c>
      <c r="V454" s="548" t="e">
        <f t="shared" si="47"/>
        <v>#VALUE!</v>
      </c>
      <c r="W454" s="544"/>
      <c r="X454" s="556"/>
    </row>
    <row r="455" spans="1:24">
      <c r="A455" s="552">
        <v>453</v>
      </c>
      <c r="B455" s="560"/>
      <c r="C455" s="554"/>
      <c r="D455" s="544" t="s">
        <v>799</v>
      </c>
      <c r="E455" s="555"/>
      <c r="F455" s="545">
        <f>E455-(E455*Z13)</f>
        <v>0</v>
      </c>
      <c r="G455" s="546"/>
      <c r="H455" s="547">
        <f>IF(D455="Rəsmi gəlir",AA3,IF(D455="Qeyri rəsmi gəlir",AB3))</f>
        <v>7.0000000000000007E-2</v>
      </c>
      <c r="I455" s="547">
        <f>IF(D455="Rəsmi gəlir",AA4,IF(D455="Qeyri rəsmi gəlir",AB4))</f>
        <v>0.12</v>
      </c>
      <c r="J455" s="547">
        <f>IF(D455="Rəsmi gəlir",AA5,IF(D455="Qeyri rəsmi gəlir",AB5))</f>
        <v>0.16</v>
      </c>
      <c r="K455" s="547">
        <f>IF(D455="Rəsmi gəlir",AA6,IF(D455="Qeyri rəsmi gəlir",AB6))</f>
        <v>0.2</v>
      </c>
      <c r="L455" s="547">
        <f>IF(D455="Rəsmi gəlir",AA7,IF(D455="Qeyri rəsmi gəlir",AB7))</f>
        <v>0.23</v>
      </c>
      <c r="M455" s="547">
        <f>IF(D455="Rəsmi gəlir",AA8,IF(D455="Qeyri rəsmi gəlir",AB8))</f>
        <v>0.25600000000000001</v>
      </c>
      <c r="N455" s="547">
        <f>IF(D455="Rəsmi gəlir",AA9,IF(D455="Qeyri rəsmi gəlir",AB9))</f>
        <v>0.28550000000000003</v>
      </c>
      <c r="O455" s="547">
        <f>IF(D455="Rəsmi gəlir",AA10,IF(D455="Qeyri rəsmi gəlir",AB10))</f>
        <v>0</v>
      </c>
      <c r="P455" s="547" t="b">
        <f t="shared" si="42"/>
        <v>0</v>
      </c>
      <c r="Q455" s="548">
        <f t="shared" si="43"/>
        <v>0</v>
      </c>
      <c r="R455" s="543" t="str">
        <f t="shared" si="45"/>
        <v>-</v>
      </c>
      <c r="S455" s="549"/>
      <c r="T455" s="543" t="e">
        <f t="shared" si="46"/>
        <v>#VALUE!</v>
      </c>
      <c r="U455" s="548" t="e">
        <f t="shared" si="44"/>
        <v>#VALUE!</v>
      </c>
      <c r="V455" s="548" t="e">
        <f t="shared" si="47"/>
        <v>#VALUE!</v>
      </c>
      <c r="W455" s="544"/>
      <c r="X455" s="556"/>
    </row>
    <row r="456" spans="1:24">
      <c r="A456" s="552">
        <v>454</v>
      </c>
      <c r="B456" s="560"/>
      <c r="C456" s="554"/>
      <c r="D456" s="544" t="s">
        <v>799</v>
      </c>
      <c r="E456" s="555"/>
      <c r="F456" s="545">
        <f>E456-(E456*Z13)</f>
        <v>0</v>
      </c>
      <c r="G456" s="546"/>
      <c r="H456" s="547">
        <f>IF(D456="Rəsmi gəlir",AA3,IF(D456="Qeyri rəsmi gəlir",AB3))</f>
        <v>7.0000000000000007E-2</v>
      </c>
      <c r="I456" s="547">
        <f>IF(D456="Rəsmi gəlir",AA4,IF(D456="Qeyri rəsmi gəlir",AB4))</f>
        <v>0.12</v>
      </c>
      <c r="J456" s="547">
        <f>IF(D456="Rəsmi gəlir",AA5,IF(D456="Qeyri rəsmi gəlir",AB5))</f>
        <v>0.16</v>
      </c>
      <c r="K456" s="547">
        <f>IF(D456="Rəsmi gəlir",AA6,IF(D456="Qeyri rəsmi gəlir",AB6))</f>
        <v>0.2</v>
      </c>
      <c r="L456" s="547">
        <f>IF(D456="Rəsmi gəlir",AA7,IF(D456="Qeyri rəsmi gəlir",AB7))</f>
        <v>0.23</v>
      </c>
      <c r="M456" s="547">
        <f>IF(D456="Rəsmi gəlir",AA8,IF(D456="Qeyri rəsmi gəlir",AB8))</f>
        <v>0.25600000000000001</v>
      </c>
      <c r="N456" s="547">
        <f>IF(D456="Rəsmi gəlir",AA9,IF(D456="Qeyri rəsmi gəlir",AB9))</f>
        <v>0.28550000000000003</v>
      </c>
      <c r="O456" s="547">
        <f>IF(D456="Rəsmi gəlir",AA10,IF(D456="Qeyri rəsmi gəlir",AB10))</f>
        <v>0</v>
      </c>
      <c r="P456" s="547" t="b">
        <f t="shared" si="42"/>
        <v>0</v>
      </c>
      <c r="Q456" s="548">
        <f t="shared" si="43"/>
        <v>0</v>
      </c>
      <c r="R456" s="543" t="str">
        <f t="shared" si="45"/>
        <v>-</v>
      </c>
      <c r="S456" s="549"/>
      <c r="T456" s="543" t="e">
        <f t="shared" si="46"/>
        <v>#VALUE!</v>
      </c>
      <c r="U456" s="548" t="e">
        <f t="shared" si="44"/>
        <v>#VALUE!</v>
      </c>
      <c r="V456" s="548" t="e">
        <f t="shared" si="47"/>
        <v>#VALUE!</v>
      </c>
      <c r="W456" s="544"/>
      <c r="X456" s="556"/>
    </row>
    <row r="457" spans="1:24">
      <c r="A457" s="552">
        <v>455</v>
      </c>
      <c r="B457" s="560"/>
      <c r="C457" s="554"/>
      <c r="D457" s="544" t="s">
        <v>799</v>
      </c>
      <c r="E457" s="555"/>
      <c r="F457" s="545">
        <f>E457-(E457*Z13)</f>
        <v>0</v>
      </c>
      <c r="G457" s="546"/>
      <c r="H457" s="547">
        <f>IF(D457="Rəsmi gəlir",AA3,IF(D457="Qeyri rəsmi gəlir",AB3))</f>
        <v>7.0000000000000007E-2</v>
      </c>
      <c r="I457" s="547">
        <f>IF(D457="Rəsmi gəlir",AA4,IF(D457="Qeyri rəsmi gəlir",AB4))</f>
        <v>0.12</v>
      </c>
      <c r="J457" s="547">
        <f>IF(D457="Rəsmi gəlir",AA5,IF(D457="Qeyri rəsmi gəlir",AB5))</f>
        <v>0.16</v>
      </c>
      <c r="K457" s="547">
        <f>IF(D457="Rəsmi gəlir",AA6,IF(D457="Qeyri rəsmi gəlir",AB6))</f>
        <v>0.2</v>
      </c>
      <c r="L457" s="547">
        <f>IF(D457="Rəsmi gəlir",AA7,IF(D457="Qeyri rəsmi gəlir",AB7))</f>
        <v>0.23</v>
      </c>
      <c r="M457" s="547">
        <f>IF(D457="Rəsmi gəlir",AA8,IF(D457="Qeyri rəsmi gəlir",AB8))</f>
        <v>0.25600000000000001</v>
      </c>
      <c r="N457" s="547">
        <f>IF(D457="Rəsmi gəlir",AA9,IF(D457="Qeyri rəsmi gəlir",AB9))</f>
        <v>0.28550000000000003</v>
      </c>
      <c r="O457" s="547">
        <f>IF(D457="Rəsmi gəlir",AA10,IF(D457="Qeyri rəsmi gəlir",AB10))</f>
        <v>0</v>
      </c>
      <c r="P457" s="547" t="b">
        <f t="shared" si="42"/>
        <v>0</v>
      </c>
      <c r="Q457" s="548">
        <f t="shared" si="43"/>
        <v>0</v>
      </c>
      <c r="R457" s="543" t="str">
        <f t="shared" si="45"/>
        <v>-</v>
      </c>
      <c r="S457" s="549"/>
      <c r="T457" s="543" t="e">
        <f t="shared" si="46"/>
        <v>#VALUE!</v>
      </c>
      <c r="U457" s="548" t="e">
        <f t="shared" si="44"/>
        <v>#VALUE!</v>
      </c>
      <c r="V457" s="548" t="e">
        <f t="shared" si="47"/>
        <v>#VALUE!</v>
      </c>
      <c r="W457" s="544"/>
      <c r="X457" s="556"/>
    </row>
    <row r="458" spans="1:24">
      <c r="A458" s="552">
        <v>456</v>
      </c>
      <c r="B458" s="560"/>
      <c r="C458" s="554"/>
      <c r="D458" s="544" t="s">
        <v>799</v>
      </c>
      <c r="E458" s="555"/>
      <c r="F458" s="545">
        <f>E458-(E458*Z13)</f>
        <v>0</v>
      </c>
      <c r="G458" s="546"/>
      <c r="H458" s="547">
        <f>IF(D458="Rəsmi gəlir",AA3,IF(D458="Qeyri rəsmi gəlir",AB3))</f>
        <v>7.0000000000000007E-2</v>
      </c>
      <c r="I458" s="547">
        <f>IF(D458="Rəsmi gəlir",AA4,IF(D458="Qeyri rəsmi gəlir",AB4))</f>
        <v>0.12</v>
      </c>
      <c r="J458" s="547">
        <f>IF(D458="Rəsmi gəlir",AA5,IF(D458="Qeyri rəsmi gəlir",AB5))</f>
        <v>0.16</v>
      </c>
      <c r="K458" s="547">
        <f>IF(D458="Rəsmi gəlir",AA6,IF(D458="Qeyri rəsmi gəlir",AB6))</f>
        <v>0.2</v>
      </c>
      <c r="L458" s="547">
        <f>IF(D458="Rəsmi gəlir",AA7,IF(D458="Qeyri rəsmi gəlir",AB7))</f>
        <v>0.23</v>
      </c>
      <c r="M458" s="547">
        <f>IF(D458="Rəsmi gəlir",AA8,IF(D458="Qeyri rəsmi gəlir",AB8))</f>
        <v>0.25600000000000001</v>
      </c>
      <c r="N458" s="547">
        <f>IF(D458="Rəsmi gəlir",AA9,IF(D458="Qeyri rəsmi gəlir",AB9))</f>
        <v>0.28550000000000003</v>
      </c>
      <c r="O458" s="547">
        <f>IF(D458="Rəsmi gəlir",AA10,IF(D458="Qeyri rəsmi gəlir",AB10))</f>
        <v>0</v>
      </c>
      <c r="P458" s="547" t="b">
        <f t="shared" si="42"/>
        <v>0</v>
      </c>
      <c r="Q458" s="548">
        <f t="shared" si="43"/>
        <v>0</v>
      </c>
      <c r="R458" s="543" t="str">
        <f t="shared" si="45"/>
        <v>-</v>
      </c>
      <c r="S458" s="549"/>
      <c r="T458" s="543" t="e">
        <f t="shared" si="46"/>
        <v>#VALUE!</v>
      </c>
      <c r="U458" s="548" t="e">
        <f t="shared" si="44"/>
        <v>#VALUE!</v>
      </c>
      <c r="V458" s="548" t="e">
        <f t="shared" si="47"/>
        <v>#VALUE!</v>
      </c>
      <c r="W458" s="544"/>
      <c r="X458" s="556"/>
    </row>
    <row r="459" spans="1:24">
      <c r="A459" s="552">
        <v>457</v>
      </c>
      <c r="B459" s="560"/>
      <c r="C459" s="554"/>
      <c r="D459" s="544" t="s">
        <v>799</v>
      </c>
      <c r="E459" s="555"/>
      <c r="F459" s="545">
        <f>E459-(E459*Z13)</f>
        <v>0</v>
      </c>
      <c r="G459" s="546"/>
      <c r="H459" s="547">
        <f>IF(D459="Rəsmi gəlir",AA3,IF(D459="Qeyri rəsmi gəlir",AB3))</f>
        <v>7.0000000000000007E-2</v>
      </c>
      <c r="I459" s="547">
        <f>IF(D459="Rəsmi gəlir",AA4,IF(D459="Qeyri rəsmi gəlir",AB4))</f>
        <v>0.12</v>
      </c>
      <c r="J459" s="547">
        <f>IF(D459="Rəsmi gəlir",AA5,IF(D459="Qeyri rəsmi gəlir",AB5))</f>
        <v>0.16</v>
      </c>
      <c r="K459" s="547">
        <f>IF(D459="Rəsmi gəlir",AA6,IF(D459="Qeyri rəsmi gəlir",AB6))</f>
        <v>0.2</v>
      </c>
      <c r="L459" s="547">
        <f>IF(D459="Rəsmi gəlir",AA7,IF(D459="Qeyri rəsmi gəlir",AB7))</f>
        <v>0.23</v>
      </c>
      <c r="M459" s="547">
        <f>IF(D459="Rəsmi gəlir",AA8,IF(D459="Qeyri rəsmi gəlir",AB8))</f>
        <v>0.25600000000000001</v>
      </c>
      <c r="N459" s="547">
        <f>IF(D459="Rəsmi gəlir",AA9,IF(D459="Qeyri rəsmi gəlir",AB9))</f>
        <v>0.28550000000000003</v>
      </c>
      <c r="O459" s="547">
        <f>IF(D459="Rəsmi gəlir",AA10,IF(D459="Qeyri rəsmi gəlir",AB10))</f>
        <v>0</v>
      </c>
      <c r="P459" s="547" t="b">
        <f t="shared" si="42"/>
        <v>0</v>
      </c>
      <c r="Q459" s="548">
        <f t="shared" si="43"/>
        <v>0</v>
      </c>
      <c r="R459" s="543" t="str">
        <f t="shared" si="45"/>
        <v>-</v>
      </c>
      <c r="S459" s="549"/>
      <c r="T459" s="543" t="e">
        <f t="shared" si="46"/>
        <v>#VALUE!</v>
      </c>
      <c r="U459" s="548" t="e">
        <f t="shared" si="44"/>
        <v>#VALUE!</v>
      </c>
      <c r="V459" s="548" t="e">
        <f t="shared" si="47"/>
        <v>#VALUE!</v>
      </c>
      <c r="W459" s="544"/>
      <c r="X459" s="556"/>
    </row>
    <row r="460" spans="1:24">
      <c r="A460" s="552">
        <v>458</v>
      </c>
      <c r="B460" s="560"/>
      <c r="C460" s="554"/>
      <c r="D460" s="544" t="s">
        <v>799</v>
      </c>
      <c r="E460" s="555"/>
      <c r="F460" s="545">
        <f>E460-(E460*Z13)</f>
        <v>0</v>
      </c>
      <c r="G460" s="546"/>
      <c r="H460" s="547">
        <f>IF(D460="Rəsmi gəlir",AA3,IF(D460="Qeyri rəsmi gəlir",AB3))</f>
        <v>7.0000000000000007E-2</v>
      </c>
      <c r="I460" s="547">
        <f>IF(D460="Rəsmi gəlir",AA4,IF(D460="Qeyri rəsmi gəlir",AB4))</f>
        <v>0.12</v>
      </c>
      <c r="J460" s="547">
        <f>IF(D460="Rəsmi gəlir",AA5,IF(D460="Qeyri rəsmi gəlir",AB5))</f>
        <v>0.16</v>
      </c>
      <c r="K460" s="547">
        <f>IF(D460="Rəsmi gəlir",AA6,IF(D460="Qeyri rəsmi gəlir",AB6))</f>
        <v>0.2</v>
      </c>
      <c r="L460" s="547">
        <f>IF(D460="Rəsmi gəlir",AA7,IF(D460="Qeyri rəsmi gəlir",AB7))</f>
        <v>0.23</v>
      </c>
      <c r="M460" s="547">
        <f>IF(D460="Rəsmi gəlir",AA8,IF(D460="Qeyri rəsmi gəlir",AB8))</f>
        <v>0.25600000000000001</v>
      </c>
      <c r="N460" s="547">
        <f>IF(D460="Rəsmi gəlir",AA9,IF(D460="Qeyri rəsmi gəlir",AB9))</f>
        <v>0.28550000000000003</v>
      </c>
      <c r="O460" s="547">
        <f>IF(D460="Rəsmi gəlir",AA10,IF(D460="Qeyri rəsmi gəlir",AB10))</f>
        <v>0</v>
      </c>
      <c r="P460" s="547" t="b">
        <f t="shared" si="42"/>
        <v>0</v>
      </c>
      <c r="Q460" s="548">
        <f t="shared" si="43"/>
        <v>0</v>
      </c>
      <c r="R460" s="543" t="str">
        <f t="shared" si="45"/>
        <v>-</v>
      </c>
      <c r="S460" s="549"/>
      <c r="T460" s="543" t="e">
        <f t="shared" si="46"/>
        <v>#VALUE!</v>
      </c>
      <c r="U460" s="548" t="e">
        <f t="shared" si="44"/>
        <v>#VALUE!</v>
      </c>
      <c r="V460" s="548" t="e">
        <f t="shared" si="47"/>
        <v>#VALUE!</v>
      </c>
      <c r="W460" s="544"/>
      <c r="X460" s="556"/>
    </row>
    <row r="461" spans="1:24">
      <c r="A461" s="552">
        <v>459</v>
      </c>
      <c r="B461" s="560"/>
      <c r="C461" s="554"/>
      <c r="D461" s="544" t="s">
        <v>799</v>
      </c>
      <c r="E461" s="555"/>
      <c r="F461" s="545">
        <f>E461-(E461*Z13)</f>
        <v>0</v>
      </c>
      <c r="G461" s="546"/>
      <c r="H461" s="547">
        <f>IF(D461="Rəsmi gəlir",AA3,IF(D461="Qeyri rəsmi gəlir",AB3))</f>
        <v>7.0000000000000007E-2</v>
      </c>
      <c r="I461" s="547">
        <f>IF(D461="Rəsmi gəlir",AA4,IF(D461="Qeyri rəsmi gəlir",AB4))</f>
        <v>0.12</v>
      </c>
      <c r="J461" s="547">
        <f>IF(D461="Rəsmi gəlir",AA5,IF(D461="Qeyri rəsmi gəlir",AB5))</f>
        <v>0.16</v>
      </c>
      <c r="K461" s="547">
        <f>IF(D461="Rəsmi gəlir",AA6,IF(D461="Qeyri rəsmi gəlir",AB6))</f>
        <v>0.2</v>
      </c>
      <c r="L461" s="547">
        <f>IF(D461="Rəsmi gəlir",AA7,IF(D461="Qeyri rəsmi gəlir",AB7))</f>
        <v>0.23</v>
      </c>
      <c r="M461" s="547">
        <f>IF(D461="Rəsmi gəlir",AA8,IF(D461="Qeyri rəsmi gəlir",AB8))</f>
        <v>0.25600000000000001</v>
      </c>
      <c r="N461" s="547">
        <f>IF(D461="Rəsmi gəlir",AA9,IF(D461="Qeyri rəsmi gəlir",AB9))</f>
        <v>0.28550000000000003</v>
      </c>
      <c r="O461" s="547">
        <f>IF(D461="Rəsmi gəlir",AA10,IF(D461="Qeyri rəsmi gəlir",AB10))</f>
        <v>0</v>
      </c>
      <c r="P461" s="547" t="b">
        <f t="shared" si="42"/>
        <v>0</v>
      </c>
      <c r="Q461" s="548">
        <f t="shared" si="43"/>
        <v>0</v>
      </c>
      <c r="R461" s="543" t="str">
        <f t="shared" si="45"/>
        <v>-</v>
      </c>
      <c r="S461" s="549"/>
      <c r="T461" s="543" t="e">
        <f t="shared" si="46"/>
        <v>#VALUE!</v>
      </c>
      <c r="U461" s="548" t="e">
        <f t="shared" si="44"/>
        <v>#VALUE!</v>
      </c>
      <c r="V461" s="548" t="e">
        <f t="shared" si="47"/>
        <v>#VALUE!</v>
      </c>
      <c r="W461" s="544"/>
      <c r="X461" s="556"/>
    </row>
    <row r="462" spans="1:24">
      <c r="A462" s="552">
        <v>460</v>
      </c>
      <c r="B462" s="560"/>
      <c r="C462" s="554"/>
      <c r="D462" s="544" t="s">
        <v>799</v>
      </c>
      <c r="E462" s="555"/>
      <c r="F462" s="545">
        <f>E462-(E462*Z13)</f>
        <v>0</v>
      </c>
      <c r="G462" s="546"/>
      <c r="H462" s="547">
        <f>IF(D462="Rəsmi gəlir",AA3,IF(D462="Qeyri rəsmi gəlir",AB3))</f>
        <v>7.0000000000000007E-2</v>
      </c>
      <c r="I462" s="547">
        <f>IF(D462="Rəsmi gəlir",AA4,IF(D462="Qeyri rəsmi gəlir",AB4))</f>
        <v>0.12</v>
      </c>
      <c r="J462" s="547">
        <f>IF(D462="Rəsmi gəlir",AA5,IF(D462="Qeyri rəsmi gəlir",AB5))</f>
        <v>0.16</v>
      </c>
      <c r="K462" s="547">
        <f>IF(D462="Rəsmi gəlir",AA6,IF(D462="Qeyri rəsmi gəlir",AB6))</f>
        <v>0.2</v>
      </c>
      <c r="L462" s="547">
        <f>IF(D462="Rəsmi gəlir",AA7,IF(D462="Qeyri rəsmi gəlir",AB7))</f>
        <v>0.23</v>
      </c>
      <c r="M462" s="547">
        <f>IF(D462="Rəsmi gəlir",AA8,IF(D462="Qeyri rəsmi gəlir",AB8))</f>
        <v>0.25600000000000001</v>
      </c>
      <c r="N462" s="547">
        <f>IF(D462="Rəsmi gəlir",AA9,IF(D462="Qeyri rəsmi gəlir",AB9))</f>
        <v>0.28550000000000003</v>
      </c>
      <c r="O462" s="547">
        <f>IF(D462="Rəsmi gəlir",AA10,IF(D462="Qeyri rəsmi gəlir",AB10))</f>
        <v>0</v>
      </c>
      <c r="P462" s="547" t="b">
        <f t="shared" si="42"/>
        <v>0</v>
      </c>
      <c r="Q462" s="548">
        <f t="shared" si="43"/>
        <v>0</v>
      </c>
      <c r="R462" s="543" t="str">
        <f t="shared" si="45"/>
        <v>-</v>
      </c>
      <c r="S462" s="549"/>
      <c r="T462" s="543" t="e">
        <f t="shared" si="46"/>
        <v>#VALUE!</v>
      </c>
      <c r="U462" s="548" t="e">
        <f t="shared" si="44"/>
        <v>#VALUE!</v>
      </c>
      <c r="V462" s="548" t="e">
        <f t="shared" si="47"/>
        <v>#VALUE!</v>
      </c>
      <c r="W462" s="544"/>
      <c r="X462" s="556"/>
    </row>
    <row r="463" spans="1:24">
      <c r="A463" s="552">
        <v>461</v>
      </c>
      <c r="B463" s="560"/>
      <c r="C463" s="554"/>
      <c r="D463" s="544" t="s">
        <v>799</v>
      </c>
      <c r="E463" s="555"/>
      <c r="F463" s="545">
        <f>E463-(E463*Z13)</f>
        <v>0</v>
      </c>
      <c r="G463" s="546"/>
      <c r="H463" s="547">
        <f>IF(D463="Rəsmi gəlir",AA3,IF(D463="Qeyri rəsmi gəlir",AB3))</f>
        <v>7.0000000000000007E-2</v>
      </c>
      <c r="I463" s="547">
        <f>IF(D463="Rəsmi gəlir",AA4,IF(D463="Qeyri rəsmi gəlir",AB4))</f>
        <v>0.12</v>
      </c>
      <c r="J463" s="547">
        <f>IF(D463="Rəsmi gəlir",AA5,IF(D463="Qeyri rəsmi gəlir",AB5))</f>
        <v>0.16</v>
      </c>
      <c r="K463" s="547">
        <f>IF(D463="Rəsmi gəlir",AA6,IF(D463="Qeyri rəsmi gəlir",AB6))</f>
        <v>0.2</v>
      </c>
      <c r="L463" s="547">
        <f>IF(D463="Rəsmi gəlir",AA7,IF(D463="Qeyri rəsmi gəlir",AB7))</f>
        <v>0.23</v>
      </c>
      <c r="M463" s="547">
        <f>IF(D463="Rəsmi gəlir",AA8,IF(D463="Qeyri rəsmi gəlir",AB8))</f>
        <v>0.25600000000000001</v>
      </c>
      <c r="N463" s="547">
        <f>IF(D463="Rəsmi gəlir",AA9,IF(D463="Qeyri rəsmi gəlir",AB9))</f>
        <v>0.28550000000000003</v>
      </c>
      <c r="O463" s="547">
        <f>IF(D463="Rəsmi gəlir",AA10,IF(D463="Qeyri rəsmi gəlir",AB10))</f>
        <v>0</v>
      </c>
      <c r="P463" s="547" t="b">
        <f t="shared" si="42"/>
        <v>0</v>
      </c>
      <c r="Q463" s="548">
        <f t="shared" si="43"/>
        <v>0</v>
      </c>
      <c r="R463" s="543" t="str">
        <f t="shared" si="45"/>
        <v>-</v>
      </c>
      <c r="S463" s="549"/>
      <c r="T463" s="543" t="e">
        <f t="shared" si="46"/>
        <v>#VALUE!</v>
      </c>
      <c r="U463" s="548" t="e">
        <f t="shared" si="44"/>
        <v>#VALUE!</v>
      </c>
      <c r="V463" s="548" t="e">
        <f t="shared" si="47"/>
        <v>#VALUE!</v>
      </c>
      <c r="W463" s="544"/>
      <c r="X463" s="556"/>
    </row>
    <row r="464" spans="1:24">
      <c r="A464" s="552">
        <v>462</v>
      </c>
      <c r="B464" s="560"/>
      <c r="C464" s="554"/>
      <c r="D464" s="544" t="s">
        <v>799</v>
      </c>
      <c r="E464" s="555"/>
      <c r="F464" s="545">
        <f>E464-(E464*Z13)</f>
        <v>0</v>
      </c>
      <c r="G464" s="546"/>
      <c r="H464" s="547">
        <f>IF(D464="Rəsmi gəlir",AA3,IF(D464="Qeyri rəsmi gəlir",AB3))</f>
        <v>7.0000000000000007E-2</v>
      </c>
      <c r="I464" s="547">
        <f>IF(D464="Rəsmi gəlir",AA4,IF(D464="Qeyri rəsmi gəlir",AB4))</f>
        <v>0.12</v>
      </c>
      <c r="J464" s="547">
        <f>IF(D464="Rəsmi gəlir",AA5,IF(D464="Qeyri rəsmi gəlir",AB5))</f>
        <v>0.16</v>
      </c>
      <c r="K464" s="547">
        <f>IF(D464="Rəsmi gəlir",AA6,IF(D464="Qeyri rəsmi gəlir",AB6))</f>
        <v>0.2</v>
      </c>
      <c r="L464" s="547">
        <f>IF(D464="Rəsmi gəlir",AA7,IF(D464="Qeyri rəsmi gəlir",AB7))</f>
        <v>0.23</v>
      </c>
      <c r="M464" s="547">
        <f>IF(D464="Rəsmi gəlir",AA8,IF(D464="Qeyri rəsmi gəlir",AB8))</f>
        <v>0.25600000000000001</v>
      </c>
      <c r="N464" s="547">
        <f>IF(D464="Rəsmi gəlir",AA9,IF(D464="Qeyri rəsmi gəlir",AB9))</f>
        <v>0.28550000000000003</v>
      </c>
      <c r="O464" s="547">
        <f>IF(D464="Rəsmi gəlir",AA10,IF(D464="Qeyri rəsmi gəlir",AB10))</f>
        <v>0</v>
      </c>
      <c r="P464" s="547" t="b">
        <f t="shared" si="42"/>
        <v>0</v>
      </c>
      <c r="Q464" s="548">
        <f t="shared" si="43"/>
        <v>0</v>
      </c>
      <c r="R464" s="543" t="str">
        <f t="shared" si="45"/>
        <v>-</v>
      </c>
      <c r="S464" s="549"/>
      <c r="T464" s="543" t="e">
        <f t="shared" si="46"/>
        <v>#VALUE!</v>
      </c>
      <c r="U464" s="548" t="e">
        <f t="shared" si="44"/>
        <v>#VALUE!</v>
      </c>
      <c r="V464" s="548" t="e">
        <f t="shared" si="47"/>
        <v>#VALUE!</v>
      </c>
      <c r="W464" s="544"/>
      <c r="X464" s="556"/>
    </row>
    <row r="465" spans="1:24">
      <c r="A465" s="552">
        <v>463</v>
      </c>
      <c r="B465" s="560"/>
      <c r="C465" s="554"/>
      <c r="D465" s="544" t="s">
        <v>799</v>
      </c>
      <c r="E465" s="555"/>
      <c r="F465" s="545">
        <f>E465-(E465*Z13)</f>
        <v>0</v>
      </c>
      <c r="G465" s="546"/>
      <c r="H465" s="547">
        <f>IF(D465="Rəsmi gəlir",AA3,IF(D465="Qeyri rəsmi gəlir",AB3))</f>
        <v>7.0000000000000007E-2</v>
      </c>
      <c r="I465" s="547">
        <f>IF(D465="Rəsmi gəlir",AA4,IF(D465="Qeyri rəsmi gəlir",AB4))</f>
        <v>0.12</v>
      </c>
      <c r="J465" s="547">
        <f>IF(D465="Rəsmi gəlir",AA5,IF(D465="Qeyri rəsmi gəlir",AB5))</f>
        <v>0.16</v>
      </c>
      <c r="K465" s="547">
        <f>IF(D465="Rəsmi gəlir",AA6,IF(D465="Qeyri rəsmi gəlir",AB6))</f>
        <v>0.2</v>
      </c>
      <c r="L465" s="547">
        <f>IF(D465="Rəsmi gəlir",AA7,IF(D465="Qeyri rəsmi gəlir",AB7))</f>
        <v>0.23</v>
      </c>
      <c r="M465" s="547">
        <f>IF(D465="Rəsmi gəlir",AA8,IF(D465="Qeyri rəsmi gəlir",AB8))</f>
        <v>0.25600000000000001</v>
      </c>
      <c r="N465" s="547">
        <f>IF(D465="Rəsmi gəlir",AA9,IF(D465="Qeyri rəsmi gəlir",AB9))</f>
        <v>0.28550000000000003</v>
      </c>
      <c r="O465" s="547">
        <f>IF(D465="Rəsmi gəlir",AA10,IF(D465="Qeyri rəsmi gəlir",AB10))</f>
        <v>0</v>
      </c>
      <c r="P465" s="547" t="b">
        <f t="shared" si="42"/>
        <v>0</v>
      </c>
      <c r="Q465" s="548">
        <f t="shared" si="43"/>
        <v>0</v>
      </c>
      <c r="R465" s="543" t="str">
        <f t="shared" si="45"/>
        <v>-</v>
      </c>
      <c r="S465" s="549"/>
      <c r="T465" s="543" t="e">
        <f t="shared" si="46"/>
        <v>#VALUE!</v>
      </c>
      <c r="U465" s="548" t="e">
        <f t="shared" si="44"/>
        <v>#VALUE!</v>
      </c>
      <c r="V465" s="548" t="e">
        <f t="shared" si="47"/>
        <v>#VALUE!</v>
      </c>
      <c r="W465" s="544"/>
      <c r="X465" s="556"/>
    </row>
    <row r="466" spans="1:24">
      <c r="A466" s="552">
        <v>464</v>
      </c>
      <c r="B466" s="560"/>
      <c r="C466" s="554"/>
      <c r="D466" s="544" t="s">
        <v>799</v>
      </c>
      <c r="E466" s="555"/>
      <c r="F466" s="545">
        <f>E466-(E466*Z13)</f>
        <v>0</v>
      </c>
      <c r="G466" s="546"/>
      <c r="H466" s="547">
        <f>IF(D466="Rəsmi gəlir",AA3,IF(D466="Qeyri rəsmi gəlir",AB3))</f>
        <v>7.0000000000000007E-2</v>
      </c>
      <c r="I466" s="547">
        <f>IF(D466="Rəsmi gəlir",AA4,IF(D466="Qeyri rəsmi gəlir",AB4))</f>
        <v>0.12</v>
      </c>
      <c r="J466" s="547">
        <f>IF(D466="Rəsmi gəlir",AA5,IF(D466="Qeyri rəsmi gəlir",AB5))</f>
        <v>0.16</v>
      </c>
      <c r="K466" s="547">
        <f>IF(D466="Rəsmi gəlir",AA6,IF(D466="Qeyri rəsmi gəlir",AB6))</f>
        <v>0.2</v>
      </c>
      <c r="L466" s="547">
        <f>IF(D466="Rəsmi gəlir",AA7,IF(D466="Qeyri rəsmi gəlir",AB7))</f>
        <v>0.23</v>
      </c>
      <c r="M466" s="547">
        <f>IF(D466="Rəsmi gəlir",AA8,IF(D466="Qeyri rəsmi gəlir",AB8))</f>
        <v>0.25600000000000001</v>
      </c>
      <c r="N466" s="547">
        <f>IF(D466="Rəsmi gəlir",AA9,IF(D466="Qeyri rəsmi gəlir",AB9))</f>
        <v>0.28550000000000003</v>
      </c>
      <c r="O466" s="547">
        <f>IF(D466="Rəsmi gəlir",AA10,IF(D466="Qeyri rəsmi gəlir",AB10))</f>
        <v>0</v>
      </c>
      <c r="P466" s="547" t="b">
        <f t="shared" si="42"/>
        <v>0</v>
      </c>
      <c r="Q466" s="548">
        <f t="shared" si="43"/>
        <v>0</v>
      </c>
      <c r="R466" s="543" t="str">
        <f t="shared" si="45"/>
        <v>-</v>
      </c>
      <c r="S466" s="549"/>
      <c r="T466" s="543" t="e">
        <f t="shared" si="46"/>
        <v>#VALUE!</v>
      </c>
      <c r="U466" s="548" t="e">
        <f t="shared" si="44"/>
        <v>#VALUE!</v>
      </c>
      <c r="V466" s="548" t="e">
        <f t="shared" si="47"/>
        <v>#VALUE!</v>
      </c>
      <c r="W466" s="544"/>
      <c r="X466" s="556"/>
    </row>
    <row r="467" spans="1:24">
      <c r="A467" s="552">
        <v>465</v>
      </c>
      <c r="B467" s="560"/>
      <c r="C467" s="554"/>
      <c r="D467" s="544" t="s">
        <v>799</v>
      </c>
      <c r="E467" s="555"/>
      <c r="F467" s="545">
        <f>E467-(E467*Z13)</f>
        <v>0</v>
      </c>
      <c r="G467" s="546"/>
      <c r="H467" s="547">
        <f>IF(D467="Rəsmi gəlir",AA3,IF(D467="Qeyri rəsmi gəlir",AB3))</f>
        <v>7.0000000000000007E-2</v>
      </c>
      <c r="I467" s="547">
        <f>IF(D467="Rəsmi gəlir",AA4,IF(D467="Qeyri rəsmi gəlir",AB4))</f>
        <v>0.12</v>
      </c>
      <c r="J467" s="547">
        <f>IF(D467="Rəsmi gəlir",AA5,IF(D467="Qeyri rəsmi gəlir",AB5))</f>
        <v>0.16</v>
      </c>
      <c r="K467" s="547">
        <f>IF(D467="Rəsmi gəlir",AA6,IF(D467="Qeyri rəsmi gəlir",AB6))</f>
        <v>0.2</v>
      </c>
      <c r="L467" s="547">
        <f>IF(D467="Rəsmi gəlir",AA7,IF(D467="Qeyri rəsmi gəlir",AB7))</f>
        <v>0.23</v>
      </c>
      <c r="M467" s="547">
        <f>IF(D467="Rəsmi gəlir",AA8,IF(D467="Qeyri rəsmi gəlir",AB8))</f>
        <v>0.25600000000000001</v>
      </c>
      <c r="N467" s="547">
        <f>IF(D467="Rəsmi gəlir",AA9,IF(D467="Qeyri rəsmi gəlir",AB9))</f>
        <v>0.28550000000000003</v>
      </c>
      <c r="O467" s="547">
        <f>IF(D467="Rəsmi gəlir",AA10,IF(D467="Qeyri rəsmi gəlir",AB10))</f>
        <v>0</v>
      </c>
      <c r="P467" s="547" t="b">
        <f t="shared" si="42"/>
        <v>0</v>
      </c>
      <c r="Q467" s="548">
        <f t="shared" si="43"/>
        <v>0</v>
      </c>
      <c r="R467" s="543" t="str">
        <f t="shared" si="45"/>
        <v>-</v>
      </c>
      <c r="S467" s="549"/>
      <c r="T467" s="543" t="e">
        <f t="shared" si="46"/>
        <v>#VALUE!</v>
      </c>
      <c r="U467" s="548" t="e">
        <f t="shared" si="44"/>
        <v>#VALUE!</v>
      </c>
      <c r="V467" s="548" t="e">
        <f t="shared" si="47"/>
        <v>#VALUE!</v>
      </c>
      <c r="W467" s="544"/>
      <c r="X467" s="556"/>
    </row>
    <row r="468" spans="1:24">
      <c r="A468" s="552">
        <v>466</v>
      </c>
      <c r="B468" s="560"/>
      <c r="C468" s="554"/>
      <c r="D468" s="544" t="s">
        <v>799</v>
      </c>
      <c r="E468" s="555"/>
      <c r="F468" s="545">
        <f>E468-(E468*Z13)</f>
        <v>0</v>
      </c>
      <c r="G468" s="546"/>
      <c r="H468" s="547">
        <f>IF(D468="Rəsmi gəlir",AA3,IF(D468="Qeyri rəsmi gəlir",AB3))</f>
        <v>7.0000000000000007E-2</v>
      </c>
      <c r="I468" s="547">
        <f>IF(D468="Rəsmi gəlir",AA4,IF(D468="Qeyri rəsmi gəlir",AB4))</f>
        <v>0.12</v>
      </c>
      <c r="J468" s="547">
        <f>IF(D468="Rəsmi gəlir",AA5,IF(D468="Qeyri rəsmi gəlir",AB5))</f>
        <v>0.16</v>
      </c>
      <c r="K468" s="547">
        <f>IF(D468="Rəsmi gəlir",AA6,IF(D468="Qeyri rəsmi gəlir",AB6))</f>
        <v>0.2</v>
      </c>
      <c r="L468" s="547">
        <f>IF(D468="Rəsmi gəlir",AA7,IF(D468="Qeyri rəsmi gəlir",AB7))</f>
        <v>0.23</v>
      </c>
      <c r="M468" s="547">
        <f>IF(D468="Rəsmi gəlir",AA8,IF(D468="Qeyri rəsmi gəlir",AB8))</f>
        <v>0.25600000000000001</v>
      </c>
      <c r="N468" s="547">
        <f>IF(D468="Rəsmi gəlir",AA9,IF(D468="Qeyri rəsmi gəlir",AB9))</f>
        <v>0.28550000000000003</v>
      </c>
      <c r="O468" s="547">
        <f>IF(D468="Rəsmi gəlir",AA10,IF(D468="Qeyri rəsmi gəlir",AB10))</f>
        <v>0</v>
      </c>
      <c r="P468" s="547" t="b">
        <f t="shared" si="42"/>
        <v>0</v>
      </c>
      <c r="Q468" s="548">
        <f t="shared" si="43"/>
        <v>0</v>
      </c>
      <c r="R468" s="543" t="str">
        <f t="shared" si="45"/>
        <v>-</v>
      </c>
      <c r="S468" s="549"/>
      <c r="T468" s="543" t="e">
        <f t="shared" si="46"/>
        <v>#VALUE!</v>
      </c>
      <c r="U468" s="548" t="e">
        <f t="shared" si="44"/>
        <v>#VALUE!</v>
      </c>
      <c r="V468" s="548" t="e">
        <f t="shared" si="47"/>
        <v>#VALUE!</v>
      </c>
      <c r="W468" s="544"/>
      <c r="X468" s="556"/>
    </row>
    <row r="469" spans="1:24">
      <c r="A469" s="552">
        <v>467</v>
      </c>
      <c r="B469" s="560"/>
      <c r="C469" s="554"/>
      <c r="D469" s="544" t="s">
        <v>799</v>
      </c>
      <c r="E469" s="555"/>
      <c r="F469" s="545">
        <f>E469-(E469*Z13)</f>
        <v>0</v>
      </c>
      <c r="G469" s="546"/>
      <c r="H469" s="547">
        <f>IF(D469="Rəsmi gəlir",AA3,IF(D469="Qeyri rəsmi gəlir",AB3))</f>
        <v>7.0000000000000007E-2</v>
      </c>
      <c r="I469" s="547">
        <f>IF(D469="Rəsmi gəlir",AA4,IF(D469="Qeyri rəsmi gəlir",AB4))</f>
        <v>0.12</v>
      </c>
      <c r="J469" s="547">
        <f>IF(D469="Rəsmi gəlir",AA5,IF(D469="Qeyri rəsmi gəlir",AB5))</f>
        <v>0.16</v>
      </c>
      <c r="K469" s="547">
        <f>IF(D469="Rəsmi gəlir",AA6,IF(D469="Qeyri rəsmi gəlir",AB6))</f>
        <v>0.2</v>
      </c>
      <c r="L469" s="547">
        <f>IF(D469="Rəsmi gəlir",AA7,IF(D469="Qeyri rəsmi gəlir",AB7))</f>
        <v>0.23</v>
      </c>
      <c r="M469" s="547">
        <f>IF(D469="Rəsmi gəlir",AA8,IF(D469="Qeyri rəsmi gəlir",AB8))</f>
        <v>0.25600000000000001</v>
      </c>
      <c r="N469" s="547">
        <f>IF(D469="Rəsmi gəlir",AA9,IF(D469="Qeyri rəsmi gəlir",AB9))</f>
        <v>0.28550000000000003</v>
      </c>
      <c r="O469" s="547">
        <f>IF(D469="Rəsmi gəlir",AA10,IF(D469="Qeyri rəsmi gəlir",AB10))</f>
        <v>0</v>
      </c>
      <c r="P469" s="547" t="b">
        <f t="shared" si="42"/>
        <v>0</v>
      </c>
      <c r="Q469" s="548">
        <f t="shared" si="43"/>
        <v>0</v>
      </c>
      <c r="R469" s="543" t="str">
        <f t="shared" si="45"/>
        <v>-</v>
      </c>
      <c r="S469" s="549"/>
      <c r="T469" s="543" t="e">
        <f t="shared" si="46"/>
        <v>#VALUE!</v>
      </c>
      <c r="U469" s="548" t="e">
        <f t="shared" si="44"/>
        <v>#VALUE!</v>
      </c>
      <c r="V469" s="548" t="e">
        <f t="shared" si="47"/>
        <v>#VALUE!</v>
      </c>
      <c r="W469" s="544"/>
      <c r="X469" s="556"/>
    </row>
    <row r="470" spans="1:24">
      <c r="A470" s="552">
        <v>468</v>
      </c>
      <c r="B470" s="560"/>
      <c r="C470" s="554"/>
      <c r="D470" s="544" t="s">
        <v>799</v>
      </c>
      <c r="E470" s="555"/>
      <c r="F470" s="545">
        <f>E470-(E470*Z13)</f>
        <v>0</v>
      </c>
      <c r="G470" s="546"/>
      <c r="H470" s="547">
        <f>IF(D470="Rəsmi gəlir",AA3,IF(D470="Qeyri rəsmi gəlir",AB3))</f>
        <v>7.0000000000000007E-2</v>
      </c>
      <c r="I470" s="547">
        <f>IF(D470="Rəsmi gəlir",AA4,IF(D470="Qeyri rəsmi gəlir",AB4))</f>
        <v>0.12</v>
      </c>
      <c r="J470" s="547">
        <f>IF(D470="Rəsmi gəlir",AA5,IF(D470="Qeyri rəsmi gəlir",AB5))</f>
        <v>0.16</v>
      </c>
      <c r="K470" s="547">
        <f>IF(D470="Rəsmi gəlir",AA6,IF(D470="Qeyri rəsmi gəlir",AB6))</f>
        <v>0.2</v>
      </c>
      <c r="L470" s="547">
        <f>IF(D470="Rəsmi gəlir",AA7,IF(D470="Qeyri rəsmi gəlir",AB7))</f>
        <v>0.23</v>
      </c>
      <c r="M470" s="547">
        <f>IF(D470="Rəsmi gəlir",AA8,IF(D470="Qeyri rəsmi gəlir",AB8))</f>
        <v>0.25600000000000001</v>
      </c>
      <c r="N470" s="547">
        <f>IF(D470="Rəsmi gəlir",AA9,IF(D470="Qeyri rəsmi gəlir",AB9))</f>
        <v>0.28550000000000003</v>
      </c>
      <c r="O470" s="547">
        <f>IF(D470="Rəsmi gəlir",AA10,IF(D470="Qeyri rəsmi gəlir",AB10))</f>
        <v>0</v>
      </c>
      <c r="P470" s="547" t="b">
        <f t="shared" si="42"/>
        <v>0</v>
      </c>
      <c r="Q470" s="548">
        <f t="shared" si="43"/>
        <v>0</v>
      </c>
      <c r="R470" s="543" t="str">
        <f t="shared" si="45"/>
        <v>-</v>
      </c>
      <c r="S470" s="549"/>
      <c r="T470" s="543" t="e">
        <f t="shared" si="46"/>
        <v>#VALUE!</v>
      </c>
      <c r="U470" s="548" t="e">
        <f t="shared" si="44"/>
        <v>#VALUE!</v>
      </c>
      <c r="V470" s="548" t="e">
        <f t="shared" si="47"/>
        <v>#VALUE!</v>
      </c>
      <c r="W470" s="544"/>
      <c r="X470" s="556"/>
    </row>
    <row r="471" spans="1:24">
      <c r="A471" s="552">
        <v>469</v>
      </c>
      <c r="B471" s="560"/>
      <c r="C471" s="554"/>
      <c r="D471" s="544" t="s">
        <v>799</v>
      </c>
      <c r="E471" s="555"/>
      <c r="F471" s="545">
        <f>E471-(E471*Z13)</f>
        <v>0</v>
      </c>
      <c r="G471" s="546"/>
      <c r="H471" s="547">
        <f>IF(D471="Rəsmi gəlir",AA3,IF(D471="Qeyri rəsmi gəlir",AB3))</f>
        <v>7.0000000000000007E-2</v>
      </c>
      <c r="I471" s="547">
        <f>IF(D471="Rəsmi gəlir",AA4,IF(D471="Qeyri rəsmi gəlir",AB4))</f>
        <v>0.12</v>
      </c>
      <c r="J471" s="547">
        <f>IF(D471="Rəsmi gəlir",AA5,IF(D471="Qeyri rəsmi gəlir",AB5))</f>
        <v>0.16</v>
      </c>
      <c r="K471" s="547">
        <f>IF(D471="Rəsmi gəlir",AA6,IF(D471="Qeyri rəsmi gəlir",AB6))</f>
        <v>0.2</v>
      </c>
      <c r="L471" s="547">
        <f>IF(D471="Rəsmi gəlir",AA7,IF(D471="Qeyri rəsmi gəlir",AB7))</f>
        <v>0.23</v>
      </c>
      <c r="M471" s="547">
        <f>IF(D471="Rəsmi gəlir",AA8,IF(D471="Qeyri rəsmi gəlir",AB8))</f>
        <v>0.25600000000000001</v>
      </c>
      <c r="N471" s="547">
        <f>IF(D471="Rəsmi gəlir",AA9,IF(D471="Qeyri rəsmi gəlir",AB9))</f>
        <v>0.28550000000000003</v>
      </c>
      <c r="O471" s="547">
        <f>IF(D471="Rəsmi gəlir",AA10,IF(D471="Qeyri rəsmi gəlir",AB10))</f>
        <v>0</v>
      </c>
      <c r="P471" s="547" t="b">
        <f t="shared" si="42"/>
        <v>0</v>
      </c>
      <c r="Q471" s="548">
        <f t="shared" si="43"/>
        <v>0</v>
      </c>
      <c r="R471" s="543" t="str">
        <f t="shared" si="45"/>
        <v>-</v>
      </c>
      <c r="S471" s="549"/>
      <c r="T471" s="543" t="e">
        <f t="shared" si="46"/>
        <v>#VALUE!</v>
      </c>
      <c r="U471" s="548" t="e">
        <f t="shared" si="44"/>
        <v>#VALUE!</v>
      </c>
      <c r="V471" s="548" t="e">
        <f t="shared" si="47"/>
        <v>#VALUE!</v>
      </c>
      <c r="W471" s="544"/>
      <c r="X471" s="556"/>
    </row>
    <row r="472" spans="1:24">
      <c r="A472" s="552">
        <v>470</v>
      </c>
      <c r="B472" s="560"/>
      <c r="C472" s="554"/>
      <c r="D472" s="544" t="s">
        <v>799</v>
      </c>
      <c r="E472" s="555"/>
      <c r="F472" s="545">
        <f>E472-(E472*Z13)</f>
        <v>0</v>
      </c>
      <c r="G472" s="546"/>
      <c r="H472" s="547">
        <f>IF(D472="Rəsmi gəlir",AA3,IF(D472="Qeyri rəsmi gəlir",AB3))</f>
        <v>7.0000000000000007E-2</v>
      </c>
      <c r="I472" s="547">
        <f>IF(D472="Rəsmi gəlir",AA4,IF(D472="Qeyri rəsmi gəlir",AB4))</f>
        <v>0.12</v>
      </c>
      <c r="J472" s="547">
        <f>IF(D472="Rəsmi gəlir",AA5,IF(D472="Qeyri rəsmi gəlir",AB5))</f>
        <v>0.16</v>
      </c>
      <c r="K472" s="547">
        <f>IF(D472="Rəsmi gəlir",AA6,IF(D472="Qeyri rəsmi gəlir",AB6))</f>
        <v>0.2</v>
      </c>
      <c r="L472" s="547">
        <f>IF(D472="Rəsmi gəlir",AA7,IF(D472="Qeyri rəsmi gəlir",AB7))</f>
        <v>0.23</v>
      </c>
      <c r="M472" s="547">
        <f>IF(D472="Rəsmi gəlir",AA8,IF(D472="Qeyri rəsmi gəlir",AB8))</f>
        <v>0.25600000000000001</v>
      </c>
      <c r="N472" s="547">
        <f>IF(D472="Rəsmi gəlir",AA9,IF(D472="Qeyri rəsmi gəlir",AB9))</f>
        <v>0.28550000000000003</v>
      </c>
      <c r="O472" s="547">
        <f>IF(D472="Rəsmi gəlir",AA10,IF(D472="Qeyri rəsmi gəlir",AB10))</f>
        <v>0</v>
      </c>
      <c r="P472" s="547" t="b">
        <f t="shared" si="42"/>
        <v>0</v>
      </c>
      <c r="Q472" s="548">
        <f t="shared" si="43"/>
        <v>0</v>
      </c>
      <c r="R472" s="543" t="str">
        <f t="shared" si="45"/>
        <v>-</v>
      </c>
      <c r="S472" s="549"/>
      <c r="T472" s="543" t="e">
        <f t="shared" si="46"/>
        <v>#VALUE!</v>
      </c>
      <c r="U472" s="548" t="e">
        <f t="shared" si="44"/>
        <v>#VALUE!</v>
      </c>
      <c r="V472" s="548" t="e">
        <f t="shared" si="47"/>
        <v>#VALUE!</v>
      </c>
      <c r="W472" s="544"/>
      <c r="X472" s="556"/>
    </row>
    <row r="473" spans="1:24">
      <c r="A473" s="552">
        <v>471</v>
      </c>
      <c r="B473" s="560"/>
      <c r="C473" s="554"/>
      <c r="D473" s="544" t="s">
        <v>799</v>
      </c>
      <c r="E473" s="555"/>
      <c r="F473" s="545">
        <f>E473-(E473*Z13)</f>
        <v>0</v>
      </c>
      <c r="G473" s="546"/>
      <c r="H473" s="547">
        <f>IF(D473="Rəsmi gəlir",AA3,IF(D473="Qeyri rəsmi gəlir",AB3))</f>
        <v>7.0000000000000007E-2</v>
      </c>
      <c r="I473" s="547">
        <f>IF(D473="Rəsmi gəlir",AA4,IF(D473="Qeyri rəsmi gəlir",AB4))</f>
        <v>0.12</v>
      </c>
      <c r="J473" s="547">
        <f>IF(D473="Rəsmi gəlir",AA5,IF(D473="Qeyri rəsmi gəlir",AB5))</f>
        <v>0.16</v>
      </c>
      <c r="K473" s="547">
        <f>IF(D473="Rəsmi gəlir",AA6,IF(D473="Qeyri rəsmi gəlir",AB6))</f>
        <v>0.2</v>
      </c>
      <c r="L473" s="547">
        <f>IF(D473="Rəsmi gəlir",AA7,IF(D473="Qeyri rəsmi gəlir",AB7))</f>
        <v>0.23</v>
      </c>
      <c r="M473" s="547">
        <f>IF(D473="Rəsmi gəlir",AA8,IF(D473="Qeyri rəsmi gəlir",AB8))</f>
        <v>0.25600000000000001</v>
      </c>
      <c r="N473" s="547">
        <f>IF(D473="Rəsmi gəlir",AA9,IF(D473="Qeyri rəsmi gəlir",AB9))</f>
        <v>0.28550000000000003</v>
      </c>
      <c r="O473" s="547">
        <f>IF(D473="Rəsmi gəlir",AA10,IF(D473="Qeyri rəsmi gəlir",AB10))</f>
        <v>0</v>
      </c>
      <c r="P473" s="547" t="b">
        <f t="shared" si="42"/>
        <v>0</v>
      </c>
      <c r="Q473" s="548">
        <f t="shared" si="43"/>
        <v>0</v>
      </c>
      <c r="R473" s="543" t="str">
        <f t="shared" si="45"/>
        <v>-</v>
      </c>
      <c r="S473" s="549"/>
      <c r="T473" s="543" t="e">
        <f t="shared" si="46"/>
        <v>#VALUE!</v>
      </c>
      <c r="U473" s="548" t="e">
        <f t="shared" si="44"/>
        <v>#VALUE!</v>
      </c>
      <c r="V473" s="548" t="e">
        <f t="shared" si="47"/>
        <v>#VALUE!</v>
      </c>
      <c r="W473" s="544"/>
      <c r="X473" s="556"/>
    </row>
    <row r="474" spans="1:24">
      <c r="A474" s="552">
        <v>472</v>
      </c>
      <c r="B474" s="560"/>
      <c r="C474" s="554"/>
      <c r="D474" s="544" t="s">
        <v>799</v>
      </c>
      <c r="E474" s="555"/>
      <c r="F474" s="545">
        <f>E474-(E474*Z13)</f>
        <v>0</v>
      </c>
      <c r="G474" s="546"/>
      <c r="H474" s="547">
        <f>IF(D474="Rəsmi gəlir",AA3,IF(D474="Qeyri rəsmi gəlir",AB3))</f>
        <v>7.0000000000000007E-2</v>
      </c>
      <c r="I474" s="547">
        <f>IF(D474="Rəsmi gəlir",AA4,IF(D474="Qeyri rəsmi gəlir",AB4))</f>
        <v>0.12</v>
      </c>
      <c r="J474" s="547">
        <f>IF(D474="Rəsmi gəlir",AA5,IF(D474="Qeyri rəsmi gəlir",AB5))</f>
        <v>0.16</v>
      </c>
      <c r="K474" s="547">
        <f>IF(D474="Rəsmi gəlir",AA6,IF(D474="Qeyri rəsmi gəlir",AB6))</f>
        <v>0.2</v>
      </c>
      <c r="L474" s="547">
        <f>IF(D474="Rəsmi gəlir",AA7,IF(D474="Qeyri rəsmi gəlir",AB7))</f>
        <v>0.23</v>
      </c>
      <c r="M474" s="547">
        <f>IF(D474="Rəsmi gəlir",AA8,IF(D474="Qeyri rəsmi gəlir",AB8))</f>
        <v>0.25600000000000001</v>
      </c>
      <c r="N474" s="547">
        <f>IF(D474="Rəsmi gəlir",AA9,IF(D474="Qeyri rəsmi gəlir",AB9))</f>
        <v>0.28550000000000003</v>
      </c>
      <c r="O474" s="547">
        <f>IF(D474="Rəsmi gəlir",AA10,IF(D474="Qeyri rəsmi gəlir",AB10))</f>
        <v>0</v>
      </c>
      <c r="P474" s="547" t="b">
        <f t="shared" si="42"/>
        <v>0</v>
      </c>
      <c r="Q474" s="548">
        <f t="shared" si="43"/>
        <v>0</v>
      </c>
      <c r="R474" s="543" t="str">
        <f t="shared" si="45"/>
        <v>-</v>
      </c>
      <c r="S474" s="549"/>
      <c r="T474" s="543" t="e">
        <f t="shared" si="46"/>
        <v>#VALUE!</v>
      </c>
      <c r="U474" s="548" t="e">
        <f t="shared" si="44"/>
        <v>#VALUE!</v>
      </c>
      <c r="V474" s="548" t="e">
        <f t="shared" si="47"/>
        <v>#VALUE!</v>
      </c>
      <c r="W474" s="544"/>
      <c r="X474" s="556"/>
    </row>
    <row r="475" spans="1:24">
      <c r="A475" s="552">
        <v>473</v>
      </c>
      <c r="B475" s="560"/>
      <c r="C475" s="554"/>
      <c r="D475" s="544" t="s">
        <v>799</v>
      </c>
      <c r="E475" s="555"/>
      <c r="F475" s="545">
        <f>E475-(E475*Z13)</f>
        <v>0</v>
      </c>
      <c r="G475" s="546"/>
      <c r="H475" s="547">
        <f>IF(D475="Rəsmi gəlir",AA3,IF(D475="Qeyri rəsmi gəlir",AB3))</f>
        <v>7.0000000000000007E-2</v>
      </c>
      <c r="I475" s="547">
        <f>IF(D475="Rəsmi gəlir",AA4,IF(D475="Qeyri rəsmi gəlir",AB4))</f>
        <v>0.12</v>
      </c>
      <c r="J475" s="547">
        <f>IF(D475="Rəsmi gəlir",AA5,IF(D475="Qeyri rəsmi gəlir",AB5))</f>
        <v>0.16</v>
      </c>
      <c r="K475" s="547">
        <f>IF(D475="Rəsmi gəlir",AA6,IF(D475="Qeyri rəsmi gəlir",AB6))</f>
        <v>0.2</v>
      </c>
      <c r="L475" s="547">
        <f>IF(D475="Rəsmi gəlir",AA7,IF(D475="Qeyri rəsmi gəlir",AB7))</f>
        <v>0.23</v>
      </c>
      <c r="M475" s="547">
        <f>IF(D475="Rəsmi gəlir",AA8,IF(D475="Qeyri rəsmi gəlir",AB8))</f>
        <v>0.25600000000000001</v>
      </c>
      <c r="N475" s="547">
        <f>IF(D475="Rəsmi gəlir",AA9,IF(D475="Qeyri rəsmi gəlir",AB9))</f>
        <v>0.28550000000000003</v>
      </c>
      <c r="O475" s="547">
        <f>IF(D475="Rəsmi gəlir",AA10,IF(D475="Qeyri rəsmi gəlir",AB10))</f>
        <v>0</v>
      </c>
      <c r="P475" s="547" t="b">
        <f t="shared" si="42"/>
        <v>0</v>
      </c>
      <c r="Q475" s="548">
        <f t="shared" si="43"/>
        <v>0</v>
      </c>
      <c r="R475" s="543" t="str">
        <f t="shared" si="45"/>
        <v>-</v>
      </c>
      <c r="S475" s="549"/>
      <c r="T475" s="543" t="e">
        <f t="shared" si="46"/>
        <v>#VALUE!</v>
      </c>
      <c r="U475" s="548" t="e">
        <f t="shared" si="44"/>
        <v>#VALUE!</v>
      </c>
      <c r="V475" s="548" t="e">
        <f t="shared" si="47"/>
        <v>#VALUE!</v>
      </c>
      <c r="W475" s="544"/>
      <c r="X475" s="556"/>
    </row>
    <row r="476" spans="1:24">
      <c r="A476" s="552">
        <v>474</v>
      </c>
      <c r="B476" s="560"/>
      <c r="C476" s="554"/>
      <c r="D476" s="544" t="s">
        <v>799</v>
      </c>
      <c r="E476" s="555"/>
      <c r="F476" s="545">
        <f>E476-(E476*Z13)</f>
        <v>0</v>
      </c>
      <c r="G476" s="546"/>
      <c r="H476" s="547">
        <f>IF(D476="Rəsmi gəlir",AA3,IF(D476="Qeyri rəsmi gəlir",AB3))</f>
        <v>7.0000000000000007E-2</v>
      </c>
      <c r="I476" s="547">
        <f>IF(D476="Rəsmi gəlir",AA4,IF(D476="Qeyri rəsmi gəlir",AB4))</f>
        <v>0.12</v>
      </c>
      <c r="J476" s="547">
        <f>IF(D476="Rəsmi gəlir",AA5,IF(D476="Qeyri rəsmi gəlir",AB5))</f>
        <v>0.16</v>
      </c>
      <c r="K476" s="547">
        <f>IF(D476="Rəsmi gəlir",AA6,IF(D476="Qeyri rəsmi gəlir",AB6))</f>
        <v>0.2</v>
      </c>
      <c r="L476" s="547">
        <f>IF(D476="Rəsmi gəlir",AA7,IF(D476="Qeyri rəsmi gəlir",AB7))</f>
        <v>0.23</v>
      </c>
      <c r="M476" s="547">
        <f>IF(D476="Rəsmi gəlir",AA8,IF(D476="Qeyri rəsmi gəlir",AB8))</f>
        <v>0.25600000000000001</v>
      </c>
      <c r="N476" s="547">
        <f>IF(D476="Rəsmi gəlir",AA9,IF(D476="Qeyri rəsmi gəlir",AB9))</f>
        <v>0.28550000000000003</v>
      </c>
      <c r="O476" s="547">
        <f>IF(D476="Rəsmi gəlir",AA10,IF(D476="Qeyri rəsmi gəlir",AB10))</f>
        <v>0</v>
      </c>
      <c r="P476" s="547" t="b">
        <f t="shared" si="42"/>
        <v>0</v>
      </c>
      <c r="Q476" s="548">
        <f t="shared" si="43"/>
        <v>0</v>
      </c>
      <c r="R476" s="543" t="str">
        <f t="shared" si="45"/>
        <v>-</v>
      </c>
      <c r="S476" s="549"/>
      <c r="T476" s="543" t="e">
        <f t="shared" si="46"/>
        <v>#VALUE!</v>
      </c>
      <c r="U476" s="548" t="e">
        <f t="shared" si="44"/>
        <v>#VALUE!</v>
      </c>
      <c r="V476" s="548" t="e">
        <f t="shared" si="47"/>
        <v>#VALUE!</v>
      </c>
      <c r="W476" s="544"/>
      <c r="X476" s="556"/>
    </row>
    <row r="477" spans="1:24">
      <c r="A477" s="552">
        <v>475</v>
      </c>
      <c r="B477" s="560"/>
      <c r="C477" s="554"/>
      <c r="D477" s="544" t="s">
        <v>799</v>
      </c>
      <c r="E477" s="555"/>
      <c r="F477" s="545">
        <f>E477-(E477*Z13)</f>
        <v>0</v>
      </c>
      <c r="G477" s="546"/>
      <c r="H477" s="547">
        <f>IF(D477="Rəsmi gəlir",AA3,IF(D477="Qeyri rəsmi gəlir",AB3))</f>
        <v>7.0000000000000007E-2</v>
      </c>
      <c r="I477" s="547">
        <f>IF(D477="Rəsmi gəlir",AA4,IF(D477="Qeyri rəsmi gəlir",AB4))</f>
        <v>0.12</v>
      </c>
      <c r="J477" s="547">
        <f>IF(D477="Rəsmi gəlir",AA5,IF(D477="Qeyri rəsmi gəlir",AB5))</f>
        <v>0.16</v>
      </c>
      <c r="K477" s="547">
        <f>IF(D477="Rəsmi gəlir",AA6,IF(D477="Qeyri rəsmi gəlir",AB6))</f>
        <v>0.2</v>
      </c>
      <c r="L477" s="547">
        <f>IF(D477="Rəsmi gəlir",AA7,IF(D477="Qeyri rəsmi gəlir",AB7))</f>
        <v>0.23</v>
      </c>
      <c r="M477" s="547">
        <f>IF(D477="Rəsmi gəlir",AA8,IF(D477="Qeyri rəsmi gəlir",AB8))</f>
        <v>0.25600000000000001</v>
      </c>
      <c r="N477" s="547">
        <f>IF(D477="Rəsmi gəlir",AA9,IF(D477="Qeyri rəsmi gəlir",AB9))</f>
        <v>0.28550000000000003</v>
      </c>
      <c r="O477" s="547">
        <f>IF(D477="Rəsmi gəlir",AA10,IF(D477="Qeyri rəsmi gəlir",AB10))</f>
        <v>0</v>
      </c>
      <c r="P477" s="547" t="b">
        <f t="shared" si="42"/>
        <v>0</v>
      </c>
      <c r="Q477" s="548">
        <f t="shared" si="43"/>
        <v>0</v>
      </c>
      <c r="R477" s="543" t="str">
        <f t="shared" si="45"/>
        <v>-</v>
      </c>
      <c r="S477" s="549"/>
      <c r="T477" s="543" t="e">
        <f t="shared" si="46"/>
        <v>#VALUE!</v>
      </c>
      <c r="U477" s="548" t="e">
        <f t="shared" si="44"/>
        <v>#VALUE!</v>
      </c>
      <c r="V477" s="548" t="e">
        <f t="shared" si="47"/>
        <v>#VALUE!</v>
      </c>
      <c r="W477" s="544"/>
      <c r="X477" s="556"/>
    </row>
    <row r="478" spans="1:24">
      <c r="A478" s="552">
        <v>476</v>
      </c>
      <c r="B478" s="560"/>
      <c r="C478" s="554"/>
      <c r="D478" s="544" t="s">
        <v>799</v>
      </c>
      <c r="E478" s="555"/>
      <c r="F478" s="545">
        <f>E478-(E478*Z13)</f>
        <v>0</v>
      </c>
      <c r="G478" s="546"/>
      <c r="H478" s="547">
        <f>IF(D478="Rəsmi gəlir",AA3,IF(D478="Qeyri rəsmi gəlir",AB3))</f>
        <v>7.0000000000000007E-2</v>
      </c>
      <c r="I478" s="547">
        <f>IF(D478="Rəsmi gəlir",AA4,IF(D478="Qeyri rəsmi gəlir",AB4))</f>
        <v>0.12</v>
      </c>
      <c r="J478" s="547">
        <f>IF(D478="Rəsmi gəlir",AA5,IF(D478="Qeyri rəsmi gəlir",AB5))</f>
        <v>0.16</v>
      </c>
      <c r="K478" s="547">
        <f>IF(D478="Rəsmi gəlir",AA6,IF(D478="Qeyri rəsmi gəlir",AB6))</f>
        <v>0.2</v>
      </c>
      <c r="L478" s="547">
        <f>IF(D478="Rəsmi gəlir",AA7,IF(D478="Qeyri rəsmi gəlir",AB7))</f>
        <v>0.23</v>
      </c>
      <c r="M478" s="547">
        <f>IF(D478="Rəsmi gəlir",AA8,IF(D478="Qeyri rəsmi gəlir",AB8))</f>
        <v>0.25600000000000001</v>
      </c>
      <c r="N478" s="547">
        <f>IF(D478="Rəsmi gəlir",AA9,IF(D478="Qeyri rəsmi gəlir",AB9))</f>
        <v>0.28550000000000003</v>
      </c>
      <c r="O478" s="547">
        <f>IF(D478="Rəsmi gəlir",AA10,IF(D478="Qeyri rəsmi gəlir",AB10))</f>
        <v>0</v>
      </c>
      <c r="P478" s="547" t="b">
        <f t="shared" si="42"/>
        <v>0</v>
      </c>
      <c r="Q478" s="548">
        <f t="shared" si="43"/>
        <v>0</v>
      </c>
      <c r="R478" s="543" t="str">
        <f t="shared" si="45"/>
        <v>-</v>
      </c>
      <c r="S478" s="549"/>
      <c r="T478" s="543" t="e">
        <f t="shared" si="46"/>
        <v>#VALUE!</v>
      </c>
      <c r="U478" s="548" t="e">
        <f t="shared" si="44"/>
        <v>#VALUE!</v>
      </c>
      <c r="V478" s="548" t="e">
        <f t="shared" si="47"/>
        <v>#VALUE!</v>
      </c>
      <c r="W478" s="544"/>
      <c r="X478" s="556"/>
    </row>
    <row r="479" spans="1:24">
      <c r="A479" s="552">
        <v>477</v>
      </c>
      <c r="B479" s="560"/>
      <c r="C479" s="554"/>
      <c r="D479" s="544" t="s">
        <v>799</v>
      </c>
      <c r="E479" s="555"/>
      <c r="F479" s="545">
        <f>E479-(E479*Z13)</f>
        <v>0</v>
      </c>
      <c r="G479" s="546"/>
      <c r="H479" s="547">
        <f>IF(D479="Rəsmi gəlir",AA3,IF(D479="Qeyri rəsmi gəlir",AB3))</f>
        <v>7.0000000000000007E-2</v>
      </c>
      <c r="I479" s="547">
        <f>IF(D479="Rəsmi gəlir",AA4,IF(D479="Qeyri rəsmi gəlir",AB4))</f>
        <v>0.12</v>
      </c>
      <c r="J479" s="547">
        <f>IF(D479="Rəsmi gəlir",AA5,IF(D479="Qeyri rəsmi gəlir",AB5))</f>
        <v>0.16</v>
      </c>
      <c r="K479" s="547">
        <f>IF(D479="Rəsmi gəlir",AA6,IF(D479="Qeyri rəsmi gəlir",AB6))</f>
        <v>0.2</v>
      </c>
      <c r="L479" s="547">
        <f>IF(D479="Rəsmi gəlir",AA7,IF(D479="Qeyri rəsmi gəlir",AB7))</f>
        <v>0.23</v>
      </c>
      <c r="M479" s="547">
        <f>IF(D479="Rəsmi gəlir",AA8,IF(D479="Qeyri rəsmi gəlir",AB8))</f>
        <v>0.25600000000000001</v>
      </c>
      <c r="N479" s="547">
        <f>IF(D479="Rəsmi gəlir",AA9,IF(D479="Qeyri rəsmi gəlir",AB9))</f>
        <v>0.28550000000000003</v>
      </c>
      <c r="O479" s="547">
        <f>IF(D479="Rəsmi gəlir",AA10,IF(D479="Qeyri rəsmi gəlir",AB10))</f>
        <v>0</v>
      </c>
      <c r="P479" s="547" t="b">
        <f t="shared" si="42"/>
        <v>0</v>
      </c>
      <c r="Q479" s="548">
        <f t="shared" si="43"/>
        <v>0</v>
      </c>
      <c r="R479" s="543" t="str">
        <f t="shared" si="45"/>
        <v>-</v>
      </c>
      <c r="S479" s="549"/>
      <c r="T479" s="543" t="e">
        <f t="shared" si="46"/>
        <v>#VALUE!</v>
      </c>
      <c r="U479" s="548" t="e">
        <f t="shared" si="44"/>
        <v>#VALUE!</v>
      </c>
      <c r="V479" s="548" t="e">
        <f t="shared" si="47"/>
        <v>#VALUE!</v>
      </c>
      <c r="W479" s="544"/>
      <c r="X479" s="556"/>
    </row>
    <row r="480" spans="1:24">
      <c r="A480" s="552">
        <v>478</v>
      </c>
      <c r="B480" s="560"/>
      <c r="C480" s="554"/>
      <c r="D480" s="544" t="s">
        <v>799</v>
      </c>
      <c r="E480" s="555"/>
      <c r="F480" s="545">
        <f>E480-(E480*Z13)</f>
        <v>0</v>
      </c>
      <c r="G480" s="546"/>
      <c r="H480" s="547">
        <f>IF(D480="Rəsmi gəlir",AA3,IF(D480="Qeyri rəsmi gəlir",AB3))</f>
        <v>7.0000000000000007E-2</v>
      </c>
      <c r="I480" s="547">
        <f>IF(D480="Rəsmi gəlir",AA4,IF(D480="Qeyri rəsmi gəlir",AB4))</f>
        <v>0.12</v>
      </c>
      <c r="J480" s="547">
        <f>IF(D480="Rəsmi gəlir",AA5,IF(D480="Qeyri rəsmi gəlir",AB5))</f>
        <v>0.16</v>
      </c>
      <c r="K480" s="547">
        <f>IF(D480="Rəsmi gəlir",AA6,IF(D480="Qeyri rəsmi gəlir",AB6))</f>
        <v>0.2</v>
      </c>
      <c r="L480" s="547">
        <f>IF(D480="Rəsmi gəlir",AA7,IF(D480="Qeyri rəsmi gəlir",AB7))</f>
        <v>0.23</v>
      </c>
      <c r="M480" s="547">
        <f>IF(D480="Rəsmi gəlir",AA8,IF(D480="Qeyri rəsmi gəlir",AB8))</f>
        <v>0.25600000000000001</v>
      </c>
      <c r="N480" s="547">
        <f>IF(D480="Rəsmi gəlir",AA9,IF(D480="Qeyri rəsmi gəlir",AB9))</f>
        <v>0.28550000000000003</v>
      </c>
      <c r="O480" s="547">
        <f>IF(D480="Rəsmi gəlir",AA10,IF(D480="Qeyri rəsmi gəlir",AB10))</f>
        <v>0</v>
      </c>
      <c r="P480" s="547" t="b">
        <f t="shared" si="42"/>
        <v>0</v>
      </c>
      <c r="Q480" s="548">
        <f t="shared" si="43"/>
        <v>0</v>
      </c>
      <c r="R480" s="543" t="str">
        <f t="shared" si="45"/>
        <v>-</v>
      </c>
      <c r="S480" s="549"/>
      <c r="T480" s="543" t="e">
        <f t="shared" si="46"/>
        <v>#VALUE!</v>
      </c>
      <c r="U480" s="548" t="e">
        <f t="shared" si="44"/>
        <v>#VALUE!</v>
      </c>
      <c r="V480" s="548" t="e">
        <f t="shared" si="47"/>
        <v>#VALUE!</v>
      </c>
      <c r="W480" s="544"/>
      <c r="X480" s="556"/>
    </row>
    <row r="481" spans="1:24">
      <c r="A481" s="552">
        <v>479</v>
      </c>
      <c r="B481" s="560"/>
      <c r="C481" s="554"/>
      <c r="D481" s="544" t="s">
        <v>799</v>
      </c>
      <c r="E481" s="555"/>
      <c r="F481" s="545">
        <f>E481-(E481*Z13)</f>
        <v>0</v>
      </c>
      <c r="G481" s="546"/>
      <c r="H481" s="547">
        <f>IF(D481="Rəsmi gəlir",AA3,IF(D481="Qeyri rəsmi gəlir",AB3))</f>
        <v>7.0000000000000007E-2</v>
      </c>
      <c r="I481" s="547">
        <f>IF(D481="Rəsmi gəlir",AA4,IF(D481="Qeyri rəsmi gəlir",AB4))</f>
        <v>0.12</v>
      </c>
      <c r="J481" s="547">
        <f>IF(D481="Rəsmi gəlir",AA5,IF(D481="Qeyri rəsmi gəlir",AB5))</f>
        <v>0.16</v>
      </c>
      <c r="K481" s="547">
        <f>IF(D481="Rəsmi gəlir",AA6,IF(D481="Qeyri rəsmi gəlir",AB6))</f>
        <v>0.2</v>
      </c>
      <c r="L481" s="547">
        <f>IF(D481="Rəsmi gəlir",AA7,IF(D481="Qeyri rəsmi gəlir",AB7))</f>
        <v>0.23</v>
      </c>
      <c r="M481" s="547">
        <f>IF(D481="Rəsmi gəlir",AA8,IF(D481="Qeyri rəsmi gəlir",AB8))</f>
        <v>0.25600000000000001</v>
      </c>
      <c r="N481" s="547">
        <f>IF(D481="Rəsmi gəlir",AA9,IF(D481="Qeyri rəsmi gəlir",AB9))</f>
        <v>0.28550000000000003</v>
      </c>
      <c r="O481" s="547">
        <f>IF(D481="Rəsmi gəlir",AA10,IF(D481="Qeyri rəsmi gəlir",AB10))</f>
        <v>0</v>
      </c>
      <c r="P481" s="547" t="b">
        <f t="shared" si="42"/>
        <v>0</v>
      </c>
      <c r="Q481" s="548">
        <f t="shared" si="43"/>
        <v>0</v>
      </c>
      <c r="R481" s="543" t="str">
        <f t="shared" si="45"/>
        <v>-</v>
      </c>
      <c r="S481" s="549"/>
      <c r="T481" s="543" t="e">
        <f t="shared" si="46"/>
        <v>#VALUE!</v>
      </c>
      <c r="U481" s="548" t="e">
        <f t="shared" si="44"/>
        <v>#VALUE!</v>
      </c>
      <c r="V481" s="548" t="e">
        <f t="shared" si="47"/>
        <v>#VALUE!</v>
      </c>
      <c r="W481" s="544"/>
      <c r="X481" s="556"/>
    </row>
    <row r="482" spans="1:24">
      <c r="A482" s="552">
        <v>480</v>
      </c>
      <c r="B482" s="560"/>
      <c r="C482" s="554"/>
      <c r="D482" s="544" t="s">
        <v>799</v>
      </c>
      <c r="E482" s="555"/>
      <c r="F482" s="545">
        <f>E482-(E482*Z13)</f>
        <v>0</v>
      </c>
      <c r="G482" s="546"/>
      <c r="H482" s="547">
        <f>IF(D482="Rəsmi gəlir",AA3,IF(D482="Qeyri rəsmi gəlir",AB3))</f>
        <v>7.0000000000000007E-2</v>
      </c>
      <c r="I482" s="547">
        <f>IF(D482="Rəsmi gəlir",AA4,IF(D482="Qeyri rəsmi gəlir",AB4))</f>
        <v>0.12</v>
      </c>
      <c r="J482" s="547">
        <f>IF(D482="Rəsmi gəlir",AA5,IF(D482="Qeyri rəsmi gəlir",AB5))</f>
        <v>0.16</v>
      </c>
      <c r="K482" s="547">
        <f>IF(D482="Rəsmi gəlir",AA6,IF(D482="Qeyri rəsmi gəlir",AB6))</f>
        <v>0.2</v>
      </c>
      <c r="L482" s="547">
        <f>IF(D482="Rəsmi gəlir",AA7,IF(D482="Qeyri rəsmi gəlir",AB7))</f>
        <v>0.23</v>
      </c>
      <c r="M482" s="547">
        <f>IF(D482="Rəsmi gəlir",AA8,IF(D482="Qeyri rəsmi gəlir",AB8))</f>
        <v>0.25600000000000001</v>
      </c>
      <c r="N482" s="547">
        <f>IF(D482="Rəsmi gəlir",AA9,IF(D482="Qeyri rəsmi gəlir",AB9))</f>
        <v>0.28550000000000003</v>
      </c>
      <c r="O482" s="547">
        <f>IF(D482="Rəsmi gəlir",AA10,IF(D482="Qeyri rəsmi gəlir",AB10))</f>
        <v>0</v>
      </c>
      <c r="P482" s="547" t="b">
        <f t="shared" si="42"/>
        <v>0</v>
      </c>
      <c r="Q482" s="548">
        <f t="shared" si="43"/>
        <v>0</v>
      </c>
      <c r="R482" s="543" t="str">
        <f t="shared" si="45"/>
        <v>-</v>
      </c>
      <c r="S482" s="549"/>
      <c r="T482" s="543" t="e">
        <f t="shared" si="46"/>
        <v>#VALUE!</v>
      </c>
      <c r="U482" s="548" t="e">
        <f t="shared" si="44"/>
        <v>#VALUE!</v>
      </c>
      <c r="V482" s="548" t="e">
        <f t="shared" si="47"/>
        <v>#VALUE!</v>
      </c>
      <c r="W482" s="544"/>
      <c r="X482" s="556"/>
    </row>
    <row r="483" spans="1:24">
      <c r="A483" s="552">
        <v>481</v>
      </c>
      <c r="B483" s="560"/>
      <c r="C483" s="554"/>
      <c r="D483" s="544" t="s">
        <v>799</v>
      </c>
      <c r="E483" s="555"/>
      <c r="F483" s="545">
        <f>E483-(E483*Z13)</f>
        <v>0</v>
      </c>
      <c r="G483" s="546"/>
      <c r="H483" s="547">
        <f>IF(D483="Rəsmi gəlir",AA3,IF(D483="Qeyri rəsmi gəlir",AB3))</f>
        <v>7.0000000000000007E-2</v>
      </c>
      <c r="I483" s="547">
        <f>IF(D483="Rəsmi gəlir",AA4,IF(D483="Qeyri rəsmi gəlir",AB4))</f>
        <v>0.12</v>
      </c>
      <c r="J483" s="547">
        <f>IF(D483="Rəsmi gəlir",AA5,IF(D483="Qeyri rəsmi gəlir",AB5))</f>
        <v>0.16</v>
      </c>
      <c r="K483" s="547">
        <f>IF(D483="Rəsmi gəlir",AA6,IF(D483="Qeyri rəsmi gəlir",AB6))</f>
        <v>0.2</v>
      </c>
      <c r="L483" s="547">
        <f>IF(D483="Rəsmi gəlir",AA7,IF(D483="Qeyri rəsmi gəlir",AB7))</f>
        <v>0.23</v>
      </c>
      <c r="M483" s="547">
        <f>IF(D483="Rəsmi gəlir",AA8,IF(D483="Qeyri rəsmi gəlir",AB8))</f>
        <v>0.25600000000000001</v>
      </c>
      <c r="N483" s="547">
        <f>IF(D483="Rəsmi gəlir",AA9,IF(D483="Qeyri rəsmi gəlir",AB9))</f>
        <v>0.28550000000000003</v>
      </c>
      <c r="O483" s="547">
        <f>IF(D483="Rəsmi gəlir",AA10,IF(D483="Qeyri rəsmi gəlir",AB10))</f>
        <v>0</v>
      </c>
      <c r="P483" s="547" t="b">
        <f t="shared" si="42"/>
        <v>0</v>
      </c>
      <c r="Q483" s="548">
        <f t="shared" si="43"/>
        <v>0</v>
      </c>
      <c r="R483" s="543" t="str">
        <f t="shared" si="45"/>
        <v>-</v>
      </c>
      <c r="S483" s="549"/>
      <c r="T483" s="543" t="e">
        <f t="shared" si="46"/>
        <v>#VALUE!</v>
      </c>
      <c r="U483" s="548" t="e">
        <f t="shared" si="44"/>
        <v>#VALUE!</v>
      </c>
      <c r="V483" s="548" t="e">
        <f t="shared" si="47"/>
        <v>#VALUE!</v>
      </c>
      <c r="W483" s="544"/>
      <c r="X483" s="556"/>
    </row>
    <row r="484" spans="1:24">
      <c r="A484" s="552">
        <v>482</v>
      </c>
      <c r="B484" s="560"/>
      <c r="C484" s="554"/>
      <c r="D484" s="544" t="s">
        <v>799</v>
      </c>
      <c r="E484" s="555"/>
      <c r="F484" s="545">
        <f>E484-(E484*Z13)</f>
        <v>0</v>
      </c>
      <c r="G484" s="546"/>
      <c r="H484" s="547">
        <f>IF(D484="Rəsmi gəlir",AA3,IF(D484="Qeyri rəsmi gəlir",AB3))</f>
        <v>7.0000000000000007E-2</v>
      </c>
      <c r="I484" s="547">
        <f>IF(D484="Rəsmi gəlir",AA4,IF(D484="Qeyri rəsmi gəlir",AB4))</f>
        <v>0.12</v>
      </c>
      <c r="J484" s="547">
        <f>IF(D484="Rəsmi gəlir",AA5,IF(D484="Qeyri rəsmi gəlir",AB5))</f>
        <v>0.16</v>
      </c>
      <c r="K484" s="547">
        <f>IF(D484="Rəsmi gəlir",AA6,IF(D484="Qeyri rəsmi gəlir",AB6))</f>
        <v>0.2</v>
      </c>
      <c r="L484" s="547">
        <f>IF(D484="Rəsmi gəlir",AA7,IF(D484="Qeyri rəsmi gəlir",AB7))</f>
        <v>0.23</v>
      </c>
      <c r="M484" s="547">
        <f>IF(D484="Rəsmi gəlir",AA8,IF(D484="Qeyri rəsmi gəlir",AB8))</f>
        <v>0.25600000000000001</v>
      </c>
      <c r="N484" s="547">
        <f>IF(D484="Rəsmi gəlir",AA9,IF(D484="Qeyri rəsmi gəlir",AB9))</f>
        <v>0.28550000000000003</v>
      </c>
      <c r="O484" s="547">
        <f>IF(D484="Rəsmi gəlir",AA10,IF(D484="Qeyri rəsmi gəlir",AB10))</f>
        <v>0</v>
      </c>
      <c r="P484" s="547" t="b">
        <f t="shared" si="42"/>
        <v>0</v>
      </c>
      <c r="Q484" s="548">
        <f t="shared" si="43"/>
        <v>0</v>
      </c>
      <c r="R484" s="543" t="str">
        <f t="shared" si="45"/>
        <v>-</v>
      </c>
      <c r="S484" s="549"/>
      <c r="T484" s="543" t="e">
        <f t="shared" si="46"/>
        <v>#VALUE!</v>
      </c>
      <c r="U484" s="548" t="e">
        <f t="shared" si="44"/>
        <v>#VALUE!</v>
      </c>
      <c r="V484" s="548" t="e">
        <f t="shared" si="47"/>
        <v>#VALUE!</v>
      </c>
      <c r="W484" s="544"/>
      <c r="X484" s="556"/>
    </row>
    <row r="485" spans="1:24">
      <c r="A485" s="552">
        <v>483</v>
      </c>
      <c r="B485" s="560"/>
      <c r="C485" s="554"/>
      <c r="D485" s="544" t="s">
        <v>799</v>
      </c>
      <c r="E485" s="555"/>
      <c r="F485" s="545">
        <f>E485-(E485*Z13)</f>
        <v>0</v>
      </c>
      <c r="G485" s="546"/>
      <c r="H485" s="547">
        <f>IF(D485="Rəsmi gəlir",AA3,IF(D485="Qeyri rəsmi gəlir",AB3))</f>
        <v>7.0000000000000007E-2</v>
      </c>
      <c r="I485" s="547">
        <f>IF(D485="Rəsmi gəlir",AA4,IF(D485="Qeyri rəsmi gəlir",AB4))</f>
        <v>0.12</v>
      </c>
      <c r="J485" s="547">
        <f>IF(D485="Rəsmi gəlir",AA5,IF(D485="Qeyri rəsmi gəlir",AB5))</f>
        <v>0.16</v>
      </c>
      <c r="K485" s="547">
        <f>IF(D485="Rəsmi gəlir",AA6,IF(D485="Qeyri rəsmi gəlir",AB6))</f>
        <v>0.2</v>
      </c>
      <c r="L485" s="547">
        <f>IF(D485="Rəsmi gəlir",AA7,IF(D485="Qeyri rəsmi gəlir",AB7))</f>
        <v>0.23</v>
      </c>
      <c r="M485" s="547">
        <f>IF(D485="Rəsmi gəlir",AA8,IF(D485="Qeyri rəsmi gəlir",AB8))</f>
        <v>0.25600000000000001</v>
      </c>
      <c r="N485" s="547">
        <f>IF(D485="Rəsmi gəlir",AA9,IF(D485="Qeyri rəsmi gəlir",AB9))</f>
        <v>0.28550000000000003</v>
      </c>
      <c r="O485" s="547">
        <f>IF(D485="Rəsmi gəlir",AA10,IF(D485="Qeyri rəsmi gəlir",AB10))</f>
        <v>0</v>
      </c>
      <c r="P485" s="547" t="b">
        <f t="shared" si="42"/>
        <v>0</v>
      </c>
      <c r="Q485" s="548">
        <f t="shared" si="43"/>
        <v>0</v>
      </c>
      <c r="R485" s="543" t="str">
        <f t="shared" si="45"/>
        <v>-</v>
      </c>
      <c r="S485" s="549"/>
      <c r="T485" s="543" t="e">
        <f t="shared" si="46"/>
        <v>#VALUE!</v>
      </c>
      <c r="U485" s="548" t="e">
        <f t="shared" si="44"/>
        <v>#VALUE!</v>
      </c>
      <c r="V485" s="548" t="e">
        <f t="shared" si="47"/>
        <v>#VALUE!</v>
      </c>
      <c r="W485" s="544"/>
      <c r="X485" s="556"/>
    </row>
    <row r="486" spans="1:24">
      <c r="A486" s="552">
        <v>484</v>
      </c>
      <c r="B486" s="560"/>
      <c r="C486" s="554"/>
      <c r="D486" s="544" t="s">
        <v>799</v>
      </c>
      <c r="E486" s="555"/>
      <c r="F486" s="545">
        <f>E486-(E486*Z13)</f>
        <v>0</v>
      </c>
      <c r="G486" s="546"/>
      <c r="H486" s="547">
        <f>IF(D486="Rəsmi gəlir",AA3,IF(D486="Qeyri rəsmi gəlir",AB3))</f>
        <v>7.0000000000000007E-2</v>
      </c>
      <c r="I486" s="547">
        <f>IF(D486="Rəsmi gəlir",AA4,IF(D486="Qeyri rəsmi gəlir",AB4))</f>
        <v>0.12</v>
      </c>
      <c r="J486" s="547">
        <f>IF(D486="Rəsmi gəlir",AA5,IF(D486="Qeyri rəsmi gəlir",AB5))</f>
        <v>0.16</v>
      </c>
      <c r="K486" s="547">
        <f>IF(D486="Rəsmi gəlir",AA6,IF(D486="Qeyri rəsmi gəlir",AB6))</f>
        <v>0.2</v>
      </c>
      <c r="L486" s="547">
        <f>IF(D486="Rəsmi gəlir",AA7,IF(D486="Qeyri rəsmi gəlir",AB7))</f>
        <v>0.23</v>
      </c>
      <c r="M486" s="547">
        <f>IF(D486="Rəsmi gəlir",AA8,IF(D486="Qeyri rəsmi gəlir",AB8))</f>
        <v>0.25600000000000001</v>
      </c>
      <c r="N486" s="547">
        <f>IF(D486="Rəsmi gəlir",AA9,IF(D486="Qeyri rəsmi gəlir",AB9))</f>
        <v>0.28550000000000003</v>
      </c>
      <c r="O486" s="547">
        <f>IF(D486="Rəsmi gəlir",AA10,IF(D486="Qeyri rəsmi gəlir",AB10))</f>
        <v>0</v>
      </c>
      <c r="P486" s="547" t="b">
        <f t="shared" si="42"/>
        <v>0</v>
      </c>
      <c r="Q486" s="548">
        <f t="shared" si="43"/>
        <v>0</v>
      </c>
      <c r="R486" s="543" t="str">
        <f t="shared" si="45"/>
        <v>-</v>
      </c>
      <c r="S486" s="549"/>
      <c r="T486" s="543" t="e">
        <f t="shared" si="46"/>
        <v>#VALUE!</v>
      </c>
      <c r="U486" s="548" t="e">
        <f t="shared" si="44"/>
        <v>#VALUE!</v>
      </c>
      <c r="V486" s="548" t="e">
        <f t="shared" si="47"/>
        <v>#VALUE!</v>
      </c>
      <c r="W486" s="544"/>
      <c r="X486" s="556"/>
    </row>
    <row r="487" spans="1:24">
      <c r="A487" s="552">
        <v>485</v>
      </c>
      <c r="B487" s="560"/>
      <c r="C487" s="554"/>
      <c r="D487" s="544" t="s">
        <v>799</v>
      </c>
      <c r="E487" s="555"/>
      <c r="F487" s="545">
        <f>E487-(E487*Z13)</f>
        <v>0</v>
      </c>
      <c r="G487" s="546"/>
      <c r="H487" s="547">
        <f>IF(D487="Rəsmi gəlir",AA3,IF(D487="Qeyri rəsmi gəlir",AB3))</f>
        <v>7.0000000000000007E-2</v>
      </c>
      <c r="I487" s="547">
        <f>IF(D487="Rəsmi gəlir",AA4,IF(D487="Qeyri rəsmi gəlir",AB4))</f>
        <v>0.12</v>
      </c>
      <c r="J487" s="547">
        <f>IF(D487="Rəsmi gəlir",AA5,IF(D487="Qeyri rəsmi gəlir",AB5))</f>
        <v>0.16</v>
      </c>
      <c r="K487" s="547">
        <f>IF(D487="Rəsmi gəlir",AA6,IF(D487="Qeyri rəsmi gəlir",AB6))</f>
        <v>0.2</v>
      </c>
      <c r="L487" s="547">
        <f>IF(D487="Rəsmi gəlir",AA7,IF(D487="Qeyri rəsmi gəlir",AB7))</f>
        <v>0.23</v>
      </c>
      <c r="M487" s="547">
        <f>IF(D487="Rəsmi gəlir",AA8,IF(D487="Qeyri rəsmi gəlir",AB8))</f>
        <v>0.25600000000000001</v>
      </c>
      <c r="N487" s="547">
        <f>IF(D487="Rəsmi gəlir",AA9,IF(D487="Qeyri rəsmi gəlir",AB9))</f>
        <v>0.28550000000000003</v>
      </c>
      <c r="O487" s="547">
        <f>IF(D487="Rəsmi gəlir",AA10,IF(D487="Qeyri rəsmi gəlir",AB10))</f>
        <v>0</v>
      </c>
      <c r="P487" s="547" t="b">
        <f t="shared" si="42"/>
        <v>0</v>
      </c>
      <c r="Q487" s="548">
        <f t="shared" si="43"/>
        <v>0</v>
      </c>
      <c r="R487" s="543" t="str">
        <f t="shared" si="45"/>
        <v>-</v>
      </c>
      <c r="S487" s="549"/>
      <c r="T487" s="543" t="e">
        <f t="shared" si="46"/>
        <v>#VALUE!</v>
      </c>
      <c r="U487" s="548" t="e">
        <f t="shared" si="44"/>
        <v>#VALUE!</v>
      </c>
      <c r="V487" s="548" t="e">
        <f t="shared" si="47"/>
        <v>#VALUE!</v>
      </c>
      <c r="W487" s="544"/>
      <c r="X487" s="556"/>
    </row>
    <row r="488" spans="1:24">
      <c r="A488" s="552">
        <v>486</v>
      </c>
      <c r="B488" s="560"/>
      <c r="C488" s="554"/>
      <c r="D488" s="544" t="s">
        <v>799</v>
      </c>
      <c r="E488" s="555"/>
      <c r="F488" s="545">
        <f>E488-(E488*Z13)</f>
        <v>0</v>
      </c>
      <c r="G488" s="546"/>
      <c r="H488" s="547">
        <f>IF(D488="Rəsmi gəlir",AA3,IF(D488="Qeyri rəsmi gəlir",AB3))</f>
        <v>7.0000000000000007E-2</v>
      </c>
      <c r="I488" s="547">
        <f>IF(D488="Rəsmi gəlir",AA4,IF(D488="Qeyri rəsmi gəlir",AB4))</f>
        <v>0.12</v>
      </c>
      <c r="J488" s="547">
        <f>IF(D488="Rəsmi gəlir",AA5,IF(D488="Qeyri rəsmi gəlir",AB5))</f>
        <v>0.16</v>
      </c>
      <c r="K488" s="547">
        <f>IF(D488="Rəsmi gəlir",AA6,IF(D488="Qeyri rəsmi gəlir",AB6))</f>
        <v>0.2</v>
      </c>
      <c r="L488" s="547">
        <f>IF(D488="Rəsmi gəlir",AA7,IF(D488="Qeyri rəsmi gəlir",AB7))</f>
        <v>0.23</v>
      </c>
      <c r="M488" s="547">
        <f>IF(D488="Rəsmi gəlir",AA8,IF(D488="Qeyri rəsmi gəlir",AB8))</f>
        <v>0.25600000000000001</v>
      </c>
      <c r="N488" s="547">
        <f>IF(D488="Rəsmi gəlir",AA9,IF(D488="Qeyri rəsmi gəlir",AB9))</f>
        <v>0.28550000000000003</v>
      </c>
      <c r="O488" s="547">
        <f>IF(D488="Rəsmi gəlir",AA10,IF(D488="Qeyri rəsmi gəlir",AB10))</f>
        <v>0</v>
      </c>
      <c r="P488" s="547" t="b">
        <f t="shared" si="42"/>
        <v>0</v>
      </c>
      <c r="Q488" s="548">
        <f t="shared" si="43"/>
        <v>0</v>
      </c>
      <c r="R488" s="543" t="str">
        <f t="shared" si="45"/>
        <v>-</v>
      </c>
      <c r="S488" s="549"/>
      <c r="T488" s="543" t="e">
        <f t="shared" si="46"/>
        <v>#VALUE!</v>
      </c>
      <c r="U488" s="548" t="e">
        <f t="shared" si="44"/>
        <v>#VALUE!</v>
      </c>
      <c r="V488" s="548" t="e">
        <f t="shared" si="47"/>
        <v>#VALUE!</v>
      </c>
      <c r="W488" s="544"/>
      <c r="X488" s="556"/>
    </row>
    <row r="489" spans="1:24">
      <c r="A489" s="552">
        <v>487</v>
      </c>
      <c r="B489" s="560"/>
      <c r="C489" s="554"/>
      <c r="D489" s="544" t="s">
        <v>799</v>
      </c>
      <c r="E489" s="555"/>
      <c r="F489" s="545">
        <f>E489-(E489*Z13)</f>
        <v>0</v>
      </c>
      <c r="G489" s="546"/>
      <c r="H489" s="547">
        <f>IF(D489="Rəsmi gəlir",AA3,IF(D489="Qeyri rəsmi gəlir",AB3))</f>
        <v>7.0000000000000007E-2</v>
      </c>
      <c r="I489" s="547">
        <f>IF(D489="Rəsmi gəlir",AA4,IF(D489="Qeyri rəsmi gəlir",AB4))</f>
        <v>0.12</v>
      </c>
      <c r="J489" s="547">
        <f>IF(D489="Rəsmi gəlir",AA5,IF(D489="Qeyri rəsmi gəlir",AB5))</f>
        <v>0.16</v>
      </c>
      <c r="K489" s="547">
        <f>IF(D489="Rəsmi gəlir",AA6,IF(D489="Qeyri rəsmi gəlir",AB6))</f>
        <v>0.2</v>
      </c>
      <c r="L489" s="547">
        <f>IF(D489="Rəsmi gəlir",AA7,IF(D489="Qeyri rəsmi gəlir",AB7))</f>
        <v>0.23</v>
      </c>
      <c r="M489" s="547">
        <f>IF(D489="Rəsmi gəlir",AA8,IF(D489="Qeyri rəsmi gəlir",AB8))</f>
        <v>0.25600000000000001</v>
      </c>
      <c r="N489" s="547">
        <f>IF(D489="Rəsmi gəlir",AA9,IF(D489="Qeyri rəsmi gəlir",AB9))</f>
        <v>0.28550000000000003</v>
      </c>
      <c r="O489" s="547">
        <f>IF(D489="Rəsmi gəlir",AA10,IF(D489="Qeyri rəsmi gəlir",AB10))</f>
        <v>0</v>
      </c>
      <c r="P489" s="547" t="b">
        <f t="shared" si="42"/>
        <v>0</v>
      </c>
      <c r="Q489" s="548">
        <f t="shared" si="43"/>
        <v>0</v>
      </c>
      <c r="R489" s="543" t="str">
        <f t="shared" si="45"/>
        <v>-</v>
      </c>
      <c r="S489" s="549"/>
      <c r="T489" s="543" t="e">
        <f t="shared" si="46"/>
        <v>#VALUE!</v>
      </c>
      <c r="U489" s="548" t="e">
        <f t="shared" si="44"/>
        <v>#VALUE!</v>
      </c>
      <c r="V489" s="548" t="e">
        <f t="shared" si="47"/>
        <v>#VALUE!</v>
      </c>
      <c r="W489" s="544"/>
      <c r="X489" s="556"/>
    </row>
    <row r="490" spans="1:24">
      <c r="A490" s="552">
        <v>488</v>
      </c>
      <c r="B490" s="560"/>
      <c r="C490" s="554"/>
      <c r="D490" s="544" t="s">
        <v>799</v>
      </c>
      <c r="E490" s="555"/>
      <c r="F490" s="545">
        <f>E490-(E490*Z13)</f>
        <v>0</v>
      </c>
      <c r="G490" s="546"/>
      <c r="H490" s="547">
        <f>IF(D490="Rəsmi gəlir",AA3,IF(D490="Qeyri rəsmi gəlir",AB3))</f>
        <v>7.0000000000000007E-2</v>
      </c>
      <c r="I490" s="547">
        <f>IF(D490="Rəsmi gəlir",AA4,IF(D490="Qeyri rəsmi gəlir",AB4))</f>
        <v>0.12</v>
      </c>
      <c r="J490" s="547">
        <f>IF(D490="Rəsmi gəlir",AA5,IF(D490="Qeyri rəsmi gəlir",AB5))</f>
        <v>0.16</v>
      </c>
      <c r="K490" s="547">
        <f>IF(D490="Rəsmi gəlir",AA6,IF(D490="Qeyri rəsmi gəlir",AB6))</f>
        <v>0.2</v>
      </c>
      <c r="L490" s="547">
        <f>IF(D490="Rəsmi gəlir",AA7,IF(D490="Qeyri rəsmi gəlir",AB7))</f>
        <v>0.23</v>
      </c>
      <c r="M490" s="547">
        <f>IF(D490="Rəsmi gəlir",AA8,IF(D490="Qeyri rəsmi gəlir",AB8))</f>
        <v>0.25600000000000001</v>
      </c>
      <c r="N490" s="547">
        <f>IF(D490="Rəsmi gəlir",AA9,IF(D490="Qeyri rəsmi gəlir",AB9))</f>
        <v>0.28550000000000003</v>
      </c>
      <c r="O490" s="547">
        <f>IF(D490="Rəsmi gəlir",AA10,IF(D490="Qeyri rəsmi gəlir",AB10))</f>
        <v>0</v>
      </c>
      <c r="P490" s="547" t="b">
        <f t="shared" si="42"/>
        <v>0</v>
      </c>
      <c r="Q490" s="548">
        <f t="shared" si="43"/>
        <v>0</v>
      </c>
      <c r="R490" s="543" t="str">
        <f t="shared" si="45"/>
        <v>-</v>
      </c>
      <c r="S490" s="549"/>
      <c r="T490" s="543" t="e">
        <f t="shared" si="46"/>
        <v>#VALUE!</v>
      </c>
      <c r="U490" s="548" t="e">
        <f t="shared" si="44"/>
        <v>#VALUE!</v>
      </c>
      <c r="V490" s="548" t="e">
        <f t="shared" si="47"/>
        <v>#VALUE!</v>
      </c>
      <c r="W490" s="544"/>
      <c r="X490" s="556"/>
    </row>
    <row r="491" spans="1:24">
      <c r="A491" s="552">
        <v>489</v>
      </c>
      <c r="B491" s="560"/>
      <c r="C491" s="554"/>
      <c r="D491" s="544" t="s">
        <v>799</v>
      </c>
      <c r="E491" s="555"/>
      <c r="F491" s="545">
        <f>E491-(E491*Z13)</f>
        <v>0</v>
      </c>
      <c r="G491" s="546"/>
      <c r="H491" s="547">
        <f>IF(D491="Rəsmi gəlir",AA3,IF(D491="Qeyri rəsmi gəlir",AB3))</f>
        <v>7.0000000000000007E-2</v>
      </c>
      <c r="I491" s="547">
        <f>IF(D491="Rəsmi gəlir",AA4,IF(D491="Qeyri rəsmi gəlir",AB4))</f>
        <v>0.12</v>
      </c>
      <c r="J491" s="547">
        <f>IF(D491="Rəsmi gəlir",AA5,IF(D491="Qeyri rəsmi gəlir",AB5))</f>
        <v>0.16</v>
      </c>
      <c r="K491" s="547">
        <f>IF(D491="Rəsmi gəlir",AA6,IF(D491="Qeyri rəsmi gəlir",AB6))</f>
        <v>0.2</v>
      </c>
      <c r="L491" s="547">
        <f>IF(D491="Rəsmi gəlir",AA7,IF(D491="Qeyri rəsmi gəlir",AB7))</f>
        <v>0.23</v>
      </c>
      <c r="M491" s="547">
        <f>IF(D491="Rəsmi gəlir",AA8,IF(D491="Qeyri rəsmi gəlir",AB8))</f>
        <v>0.25600000000000001</v>
      </c>
      <c r="N491" s="547">
        <f>IF(D491="Rəsmi gəlir",AA9,IF(D491="Qeyri rəsmi gəlir",AB9))</f>
        <v>0.28550000000000003</v>
      </c>
      <c r="O491" s="547">
        <f>IF(D491="Rəsmi gəlir",AA10,IF(D491="Qeyri rəsmi gəlir",AB10))</f>
        <v>0</v>
      </c>
      <c r="P491" s="547" t="b">
        <f t="shared" si="42"/>
        <v>0</v>
      </c>
      <c r="Q491" s="548">
        <f t="shared" si="43"/>
        <v>0</v>
      </c>
      <c r="R491" s="543" t="str">
        <f t="shared" si="45"/>
        <v>-</v>
      </c>
      <c r="S491" s="549"/>
      <c r="T491" s="543" t="e">
        <f t="shared" si="46"/>
        <v>#VALUE!</v>
      </c>
      <c r="U491" s="548" t="e">
        <f t="shared" si="44"/>
        <v>#VALUE!</v>
      </c>
      <c r="V491" s="548" t="e">
        <f t="shared" si="47"/>
        <v>#VALUE!</v>
      </c>
      <c r="W491" s="544"/>
      <c r="X491" s="556"/>
    </row>
    <row r="492" spans="1:24">
      <c r="A492" s="552">
        <v>490</v>
      </c>
      <c r="B492" s="560"/>
      <c r="C492" s="554"/>
      <c r="D492" s="544" t="s">
        <v>799</v>
      </c>
      <c r="E492" s="555"/>
      <c r="F492" s="545">
        <f>E492-(E492*Z13)</f>
        <v>0</v>
      </c>
      <c r="G492" s="546"/>
      <c r="H492" s="547">
        <f>IF(D492="Rəsmi gəlir",AA3,IF(D492="Qeyri rəsmi gəlir",AB3))</f>
        <v>7.0000000000000007E-2</v>
      </c>
      <c r="I492" s="547">
        <f>IF(D492="Rəsmi gəlir",AA4,IF(D492="Qeyri rəsmi gəlir",AB4))</f>
        <v>0.12</v>
      </c>
      <c r="J492" s="547">
        <f>IF(D492="Rəsmi gəlir",AA5,IF(D492="Qeyri rəsmi gəlir",AB5))</f>
        <v>0.16</v>
      </c>
      <c r="K492" s="547">
        <f>IF(D492="Rəsmi gəlir",AA6,IF(D492="Qeyri rəsmi gəlir",AB6))</f>
        <v>0.2</v>
      </c>
      <c r="L492" s="547">
        <f>IF(D492="Rəsmi gəlir",AA7,IF(D492="Qeyri rəsmi gəlir",AB7))</f>
        <v>0.23</v>
      </c>
      <c r="M492" s="547">
        <f>IF(D492="Rəsmi gəlir",AA8,IF(D492="Qeyri rəsmi gəlir",AB8))</f>
        <v>0.25600000000000001</v>
      </c>
      <c r="N492" s="547">
        <f>IF(D492="Rəsmi gəlir",AA9,IF(D492="Qeyri rəsmi gəlir",AB9))</f>
        <v>0.28550000000000003</v>
      </c>
      <c r="O492" s="547">
        <f>IF(D492="Rəsmi gəlir",AA10,IF(D492="Qeyri rəsmi gəlir",AB10))</f>
        <v>0</v>
      </c>
      <c r="P492" s="547" t="b">
        <f t="shared" si="42"/>
        <v>0</v>
      </c>
      <c r="Q492" s="548">
        <f t="shared" si="43"/>
        <v>0</v>
      </c>
      <c r="R492" s="543" t="str">
        <f t="shared" si="45"/>
        <v>-</v>
      </c>
      <c r="S492" s="549"/>
      <c r="T492" s="543" t="e">
        <f t="shared" si="46"/>
        <v>#VALUE!</v>
      </c>
      <c r="U492" s="548" t="e">
        <f t="shared" si="44"/>
        <v>#VALUE!</v>
      </c>
      <c r="V492" s="548" t="e">
        <f t="shared" si="47"/>
        <v>#VALUE!</v>
      </c>
      <c r="W492" s="544"/>
      <c r="X492" s="556"/>
    </row>
    <row r="493" spans="1:24">
      <c r="A493" s="552">
        <v>491</v>
      </c>
      <c r="B493" s="560"/>
      <c r="C493" s="554"/>
      <c r="D493" s="544" t="s">
        <v>799</v>
      </c>
      <c r="E493" s="555"/>
      <c r="F493" s="545">
        <f>E493-(E493*Z13)</f>
        <v>0</v>
      </c>
      <c r="G493" s="546"/>
      <c r="H493" s="547">
        <f>IF(D493="Rəsmi gəlir",AA3,IF(D493="Qeyri rəsmi gəlir",AB3))</f>
        <v>7.0000000000000007E-2</v>
      </c>
      <c r="I493" s="547">
        <f>IF(D493="Rəsmi gəlir",AA4,IF(D493="Qeyri rəsmi gəlir",AB4))</f>
        <v>0.12</v>
      </c>
      <c r="J493" s="547">
        <f>IF(D493="Rəsmi gəlir",AA5,IF(D493="Qeyri rəsmi gəlir",AB5))</f>
        <v>0.16</v>
      </c>
      <c r="K493" s="547">
        <f>IF(D493="Rəsmi gəlir",AA6,IF(D493="Qeyri rəsmi gəlir",AB6))</f>
        <v>0.2</v>
      </c>
      <c r="L493" s="547">
        <f>IF(D493="Rəsmi gəlir",AA7,IF(D493="Qeyri rəsmi gəlir",AB7))</f>
        <v>0.23</v>
      </c>
      <c r="M493" s="547">
        <f>IF(D493="Rəsmi gəlir",AA8,IF(D493="Qeyri rəsmi gəlir",AB8))</f>
        <v>0.25600000000000001</v>
      </c>
      <c r="N493" s="547">
        <f>IF(D493="Rəsmi gəlir",AA9,IF(D493="Qeyri rəsmi gəlir",AB9))</f>
        <v>0.28550000000000003</v>
      </c>
      <c r="O493" s="547">
        <f>IF(D493="Rəsmi gəlir",AA10,IF(D493="Qeyri rəsmi gəlir",AB10))</f>
        <v>0</v>
      </c>
      <c r="P493" s="547" t="b">
        <f t="shared" si="42"/>
        <v>0</v>
      </c>
      <c r="Q493" s="548">
        <f t="shared" si="43"/>
        <v>0</v>
      </c>
      <c r="R493" s="543" t="str">
        <f t="shared" si="45"/>
        <v>-</v>
      </c>
      <c r="S493" s="549"/>
      <c r="T493" s="543" t="e">
        <f t="shared" si="46"/>
        <v>#VALUE!</v>
      </c>
      <c r="U493" s="548" t="e">
        <f t="shared" si="44"/>
        <v>#VALUE!</v>
      </c>
      <c r="V493" s="548" t="e">
        <f t="shared" si="47"/>
        <v>#VALUE!</v>
      </c>
      <c r="W493" s="544"/>
      <c r="X493" s="556"/>
    </row>
    <row r="494" spans="1:24">
      <c r="A494" s="552">
        <v>492</v>
      </c>
      <c r="B494" s="560"/>
      <c r="C494" s="554"/>
      <c r="D494" s="544" t="s">
        <v>799</v>
      </c>
      <c r="E494" s="555"/>
      <c r="F494" s="545">
        <f>E494-(E494*Z13)</f>
        <v>0</v>
      </c>
      <c r="G494" s="546"/>
      <c r="H494" s="547">
        <f>IF(D494="Rəsmi gəlir",AA3,IF(D494="Qeyri rəsmi gəlir",AB3))</f>
        <v>7.0000000000000007E-2</v>
      </c>
      <c r="I494" s="547">
        <f>IF(D494="Rəsmi gəlir",AA4,IF(D494="Qeyri rəsmi gəlir",AB4))</f>
        <v>0.12</v>
      </c>
      <c r="J494" s="547">
        <f>IF(D494="Rəsmi gəlir",AA5,IF(D494="Qeyri rəsmi gəlir",AB5))</f>
        <v>0.16</v>
      </c>
      <c r="K494" s="547">
        <f>IF(D494="Rəsmi gəlir",AA6,IF(D494="Qeyri rəsmi gəlir",AB6))</f>
        <v>0.2</v>
      </c>
      <c r="L494" s="547">
        <f>IF(D494="Rəsmi gəlir",AA7,IF(D494="Qeyri rəsmi gəlir",AB7))</f>
        <v>0.23</v>
      </c>
      <c r="M494" s="547">
        <f>IF(D494="Rəsmi gəlir",AA8,IF(D494="Qeyri rəsmi gəlir",AB8))</f>
        <v>0.25600000000000001</v>
      </c>
      <c r="N494" s="547">
        <f>IF(D494="Rəsmi gəlir",AA9,IF(D494="Qeyri rəsmi gəlir",AB9))</f>
        <v>0.28550000000000003</v>
      </c>
      <c r="O494" s="547">
        <f>IF(D494="Rəsmi gəlir",AA10,IF(D494="Qeyri rəsmi gəlir",AB10))</f>
        <v>0</v>
      </c>
      <c r="P494" s="547" t="b">
        <f t="shared" si="42"/>
        <v>0</v>
      </c>
      <c r="Q494" s="548">
        <f t="shared" si="43"/>
        <v>0</v>
      </c>
      <c r="R494" s="543" t="str">
        <f t="shared" si="45"/>
        <v>-</v>
      </c>
      <c r="S494" s="549"/>
      <c r="T494" s="543" t="e">
        <f t="shared" si="46"/>
        <v>#VALUE!</v>
      </c>
      <c r="U494" s="548" t="e">
        <f t="shared" si="44"/>
        <v>#VALUE!</v>
      </c>
      <c r="V494" s="548" t="e">
        <f t="shared" si="47"/>
        <v>#VALUE!</v>
      </c>
      <c r="W494" s="544"/>
      <c r="X494" s="556"/>
    </row>
    <row r="495" spans="1:24">
      <c r="A495" s="552">
        <v>493</v>
      </c>
      <c r="B495" s="560"/>
      <c r="C495" s="554"/>
      <c r="D495" s="544" t="s">
        <v>799</v>
      </c>
      <c r="E495" s="555"/>
      <c r="F495" s="545">
        <f>E495-(E495*Z13)</f>
        <v>0</v>
      </c>
      <c r="G495" s="546"/>
      <c r="H495" s="547">
        <f>IF(D495="Rəsmi gəlir",AA3,IF(D495="Qeyri rəsmi gəlir",AB3))</f>
        <v>7.0000000000000007E-2</v>
      </c>
      <c r="I495" s="547">
        <f>IF(D495="Rəsmi gəlir",AA4,IF(D495="Qeyri rəsmi gəlir",AB4))</f>
        <v>0.12</v>
      </c>
      <c r="J495" s="547">
        <f>IF(D495="Rəsmi gəlir",AA5,IF(D495="Qeyri rəsmi gəlir",AB5))</f>
        <v>0.16</v>
      </c>
      <c r="K495" s="547">
        <f>IF(D495="Rəsmi gəlir",AA6,IF(D495="Qeyri rəsmi gəlir",AB6))</f>
        <v>0.2</v>
      </c>
      <c r="L495" s="547">
        <f>IF(D495="Rəsmi gəlir",AA7,IF(D495="Qeyri rəsmi gəlir",AB7))</f>
        <v>0.23</v>
      </c>
      <c r="M495" s="547">
        <f>IF(D495="Rəsmi gəlir",AA8,IF(D495="Qeyri rəsmi gəlir",AB8))</f>
        <v>0.25600000000000001</v>
      </c>
      <c r="N495" s="547">
        <f>IF(D495="Rəsmi gəlir",AA9,IF(D495="Qeyri rəsmi gəlir",AB9))</f>
        <v>0.28550000000000003</v>
      </c>
      <c r="O495" s="547">
        <f>IF(D495="Rəsmi gəlir",AA10,IF(D495="Qeyri rəsmi gəlir",AB10))</f>
        <v>0</v>
      </c>
      <c r="P495" s="547" t="b">
        <f t="shared" si="42"/>
        <v>0</v>
      </c>
      <c r="Q495" s="548">
        <f t="shared" si="43"/>
        <v>0</v>
      </c>
      <c r="R495" s="543" t="str">
        <f t="shared" si="45"/>
        <v>-</v>
      </c>
      <c r="S495" s="549"/>
      <c r="T495" s="543" t="e">
        <f t="shared" si="46"/>
        <v>#VALUE!</v>
      </c>
      <c r="U495" s="548" t="e">
        <f t="shared" si="44"/>
        <v>#VALUE!</v>
      </c>
      <c r="V495" s="548" t="e">
        <f t="shared" si="47"/>
        <v>#VALUE!</v>
      </c>
      <c r="W495" s="544"/>
      <c r="X495" s="556"/>
    </row>
    <row r="496" spans="1:24">
      <c r="A496" s="552">
        <v>494</v>
      </c>
      <c r="B496" s="560"/>
      <c r="C496" s="554"/>
      <c r="D496" s="544" t="s">
        <v>799</v>
      </c>
      <c r="E496" s="555"/>
      <c r="F496" s="545">
        <f>E496-(E496*Z13)</f>
        <v>0</v>
      </c>
      <c r="G496" s="546"/>
      <c r="H496" s="547">
        <f>IF(D496="Rəsmi gəlir",AA3,IF(D496="Qeyri rəsmi gəlir",AB3))</f>
        <v>7.0000000000000007E-2</v>
      </c>
      <c r="I496" s="547">
        <f>IF(D496="Rəsmi gəlir",AA4,IF(D496="Qeyri rəsmi gəlir",AB4))</f>
        <v>0.12</v>
      </c>
      <c r="J496" s="547">
        <f>IF(D496="Rəsmi gəlir",AA5,IF(D496="Qeyri rəsmi gəlir",AB5))</f>
        <v>0.16</v>
      </c>
      <c r="K496" s="547">
        <f>IF(D496="Rəsmi gəlir",AA6,IF(D496="Qeyri rəsmi gəlir",AB6))</f>
        <v>0.2</v>
      </c>
      <c r="L496" s="547">
        <f>IF(D496="Rəsmi gəlir",AA7,IF(D496="Qeyri rəsmi gəlir",AB7))</f>
        <v>0.23</v>
      </c>
      <c r="M496" s="547">
        <f>IF(D496="Rəsmi gəlir",AA8,IF(D496="Qeyri rəsmi gəlir",AB8))</f>
        <v>0.25600000000000001</v>
      </c>
      <c r="N496" s="547">
        <f>IF(D496="Rəsmi gəlir",AA9,IF(D496="Qeyri rəsmi gəlir",AB9))</f>
        <v>0.28550000000000003</v>
      </c>
      <c r="O496" s="547">
        <f>IF(D496="Rəsmi gəlir",AA10,IF(D496="Qeyri rəsmi gəlir",AB10))</f>
        <v>0</v>
      </c>
      <c r="P496" s="547" t="b">
        <f t="shared" si="42"/>
        <v>0</v>
      </c>
      <c r="Q496" s="548">
        <f t="shared" si="43"/>
        <v>0</v>
      </c>
      <c r="R496" s="543" t="str">
        <f t="shared" si="45"/>
        <v>-</v>
      </c>
      <c r="S496" s="549"/>
      <c r="T496" s="543" t="e">
        <f t="shared" si="46"/>
        <v>#VALUE!</v>
      </c>
      <c r="U496" s="548" t="e">
        <f t="shared" si="44"/>
        <v>#VALUE!</v>
      </c>
      <c r="V496" s="548" t="e">
        <f t="shared" si="47"/>
        <v>#VALUE!</v>
      </c>
      <c r="W496" s="544"/>
      <c r="X496" s="556"/>
    </row>
    <row r="497" spans="1:24">
      <c r="A497" s="552">
        <v>495</v>
      </c>
      <c r="B497" s="560"/>
      <c r="C497" s="554"/>
      <c r="D497" s="544" t="s">
        <v>799</v>
      </c>
      <c r="E497" s="555"/>
      <c r="F497" s="545">
        <f>E497-(E497*Z13)</f>
        <v>0</v>
      </c>
      <c r="G497" s="546"/>
      <c r="H497" s="547">
        <f>IF(D497="Rəsmi gəlir",AA3,IF(D497="Qeyri rəsmi gəlir",AB3))</f>
        <v>7.0000000000000007E-2</v>
      </c>
      <c r="I497" s="547">
        <f>IF(D497="Rəsmi gəlir",AA4,IF(D497="Qeyri rəsmi gəlir",AB4))</f>
        <v>0.12</v>
      </c>
      <c r="J497" s="547">
        <f>IF(D497="Rəsmi gəlir",AA5,IF(D497="Qeyri rəsmi gəlir",AB5))</f>
        <v>0.16</v>
      </c>
      <c r="K497" s="547">
        <f>IF(D497="Rəsmi gəlir",AA6,IF(D497="Qeyri rəsmi gəlir",AB6))</f>
        <v>0.2</v>
      </c>
      <c r="L497" s="547">
        <f>IF(D497="Rəsmi gəlir",AA7,IF(D497="Qeyri rəsmi gəlir",AB7))</f>
        <v>0.23</v>
      </c>
      <c r="M497" s="547">
        <f>IF(D497="Rəsmi gəlir",AA8,IF(D497="Qeyri rəsmi gəlir",AB8))</f>
        <v>0.25600000000000001</v>
      </c>
      <c r="N497" s="547">
        <f>IF(D497="Rəsmi gəlir",AA9,IF(D497="Qeyri rəsmi gəlir",AB9))</f>
        <v>0.28550000000000003</v>
      </c>
      <c r="O497" s="547">
        <f>IF(D497="Rəsmi gəlir",AA10,IF(D497="Qeyri rəsmi gəlir",AB10))</f>
        <v>0</v>
      </c>
      <c r="P497" s="547" t="b">
        <f t="shared" si="42"/>
        <v>0</v>
      </c>
      <c r="Q497" s="548">
        <f t="shared" si="43"/>
        <v>0</v>
      </c>
      <c r="R497" s="543" t="str">
        <f t="shared" si="45"/>
        <v>-</v>
      </c>
      <c r="S497" s="549"/>
      <c r="T497" s="543" t="e">
        <f t="shared" si="46"/>
        <v>#VALUE!</v>
      </c>
      <c r="U497" s="548" t="e">
        <f t="shared" si="44"/>
        <v>#VALUE!</v>
      </c>
      <c r="V497" s="548" t="e">
        <f t="shared" si="47"/>
        <v>#VALUE!</v>
      </c>
      <c r="W497" s="544"/>
      <c r="X497" s="556"/>
    </row>
    <row r="498" spans="1:24">
      <c r="A498" s="552">
        <v>496</v>
      </c>
      <c r="B498" s="560"/>
      <c r="C498" s="554"/>
      <c r="D498" s="544" t="s">
        <v>799</v>
      </c>
      <c r="E498" s="555"/>
      <c r="F498" s="545">
        <f>E498-(E498*Z13)</f>
        <v>0</v>
      </c>
      <c r="G498" s="546"/>
      <c r="H498" s="547">
        <f>IF(D498="Rəsmi gəlir",AA3,IF(D498="Qeyri rəsmi gəlir",AB3))</f>
        <v>7.0000000000000007E-2</v>
      </c>
      <c r="I498" s="547">
        <f>IF(D498="Rəsmi gəlir",AA4,IF(D498="Qeyri rəsmi gəlir",AB4))</f>
        <v>0.12</v>
      </c>
      <c r="J498" s="547">
        <f>IF(D498="Rəsmi gəlir",AA5,IF(D498="Qeyri rəsmi gəlir",AB5))</f>
        <v>0.16</v>
      </c>
      <c r="K498" s="547">
        <f>IF(D498="Rəsmi gəlir",AA6,IF(D498="Qeyri rəsmi gəlir",AB6))</f>
        <v>0.2</v>
      </c>
      <c r="L498" s="547">
        <f>IF(D498="Rəsmi gəlir",AA7,IF(D498="Qeyri rəsmi gəlir",AB7))</f>
        <v>0.23</v>
      </c>
      <c r="M498" s="547">
        <f>IF(D498="Rəsmi gəlir",AA8,IF(D498="Qeyri rəsmi gəlir",AB8))</f>
        <v>0.25600000000000001</v>
      </c>
      <c r="N498" s="547">
        <f>IF(D498="Rəsmi gəlir",AA9,IF(D498="Qeyri rəsmi gəlir",AB9))</f>
        <v>0.28550000000000003</v>
      </c>
      <c r="O498" s="547">
        <f>IF(D498="Rəsmi gəlir",AA10,IF(D498="Qeyri rəsmi gəlir",AB10))</f>
        <v>0</v>
      </c>
      <c r="P498" s="547" t="b">
        <f t="shared" si="42"/>
        <v>0</v>
      </c>
      <c r="Q498" s="548">
        <f t="shared" si="43"/>
        <v>0</v>
      </c>
      <c r="R498" s="543" t="str">
        <f t="shared" si="45"/>
        <v>-</v>
      </c>
      <c r="S498" s="549"/>
      <c r="T498" s="543" t="e">
        <f t="shared" si="46"/>
        <v>#VALUE!</v>
      </c>
      <c r="U498" s="548" t="e">
        <f t="shared" si="44"/>
        <v>#VALUE!</v>
      </c>
      <c r="V498" s="548" t="e">
        <f t="shared" si="47"/>
        <v>#VALUE!</v>
      </c>
      <c r="W498" s="544"/>
      <c r="X498" s="556"/>
    </row>
    <row r="499" spans="1:24">
      <c r="A499" s="552">
        <v>497</v>
      </c>
      <c r="B499" s="560"/>
      <c r="C499" s="554"/>
      <c r="D499" s="544" t="s">
        <v>799</v>
      </c>
      <c r="E499" s="555"/>
      <c r="F499" s="545">
        <f>E499-(E499*Z13)</f>
        <v>0</v>
      </c>
      <c r="G499" s="546"/>
      <c r="H499" s="547">
        <f>IF(D499="Rəsmi gəlir",AA3,IF(D499="Qeyri rəsmi gəlir",AB3))</f>
        <v>7.0000000000000007E-2</v>
      </c>
      <c r="I499" s="547">
        <f>IF(D499="Rəsmi gəlir",AA4,IF(D499="Qeyri rəsmi gəlir",AB4))</f>
        <v>0.12</v>
      </c>
      <c r="J499" s="547">
        <f>IF(D499="Rəsmi gəlir",AA5,IF(D499="Qeyri rəsmi gəlir",AB5))</f>
        <v>0.16</v>
      </c>
      <c r="K499" s="547">
        <f>IF(D499="Rəsmi gəlir",AA6,IF(D499="Qeyri rəsmi gəlir",AB6))</f>
        <v>0.2</v>
      </c>
      <c r="L499" s="547">
        <f>IF(D499="Rəsmi gəlir",AA7,IF(D499="Qeyri rəsmi gəlir",AB7))</f>
        <v>0.23</v>
      </c>
      <c r="M499" s="547">
        <f>IF(D499="Rəsmi gəlir",AA8,IF(D499="Qeyri rəsmi gəlir",AB8))</f>
        <v>0.25600000000000001</v>
      </c>
      <c r="N499" s="547">
        <f>IF(D499="Rəsmi gəlir",AA9,IF(D499="Qeyri rəsmi gəlir",AB9))</f>
        <v>0.28550000000000003</v>
      </c>
      <c r="O499" s="547">
        <f>IF(D499="Rəsmi gəlir",AA10,IF(D499="Qeyri rəsmi gəlir",AB10))</f>
        <v>0</v>
      </c>
      <c r="P499" s="547" t="b">
        <f t="shared" si="42"/>
        <v>0</v>
      </c>
      <c r="Q499" s="548">
        <f t="shared" si="43"/>
        <v>0</v>
      </c>
      <c r="R499" s="543" t="str">
        <f t="shared" si="45"/>
        <v>-</v>
      </c>
      <c r="S499" s="549"/>
      <c r="T499" s="543" t="e">
        <f t="shared" si="46"/>
        <v>#VALUE!</v>
      </c>
      <c r="U499" s="548" t="e">
        <f t="shared" si="44"/>
        <v>#VALUE!</v>
      </c>
      <c r="V499" s="548" t="e">
        <f t="shared" si="47"/>
        <v>#VALUE!</v>
      </c>
      <c r="W499" s="544"/>
      <c r="X499" s="556"/>
    </row>
    <row r="500" spans="1:24">
      <c r="A500" s="552">
        <v>498</v>
      </c>
      <c r="B500" s="560"/>
      <c r="C500" s="554"/>
      <c r="D500" s="544" t="s">
        <v>799</v>
      </c>
      <c r="E500" s="555"/>
      <c r="F500" s="545">
        <f>E500-(E500*Z13)</f>
        <v>0</v>
      </c>
      <c r="G500" s="546"/>
      <c r="H500" s="547">
        <f>IF(D500="Rəsmi gəlir",AA3,IF(D500="Qeyri rəsmi gəlir",AB3))</f>
        <v>7.0000000000000007E-2</v>
      </c>
      <c r="I500" s="547">
        <f>IF(D500="Rəsmi gəlir",AA4,IF(D500="Qeyri rəsmi gəlir",AB4))</f>
        <v>0.12</v>
      </c>
      <c r="J500" s="547">
        <f>IF(D500="Rəsmi gəlir",AA5,IF(D500="Qeyri rəsmi gəlir",AB5))</f>
        <v>0.16</v>
      </c>
      <c r="K500" s="547">
        <f>IF(D500="Rəsmi gəlir",AA6,IF(D500="Qeyri rəsmi gəlir",AB6))</f>
        <v>0.2</v>
      </c>
      <c r="L500" s="547">
        <f>IF(D500="Rəsmi gəlir",AA7,IF(D500="Qeyri rəsmi gəlir",AB7))</f>
        <v>0.23</v>
      </c>
      <c r="M500" s="547">
        <f>IF(D500="Rəsmi gəlir",AA8,IF(D500="Qeyri rəsmi gəlir",AB8))</f>
        <v>0.25600000000000001</v>
      </c>
      <c r="N500" s="547">
        <f>IF(D500="Rəsmi gəlir",AA9,IF(D500="Qeyri rəsmi gəlir",AB9))</f>
        <v>0.28550000000000003</v>
      </c>
      <c r="O500" s="547">
        <f>IF(D500="Rəsmi gəlir",AA10,IF(D500="Qeyri rəsmi gəlir",AB10))</f>
        <v>0</v>
      </c>
      <c r="P500" s="547" t="b">
        <f t="shared" si="42"/>
        <v>0</v>
      </c>
      <c r="Q500" s="548">
        <f t="shared" si="43"/>
        <v>0</v>
      </c>
      <c r="R500" s="543" t="str">
        <f t="shared" si="45"/>
        <v>-</v>
      </c>
      <c r="S500" s="549"/>
      <c r="T500" s="543" t="e">
        <f t="shared" si="46"/>
        <v>#VALUE!</v>
      </c>
      <c r="U500" s="548" t="e">
        <f t="shared" si="44"/>
        <v>#VALUE!</v>
      </c>
      <c r="V500" s="548" t="e">
        <f t="shared" si="47"/>
        <v>#VALUE!</v>
      </c>
      <c r="W500" s="544"/>
      <c r="X500" s="556"/>
    </row>
    <row r="501" spans="1:24">
      <c r="A501" s="552">
        <v>499</v>
      </c>
      <c r="B501" s="560"/>
      <c r="C501" s="554"/>
      <c r="D501" s="544" t="s">
        <v>799</v>
      </c>
      <c r="E501" s="555"/>
      <c r="F501" s="545">
        <f>E501-(E501*Z13)</f>
        <v>0</v>
      </c>
      <c r="G501" s="546"/>
      <c r="H501" s="547">
        <f>IF(D501="Rəsmi gəlir",AA3,IF(D501="Qeyri rəsmi gəlir",AB3))</f>
        <v>7.0000000000000007E-2</v>
      </c>
      <c r="I501" s="547">
        <f>IF(D501="Rəsmi gəlir",AA4,IF(D501="Qeyri rəsmi gəlir",AB4))</f>
        <v>0.12</v>
      </c>
      <c r="J501" s="547">
        <f>IF(D501="Rəsmi gəlir",AA5,IF(D501="Qeyri rəsmi gəlir",AB5))</f>
        <v>0.16</v>
      </c>
      <c r="K501" s="547">
        <f>IF(D501="Rəsmi gəlir",AA6,IF(D501="Qeyri rəsmi gəlir",AB6))</f>
        <v>0.2</v>
      </c>
      <c r="L501" s="547">
        <f>IF(D501="Rəsmi gəlir",AA7,IF(D501="Qeyri rəsmi gəlir",AB7))</f>
        <v>0.23</v>
      </c>
      <c r="M501" s="547">
        <f>IF(D501="Rəsmi gəlir",AA8,IF(D501="Qeyri rəsmi gəlir",AB8))</f>
        <v>0.25600000000000001</v>
      </c>
      <c r="N501" s="547">
        <f>IF(D501="Rəsmi gəlir",AA9,IF(D501="Qeyri rəsmi gəlir",AB9))</f>
        <v>0.28550000000000003</v>
      </c>
      <c r="O501" s="547">
        <f>IF(D501="Rəsmi gəlir",AA10,IF(D501="Qeyri rəsmi gəlir",AB10))</f>
        <v>0</v>
      </c>
      <c r="P501" s="547" t="b">
        <f t="shared" si="42"/>
        <v>0</v>
      </c>
      <c r="Q501" s="548">
        <f t="shared" si="43"/>
        <v>0</v>
      </c>
      <c r="R501" s="543" t="str">
        <f t="shared" si="45"/>
        <v>-</v>
      </c>
      <c r="S501" s="549"/>
      <c r="T501" s="543" t="e">
        <f t="shared" si="46"/>
        <v>#VALUE!</v>
      </c>
      <c r="U501" s="548" t="e">
        <f t="shared" si="44"/>
        <v>#VALUE!</v>
      </c>
      <c r="V501" s="548" t="e">
        <f t="shared" si="47"/>
        <v>#VALUE!</v>
      </c>
      <c r="W501" s="544"/>
      <c r="X501" s="556"/>
    </row>
    <row r="502" spans="1:24">
      <c r="A502" s="552">
        <v>500</v>
      </c>
      <c r="B502" s="560"/>
      <c r="C502" s="554"/>
      <c r="D502" s="544" t="s">
        <v>799</v>
      </c>
      <c r="E502" s="555"/>
      <c r="F502" s="545">
        <f>E502-(E502*Z13)</f>
        <v>0</v>
      </c>
      <c r="G502" s="546"/>
      <c r="H502" s="547">
        <f>IF(D502="Rəsmi gəlir",AA3,IF(D502="Qeyri rəsmi gəlir",AB3))</f>
        <v>7.0000000000000007E-2</v>
      </c>
      <c r="I502" s="547">
        <f>IF(D502="Rəsmi gəlir",AA4,IF(D502="Qeyri rəsmi gəlir",AB4))</f>
        <v>0.12</v>
      </c>
      <c r="J502" s="547">
        <f>IF(D502="Rəsmi gəlir",AA5,IF(D502="Qeyri rəsmi gəlir",AB5))</f>
        <v>0.16</v>
      </c>
      <c r="K502" s="547">
        <f>IF(D502="Rəsmi gəlir",AA6,IF(D502="Qeyri rəsmi gəlir",AB6))</f>
        <v>0.2</v>
      </c>
      <c r="L502" s="547">
        <f>IF(D502="Rəsmi gəlir",AA7,IF(D502="Qeyri rəsmi gəlir",AB7))</f>
        <v>0.23</v>
      </c>
      <c r="M502" s="547">
        <f>IF(D502="Rəsmi gəlir",AA8,IF(D502="Qeyri rəsmi gəlir",AB8))</f>
        <v>0.25600000000000001</v>
      </c>
      <c r="N502" s="547">
        <f>IF(D502="Rəsmi gəlir",AA9,IF(D502="Qeyri rəsmi gəlir",AB9))</f>
        <v>0.28550000000000003</v>
      </c>
      <c r="O502" s="547">
        <f>IF(D502="Rəsmi gəlir",AA10,IF(D502="Qeyri rəsmi gəlir",AB10))</f>
        <v>0</v>
      </c>
      <c r="P502" s="547" t="b">
        <f t="shared" si="42"/>
        <v>0</v>
      </c>
      <c r="Q502" s="548">
        <f t="shared" si="43"/>
        <v>0</v>
      </c>
      <c r="R502" s="543" t="str">
        <f t="shared" si="45"/>
        <v>-</v>
      </c>
      <c r="S502" s="549"/>
      <c r="T502" s="543" t="e">
        <f t="shared" si="46"/>
        <v>#VALUE!</v>
      </c>
      <c r="U502" s="548" t="e">
        <f t="shared" si="44"/>
        <v>#VALUE!</v>
      </c>
      <c r="V502" s="548" t="e">
        <f t="shared" si="47"/>
        <v>#VALUE!</v>
      </c>
      <c r="W502" s="544"/>
      <c r="X502" s="556"/>
    </row>
  </sheetData>
  <mergeCells count="4">
    <mergeCell ref="A1:X1"/>
    <mergeCell ref="Z1:AB1"/>
    <mergeCell ref="Z12:AA12"/>
    <mergeCell ref="Z13:AA13"/>
  </mergeCells>
  <dataValidations count="1">
    <dataValidation type="list" allowBlank="1" showInputMessage="1" showErrorMessage="1" sqref="D3:D502" xr:uid="{00000000-0002-0000-1800-000000000000}">
      <formula1>"Rəsmi gəlir, Qeyri rəsmi gəlir"</formula1>
    </dataValidation>
  </dataValidations>
  <pageMargins left="0.7" right="0.7" top="0.75" bottom="0.75" header="0.3" footer="0.3"/>
  <pageSetup paperSize="9" orientation="portrait" r:id="rId1"/>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Worksheet____6"/>
  <dimension ref="A1:S46"/>
  <sheetViews>
    <sheetView topLeftCell="A4" workbookViewId="0"/>
  </sheetViews>
  <sheetFormatPr defaultRowHeight="12.75"/>
  <cols>
    <col min="5" max="5" width="10.140625" bestFit="1" customWidth="1"/>
  </cols>
  <sheetData>
    <row r="1" spans="1:19" ht="35.25">
      <c r="A1" s="1253" t="s">
        <v>184</v>
      </c>
      <c r="B1" s="1253"/>
      <c r="C1" s="1253"/>
      <c r="D1" s="1253"/>
      <c r="E1" s="1253"/>
      <c r="F1" s="1253"/>
      <c r="G1" s="1253"/>
      <c r="H1" s="1253"/>
      <c r="I1" s="1253"/>
      <c r="J1" s="1253"/>
      <c r="K1" s="1253"/>
      <c r="L1" s="1253"/>
      <c r="M1" s="1253"/>
      <c r="N1" s="1253"/>
    </row>
    <row r="2" spans="1:19" ht="15.75">
      <c r="E2" s="90">
        <f>PP!D10</f>
        <v>1272</v>
      </c>
      <c r="G2" s="91">
        <v>357.79118644067796</v>
      </c>
      <c r="H2" s="89"/>
    </row>
    <row r="3" spans="1:19" ht="15.75">
      <c r="A3" s="92" t="s">
        <v>185</v>
      </c>
      <c r="B3" s="93" t="str">
        <f>SUBSTITUTE(B5,F9,F10,1)</f>
        <v xml:space="preserve"> (bir min  iki yüz yetmiş (Iki ) Manat</v>
      </c>
      <c r="E3" s="94"/>
      <c r="H3" s="95"/>
      <c r="J3" s="95"/>
      <c r="K3" s="95"/>
      <c r="L3" s="95"/>
      <c r="M3" s="96" t="s">
        <v>186</v>
      </c>
      <c r="N3" s="1254">
        <f ca="1">TODAY()</f>
        <v>45786</v>
      </c>
      <c r="O3" s="1254"/>
      <c r="P3">
        <f ca="1">DAY(N3)</f>
        <v>9</v>
      </c>
      <c r="Q3" s="82" t="str">
        <f ca="1">IF(Q4&gt;7,S3,S4)</f>
        <v>мая</v>
      </c>
      <c r="R3" s="89">
        <f ca="1">YEAR(N3)</f>
        <v>2025</v>
      </c>
      <c r="S3" s="97" t="str">
        <f ca="1">IF(Q4=8,"августа",IF(Q4=9,"сентября",IF(Q4=10,"октября",IF(Q4=11,"ноября",IF(Q4=12,"декабря","не отсюда")))))</f>
        <v>не отсюда</v>
      </c>
    </row>
    <row r="4" spans="1:19">
      <c r="A4" s="92" t="s">
        <v>187</v>
      </c>
      <c r="B4" s="98" t="str">
        <f>SUBSTITUTE(B6,F9,F10,1)</f>
        <v xml:space="preserve"> (bir min  iki yüz yetmiş (Iki ) Manat (в т.ч. НДС - 357,79)</v>
      </c>
      <c r="H4" s="95"/>
      <c r="I4" s="95"/>
      <c r="J4" s="95"/>
      <c r="K4" s="1255" t="str">
        <f ca="1">CONCATENATE(" «  ",P3,"  »  ",Q3,"  ",R3," г.")</f>
        <v xml:space="preserve"> «  9  »  мая  2025 г.</v>
      </c>
      <c r="L4" s="1255"/>
      <c r="M4" s="1255"/>
      <c r="N4" s="99"/>
      <c r="O4" s="99"/>
      <c r="P4" s="95"/>
      <c r="Q4" s="82">
        <f ca="1">MONTH(N3)</f>
        <v>5</v>
      </c>
      <c r="R4" s="95"/>
      <c r="S4" s="97" t="str">
        <f ca="1">IF(Q4=1,"января",IF(Q4=2,"февраля",IF(Q4=3,"марта",IF(Q4=4,"апреля",IF(Q4=5,"мая",IF(Q4=6,"июня",IF(Q4=7,"июля","брать не отсюда")))))))</f>
        <v>мая</v>
      </c>
    </row>
    <row r="5" spans="1:19">
      <c r="A5" s="100" t="s">
        <v>188</v>
      </c>
      <c r="B5" s="98" t="str">
        <f>CONCATENATE(A8,A9,A10,A11,A12)</f>
        <v xml:space="preserve"> (bir min  iki yüz yetmiş (Iki ) Manat</v>
      </c>
      <c r="H5" s="96"/>
    </row>
    <row r="6" spans="1:19">
      <c r="A6" s="100" t="s">
        <v>189</v>
      </c>
      <c r="B6" s="98" t="str">
        <f>CONCATENATE(A8,A9,A10,A11,A12,B8,B9,C9)</f>
        <v xml:space="preserve"> (bir min  iki yüz yetmiş (Iki ) Manat (в т.ч. НДС - 357,79)</v>
      </c>
      <c r="F6" s="98"/>
      <c r="G6" s="98"/>
      <c r="H6" s="101"/>
      <c r="I6" s="98"/>
      <c r="J6" s="98"/>
      <c r="K6" s="98"/>
      <c r="L6" s="98"/>
      <c r="M6" s="98"/>
      <c r="N6" s="98"/>
      <c r="O6" s="98"/>
      <c r="P6" s="98"/>
      <c r="Q6" s="98"/>
      <c r="R6" s="98"/>
      <c r="S6" s="98"/>
    </row>
    <row r="7" spans="1:19">
      <c r="D7" s="96"/>
      <c r="H7" s="1256" t="s">
        <v>190</v>
      </c>
      <c r="I7" s="1256"/>
      <c r="J7" s="1256"/>
    </row>
    <row r="8" spans="1:19">
      <c r="A8" s="102" t="str">
        <f>CONCATENATE(IF(B15=0,"",E15),IF(B16=0,"",IF(C17&lt;20,IF(C17&lt;16,IF(C17&lt;10,E16,D17),F17),E16)),IF(B17=0,"",IF(NOT(B16=1),E17,"")),F18)</f>
        <v/>
      </c>
      <c r="B8" t="s">
        <v>191</v>
      </c>
      <c r="D8" s="96"/>
      <c r="F8" s="103">
        <f>CODE(B6)</f>
        <v>32</v>
      </c>
      <c r="G8" s="104"/>
      <c r="H8" s="1256"/>
      <c r="I8" s="1256"/>
      <c r="J8" s="1256"/>
    </row>
    <row r="9" spans="1:19">
      <c r="A9" s="105" t="str">
        <f>CONCATENATE(IF(B19=0,"",E19),IF(B20=0,"",IF(C21&lt;20,IF(C21&lt;16,IF(C21&lt;10,E20,D21),F21),E20)),IF(B21=0,"",IF(NOT(B20=1),E21,"")),F22)</f>
        <v/>
      </c>
      <c r="B9" s="106">
        <f>ROUND((G2),2)</f>
        <v>357.79</v>
      </c>
      <c r="C9" t="s">
        <v>86</v>
      </c>
      <c r="D9" s="107"/>
      <c r="F9" s="103" t="str">
        <f>CHAR(F8)</f>
        <v xml:space="preserve"> </v>
      </c>
      <c r="G9" s="104"/>
      <c r="H9" s="1256"/>
      <c r="I9" s="1256"/>
      <c r="J9" s="1256"/>
      <c r="Q9" s="108"/>
    </row>
    <row r="10" spans="1:19">
      <c r="A10" s="105" t="str">
        <f>CONCATENATE(IF(B23=0,"",E23),IF(B24=0,"",IF(C25&lt;20,IF(C25&lt;16,IF(C25&lt;10,E24,D25),F25),E24)),IF(B25=0,"",IF(NOT(B24=1),E25,"")),F26)</f>
        <v xml:space="preserve"> (bir min </v>
      </c>
      <c r="B10" s="105"/>
      <c r="C10" s="105"/>
      <c r="D10" s="109"/>
      <c r="E10" s="110"/>
      <c r="F10" s="103" t="str">
        <f>PROPER(F9)</f>
        <v xml:space="preserve"> </v>
      </c>
      <c r="G10" s="104"/>
      <c r="H10" s="1256"/>
      <c r="I10" s="1256"/>
      <c r="J10" s="1256"/>
      <c r="K10" s="105"/>
      <c r="L10" s="105"/>
      <c r="M10" s="105"/>
      <c r="N10" s="105"/>
      <c r="O10" s="105"/>
      <c r="P10" s="105"/>
      <c r="Q10" s="105"/>
      <c r="R10" s="105"/>
      <c r="S10" s="105"/>
    </row>
    <row r="11" spans="1:19">
      <c r="A11" s="105" t="str">
        <f>CONCATENATE(IF(B27=0,"",E27),IF(B28=0,"",IF(C29&lt;20,IF(C29&lt;16,IF(C29&lt;10,E28,D29),F29),E28)),IF(B29=0,"",IF(NOT(B28=1),E29,"")),F30)</f>
        <v xml:space="preserve"> iki yüz yetmiş (Iki ) Manat</v>
      </c>
      <c r="B11" s="105"/>
      <c r="C11" s="105"/>
      <c r="D11" s="109"/>
      <c r="E11" s="110"/>
      <c r="F11" s="105"/>
      <c r="G11" s="105"/>
      <c r="H11" s="1256"/>
      <c r="I11" s="1256"/>
      <c r="J11" s="1256"/>
      <c r="K11" s="105"/>
      <c r="L11" s="105"/>
      <c r="M11" s="105"/>
      <c r="N11" s="105"/>
      <c r="O11" s="105"/>
      <c r="P11" s="105"/>
      <c r="Q11" s="105"/>
      <c r="R11" s="105"/>
      <c r="S11" s="105"/>
    </row>
    <row r="12" spans="1:19">
      <c r="A12" s="111"/>
      <c r="B12" s="105"/>
      <c r="C12" s="105"/>
      <c r="D12" s="109"/>
      <c r="E12" s="110"/>
      <c r="F12" s="105"/>
      <c r="G12" s="105"/>
      <c r="H12" s="105"/>
      <c r="I12" s="105"/>
      <c r="J12" s="105"/>
      <c r="K12" s="105"/>
      <c r="L12" s="105"/>
      <c r="M12" s="112">
        <f ca="1">TODAY()</f>
        <v>45786</v>
      </c>
      <c r="N12" s="105"/>
      <c r="O12" s="105"/>
      <c r="P12" s="105"/>
      <c r="Q12" s="105"/>
      <c r="R12" s="105"/>
      <c r="S12" s="105"/>
    </row>
    <row r="13" spans="1:19">
      <c r="A13" s="111"/>
      <c r="B13" s="105"/>
      <c r="C13" s="105"/>
      <c r="D13" s="113"/>
      <c r="E13" s="114">
        <f>TRUNC(E2)</f>
        <v>1272</v>
      </c>
      <c r="F13" s="113" t="s">
        <v>192</v>
      </c>
      <c r="G13" s="105"/>
      <c r="H13" s="109"/>
      <c r="I13" s="105"/>
      <c r="J13" s="105"/>
      <c r="K13" s="105"/>
      <c r="L13" s="105"/>
      <c r="M13" s="115"/>
      <c r="N13" s="105"/>
      <c r="O13" s="105"/>
      <c r="P13" s="105"/>
      <c r="Q13" s="105"/>
      <c r="R13" s="105"/>
      <c r="S13" s="105"/>
    </row>
    <row r="14" spans="1:19">
      <c r="A14" s="116">
        <f>TRUNC(A15/10)</f>
        <v>0</v>
      </c>
      <c r="B14" s="109"/>
      <c r="C14" s="113"/>
      <c r="D14" s="105"/>
      <c r="E14" s="105"/>
      <c r="F14" s="105"/>
      <c r="G14" s="105"/>
      <c r="H14" s="109"/>
      <c r="I14" s="105"/>
      <c r="J14" s="105"/>
      <c r="K14" s="105"/>
      <c r="L14" s="105"/>
      <c r="M14" s="105"/>
      <c r="N14" s="105"/>
      <c r="O14" s="105"/>
      <c r="P14" s="105"/>
      <c r="Q14" s="105"/>
      <c r="R14" s="105"/>
      <c r="S14" s="105"/>
    </row>
    <row r="15" spans="1:19">
      <c r="A15" s="116">
        <f>TRUNC(A16/10)</f>
        <v>0</v>
      </c>
      <c r="B15" s="109">
        <f>TRUNC(RIGHT(A15))</f>
        <v>0</v>
      </c>
      <c r="C15" s="113">
        <f>B15</f>
        <v>0</v>
      </c>
      <c r="D15" s="105"/>
      <c r="E15" s="117" t="s">
        <v>193</v>
      </c>
      <c r="F15" s="105"/>
      <c r="G15" s="105"/>
      <c r="H15" s="109"/>
      <c r="I15" s="105"/>
      <c r="J15" s="105"/>
      <c r="K15" s="105"/>
      <c r="L15" s="105"/>
      <c r="M15" s="105"/>
      <c r="N15" s="105"/>
      <c r="O15" s="105"/>
      <c r="P15" s="105"/>
      <c r="Q15" s="105"/>
      <c r="R15" s="105"/>
      <c r="S15" s="105"/>
    </row>
    <row r="16" spans="1:19">
      <c r="A16" s="116">
        <f>TRUNC(A17/10)</f>
        <v>0</v>
      </c>
      <c r="B16" s="109">
        <f>TRUNC(RIGHT(A16))</f>
        <v>0</v>
      </c>
      <c r="C16" s="113">
        <f>IF(B16=1,"",B16)</f>
        <v>0</v>
      </c>
      <c r="D16" s="105"/>
      <c r="E16" s="118" t="str">
        <f>IF(OR(C16=0,B16=1),"",IF(B16=2,E35,IF(B16=3,E36,IF(B16=4,E37,IF(B16=5,E38,IF(B16=6,E39,IF(B16=7,E40,IF(B16=8,E41,E42))))))))</f>
        <v/>
      </c>
      <c r="F16" s="105"/>
      <c r="G16" s="105"/>
      <c r="H16" s="109"/>
      <c r="I16" s="105"/>
      <c r="J16" s="105"/>
      <c r="K16" s="105"/>
      <c r="L16" s="105"/>
      <c r="M16" s="105"/>
      <c r="N16" s="105"/>
      <c r="O16" s="105"/>
      <c r="P16" s="105"/>
      <c r="Q16" s="105"/>
      <c r="R16" s="105"/>
      <c r="S16" s="105"/>
    </row>
    <row r="17" spans="1:19">
      <c r="A17" s="116">
        <f>TRUNC(A19/10)</f>
        <v>0</v>
      </c>
      <c r="B17" s="109">
        <f>TRUNC(RIGHT(A17))</f>
        <v>0</v>
      </c>
      <c r="C17" s="113">
        <f>IF(B16=1,B17+10,IF(B17=0,0,B17))</f>
        <v>0</v>
      </c>
      <c r="D17" s="105" t="str">
        <f>IF(AND(C17&gt;9,C17&lt;16),IF(C17=10,D34,IF(C17=11,D35,IF(C17=12,D36,IF(C17=13,D37,IF(C17=14,D38,IF(C17=15,D39,)))))),"")</f>
        <v/>
      </c>
      <c r="E17" s="118" t="s">
        <v>194</v>
      </c>
      <c r="F17" s="105" t="str">
        <f>IF(AND(C17&gt;15,C17&lt;20),IF(C17=16,D40,IF(C17=17,D41,IF(C17=18,D42,IF(C17=19,D43,)))),"")</f>
        <v/>
      </c>
      <c r="G17" s="105"/>
      <c r="H17" s="109"/>
      <c r="I17" s="105"/>
      <c r="J17" s="105"/>
      <c r="K17" s="105"/>
      <c r="L17" s="105"/>
      <c r="M17" s="105"/>
      <c r="N17" s="105"/>
      <c r="O17" s="105"/>
      <c r="P17" s="105"/>
      <c r="Q17" s="105"/>
      <c r="R17" s="105"/>
      <c r="S17" s="105"/>
    </row>
    <row r="18" spans="1:19">
      <c r="A18" s="116"/>
      <c r="B18" s="109"/>
      <c r="C18" s="105"/>
      <c r="D18" s="109"/>
      <c r="E18" s="105">
        <f>B17+B16*10+B15*100</f>
        <v>0</v>
      </c>
      <c r="F18" s="105" t="str">
        <f>IF(E18=0,"",IF(B16=1,"миллиардов ",IF(B17=1,"милиард ",IF(OR(B17=2,B17=3,B17=4),"миллиарда ","милиардов "))))</f>
        <v/>
      </c>
      <c r="G18" s="105"/>
      <c r="H18" s="109"/>
      <c r="I18" s="105"/>
      <c r="J18" s="105"/>
      <c r="K18" s="105"/>
      <c r="L18" s="105"/>
      <c r="M18" s="105"/>
      <c r="N18" s="105"/>
      <c r="O18" s="105"/>
      <c r="P18" s="105"/>
      <c r="Q18" s="105"/>
      <c r="R18" s="105"/>
      <c r="S18" s="105"/>
    </row>
    <row r="19" spans="1:19">
      <c r="A19" s="116">
        <f>TRUNC(A20/10)</f>
        <v>0</v>
      </c>
      <c r="B19" s="109">
        <f>TRUNC(RIGHT(A19))</f>
        <v>0</v>
      </c>
      <c r="C19" s="113">
        <f>B19</f>
        <v>0</v>
      </c>
      <c r="D19" s="105"/>
      <c r="E19" s="117" t="s">
        <v>193</v>
      </c>
      <c r="F19" s="105"/>
      <c r="G19" s="105"/>
      <c r="H19" s="109"/>
      <c r="I19" s="105"/>
      <c r="J19" s="105"/>
      <c r="K19" s="105"/>
      <c r="L19" s="105"/>
      <c r="M19" s="105"/>
      <c r="N19" s="105"/>
      <c r="O19" s="105"/>
      <c r="P19" s="105"/>
      <c r="Q19" s="105"/>
      <c r="R19" s="105"/>
      <c r="S19" s="105"/>
    </row>
    <row r="20" spans="1:19">
      <c r="A20" s="116">
        <f>TRUNC(A21/10)</f>
        <v>0</v>
      </c>
      <c r="B20" s="109">
        <f>TRUNC(RIGHT(A20))</f>
        <v>0</v>
      </c>
      <c r="C20" s="113">
        <f>IF(B20=1,"",B20)</f>
        <v>0</v>
      </c>
      <c r="D20" s="105"/>
      <c r="E20" s="118" t="str">
        <f>IF(OR(C20=0,B20=1),"",IF(B20=2,E35,IF(B20=3,E36,IF(B20=4,E37,IF(B20=5,E38,IF(B20=6,E39,IF(B20=7,E40,IF(B20=8,E41,E42))))))))</f>
        <v/>
      </c>
      <c r="F20" s="105"/>
      <c r="H20" s="96"/>
    </row>
    <row r="21" spans="1:19">
      <c r="A21" s="116">
        <f>TRUNC(A23/10)</f>
        <v>0</v>
      </c>
      <c r="B21" s="109">
        <f>TRUNC(RIGHT(A21))</f>
        <v>0</v>
      </c>
      <c r="C21" s="113">
        <f>IF(B20=1,B21+10,IF(B21=0,0,B21))</f>
        <v>0</v>
      </c>
      <c r="D21" s="105" t="str">
        <f>IF(AND(C21&gt;9,C21&lt;16),IF(C21=10,D34,IF(C21=11,D35,IF(C21=12,D36,IF(C21=13,D37,IF(C21=14,D38,IF(C21=15,D39,)))))),"")</f>
        <v/>
      </c>
      <c r="E21" s="118" t="s">
        <v>194</v>
      </c>
      <c r="F21" s="105" t="str">
        <f>IF(AND(C21&gt;15,C21&lt;20),IF(C21=16,D40,IF(C21=17,D41,IF(C21=18,D42,IF(C21=19,D43,)))),"")</f>
        <v/>
      </c>
      <c r="G21" s="105"/>
      <c r="H21" s="105"/>
      <c r="I21" s="105"/>
      <c r="J21" s="105"/>
      <c r="K21" s="105"/>
      <c r="L21" s="105"/>
      <c r="M21" s="105"/>
      <c r="N21" s="105"/>
      <c r="O21" s="105"/>
      <c r="P21" s="105"/>
      <c r="Q21" s="105"/>
      <c r="R21" s="105"/>
      <c r="S21" s="105"/>
    </row>
    <row r="22" spans="1:19">
      <c r="A22" s="116"/>
      <c r="B22" s="109"/>
      <c r="C22" s="113"/>
      <c r="D22" s="105"/>
      <c r="E22" s="105">
        <f>B21+B20*10+B19*100</f>
        <v>0</v>
      </c>
      <c r="F22" s="105" t="str">
        <f>IF(E22=0,"",IF(B20=1,"миллионов ",IF(B21=1,"миллион ",IF(OR(B21=2,B21=3,B21=4),"миллиона ","миллионов "))))</f>
        <v/>
      </c>
      <c r="G22" s="105"/>
      <c r="H22" s="105"/>
      <c r="I22" s="105"/>
      <c r="J22" s="105"/>
      <c r="K22" s="105"/>
      <c r="L22" s="105"/>
      <c r="M22" s="105"/>
      <c r="N22" s="105"/>
      <c r="O22" s="105"/>
      <c r="P22" s="105"/>
      <c r="Q22" s="105"/>
      <c r="R22" s="105"/>
      <c r="S22" s="105"/>
    </row>
    <row r="23" spans="1:19">
      <c r="A23" s="116">
        <f>TRUNC(A24/10)</f>
        <v>0</v>
      </c>
      <c r="B23" s="109">
        <f>TRUNC(RIGHT(A23))</f>
        <v>0</v>
      </c>
      <c r="C23" s="113">
        <f>B23</f>
        <v>0</v>
      </c>
      <c r="D23" s="105"/>
      <c r="E23" s="117" t="s">
        <v>193</v>
      </c>
      <c r="F23" s="105"/>
      <c r="G23" s="105"/>
      <c r="H23" s="105"/>
      <c r="I23" s="112"/>
      <c r="J23" s="105"/>
      <c r="K23" s="105"/>
      <c r="L23" s="105"/>
      <c r="M23" s="105"/>
      <c r="N23" s="105"/>
      <c r="O23" s="105"/>
      <c r="P23" s="105"/>
      <c r="Q23" s="105"/>
      <c r="R23" s="105"/>
      <c r="S23" s="105"/>
    </row>
    <row r="24" spans="1:19">
      <c r="A24" s="116">
        <f>TRUNC(A25/10)</f>
        <v>0</v>
      </c>
      <c r="B24" s="109">
        <f>TRUNC(RIGHT(A24))</f>
        <v>0</v>
      </c>
      <c r="C24" s="113">
        <f>IF(B24=1,"",B24)</f>
        <v>0</v>
      </c>
      <c r="D24" s="105"/>
      <c r="E24" s="118" t="str">
        <f>IF(OR(C24=0,B24=1),"",IF(B24=2,E35,IF(B24=3,E36,IF(B24=4,E37,IF(B24=5,E38,IF(B24=6,E39,IF(B24=7,E40,IF(B24=8,E41,E42))))))))</f>
        <v/>
      </c>
      <c r="F24" s="105"/>
      <c r="G24" s="105"/>
      <c r="H24" s="105"/>
      <c r="I24" s="105"/>
      <c r="J24" s="105"/>
      <c r="K24" s="105"/>
      <c r="L24" s="105"/>
      <c r="M24" s="105"/>
      <c r="N24" s="105"/>
      <c r="O24" s="105"/>
      <c r="P24" s="105"/>
      <c r="Q24" s="105"/>
      <c r="R24" s="105"/>
      <c r="S24" s="105"/>
    </row>
    <row r="25" spans="1:19">
      <c r="A25" s="116">
        <f>TRUNC(A27/10)</f>
        <v>1</v>
      </c>
      <c r="B25" s="109">
        <f>TRUNC(RIGHT(A25))</f>
        <v>1</v>
      </c>
      <c r="C25" s="113">
        <f>IF(B24=1,B25+10,IF(B25=0,0,B25))</f>
        <v>1</v>
      </c>
      <c r="D25" s="105" t="str">
        <f>IF(AND(C25&gt;9,C25&lt;16),IF(C25=10,D34,IF(C25=11,D35,IF(C25=12,D36,IF(C25=13,D37,IF(C25=14,D38,IF(C25=15,D39,)))))),"")</f>
        <v/>
      </c>
      <c r="E25" s="118" t="str">
        <f>IF(B25=1,B34,IF(B25=2,B35,IF(B25=3,A36,IF(B25=4,A37,IF(B25=5,A38,IF(B25=6,A39,IF(B25=7,A40,IF(B25=8,A41,A42))))))))</f>
        <v xml:space="preserve"> (bir</v>
      </c>
      <c r="F25" s="105" t="str">
        <f>IF(AND(C25&gt;15,C25&lt;20),IF(C25=16,D40,IF(C25=17,D41,IF(C25=18,D42,IF(C25=19,D43,)))),"")</f>
        <v/>
      </c>
      <c r="G25" s="105"/>
      <c r="H25" s="105"/>
      <c r="I25" s="105"/>
      <c r="J25" s="105"/>
      <c r="K25" s="105"/>
      <c r="L25" s="105"/>
      <c r="M25" s="105"/>
      <c r="N25" s="105"/>
      <c r="O25" s="105"/>
      <c r="P25" s="105"/>
      <c r="Q25" s="105"/>
      <c r="R25" s="105"/>
      <c r="S25" s="105"/>
    </row>
    <row r="26" spans="1:19">
      <c r="A26" s="116"/>
      <c r="B26" s="109"/>
      <c r="C26" s="113"/>
      <c r="D26" s="105"/>
      <c r="E26" s="119">
        <f>B23*100+B24*10+B25</f>
        <v>1</v>
      </c>
      <c r="F26" s="105" t="str">
        <f>IF(AND(E13&gt;=1000)," min ","")</f>
        <v xml:space="preserve"> min </v>
      </c>
      <c r="G26" s="105"/>
      <c r="H26" s="105"/>
      <c r="I26" s="105"/>
      <c r="J26" s="105"/>
      <c r="K26" s="105"/>
      <c r="L26" s="105"/>
      <c r="M26" s="105"/>
      <c r="N26" s="105"/>
      <c r="O26" s="105"/>
      <c r="P26" s="105"/>
      <c r="Q26" s="105"/>
      <c r="R26" s="105"/>
      <c r="S26" s="105"/>
    </row>
    <row r="27" spans="1:19">
      <c r="A27" s="116">
        <f>TRUNC(A28/10)</f>
        <v>12</v>
      </c>
      <c r="B27" s="109">
        <f>TRUNC(RIGHT(A27))</f>
        <v>2</v>
      </c>
      <c r="C27" s="113">
        <f>B27</f>
        <v>2</v>
      </c>
      <c r="D27" s="105"/>
      <c r="E27" s="117" t="str">
        <f>IF(B27=1,E43,IF(B27=2,G35,IF(B27=3,G36,IF(B27=4,G37,IF(B27=5,G38,IF(B27=6,G39,IF(B27=7,G40,IF(B27=8,G41,G42))))))))</f>
        <v xml:space="preserve"> iki yüz</v>
      </c>
      <c r="F27" s="105"/>
      <c r="G27" s="105"/>
      <c r="H27" s="105"/>
      <c r="I27" s="105"/>
      <c r="J27" s="105"/>
      <c r="K27" s="105"/>
      <c r="L27" s="105"/>
      <c r="M27" s="105"/>
      <c r="N27" s="105"/>
      <c r="O27" s="105"/>
      <c r="P27" s="105"/>
      <c r="Q27" s="105"/>
      <c r="R27" s="105"/>
      <c r="S27" s="105"/>
    </row>
    <row r="28" spans="1:19">
      <c r="A28" s="116">
        <f>TRUNC(A29/10)</f>
        <v>127</v>
      </c>
      <c r="B28" s="120">
        <f>TRUNC(RIGHT(A28))</f>
        <v>7</v>
      </c>
      <c r="C28" s="113">
        <f>IF(B28=1,"",B28)</f>
        <v>7</v>
      </c>
      <c r="D28" s="105"/>
      <c r="E28" s="118" t="str">
        <f>IF(OR(C28=0,B28=1),"",IF(C28=2,E35,IF(C28=3,E36,IF(C28=4,E37,IF(C28=5,E38,IF(C28=6,E39,IF(C28=7,E40,IF(C28=8,E41,E42))))))))</f>
        <v xml:space="preserve"> yetmiş</v>
      </c>
      <c r="F28" s="105"/>
      <c r="G28" s="109"/>
      <c r="H28" s="105"/>
      <c r="I28" s="105"/>
      <c r="J28" s="105"/>
      <c r="K28" s="105"/>
      <c r="L28" s="105"/>
      <c r="M28" s="105"/>
      <c r="N28" s="105"/>
      <c r="O28" s="105"/>
      <c r="P28" s="105"/>
      <c r="Q28" s="105"/>
      <c r="R28" s="105"/>
      <c r="S28" s="105"/>
    </row>
    <row r="29" spans="1:19">
      <c r="A29" s="116">
        <f>E13</f>
        <v>1272</v>
      </c>
      <c r="B29" s="109">
        <f>TRUNC(RIGHT(A29))</f>
        <v>2</v>
      </c>
      <c r="C29" s="113">
        <f>IF(B28=1,B29+10,IF(B29=0,0,B29))</f>
        <v>2</v>
      </c>
      <c r="D29" s="105" t="str">
        <f>IF(AND(C29&gt;9,C29&lt;16),IF(C29=10,D34,IF(C29=11,D35,IF(C29=12,D36,IF(C29=13,D37,IF(C29=14,D38,IF(C29=15,D39,)))))),"")</f>
        <v/>
      </c>
      <c r="E29" s="118" t="str">
        <f>IF(B29=1,A34,IF(B29=2,A35,IF(B29=3,A36,IF(B29=4,A37,IF(B29=5,A38,IF(B29=6,A39,IF(B29=7,A40,IF(B29=8,A41,A42))))))))</f>
        <v xml:space="preserve"> (Iki</v>
      </c>
      <c r="F29" s="105" t="str">
        <f>IF(AND(C29&gt;15,C29&lt;20),IF(C29=16,D40,IF(C29=17,D41,IF(C29=18,D42,IF(C29=19,D43,)))),"")</f>
        <v/>
      </c>
      <c r="G29" s="109"/>
      <c r="H29" s="105"/>
      <c r="I29" s="105"/>
      <c r="J29" s="105"/>
      <c r="K29" s="105"/>
      <c r="L29" s="105"/>
      <c r="M29" s="105"/>
      <c r="N29" s="105"/>
      <c r="O29" s="105"/>
      <c r="P29" s="105"/>
      <c r="Q29" s="105"/>
      <c r="R29" s="105"/>
      <c r="S29" s="105"/>
    </row>
    <row r="30" spans="1:19">
      <c r="A30" s="111"/>
      <c r="B30" s="120"/>
      <c r="C30" s="121"/>
      <c r="D30" s="105"/>
      <c r="E30" s="119">
        <f>B27*100+B28*10+B29</f>
        <v>272</v>
      </c>
      <c r="F30" s="105" t="s">
        <v>281</v>
      </c>
      <c r="G30" s="109"/>
      <c r="H30" s="105"/>
      <c r="I30" s="105"/>
      <c r="J30" s="105"/>
      <c r="K30" s="105"/>
      <c r="L30" s="105"/>
      <c r="M30" s="105"/>
      <c r="N30" s="105"/>
      <c r="O30" s="105"/>
      <c r="P30" s="105"/>
      <c r="Q30" s="105"/>
      <c r="R30" s="105"/>
      <c r="S30" s="105"/>
    </row>
    <row r="31" spans="1:19">
      <c r="A31" s="122">
        <f>ROUND(100*(E2-E13),0)</f>
        <v>0</v>
      </c>
      <c r="B31" s="105"/>
      <c r="C31" s="121">
        <f>TRUNC(A31/10)</f>
        <v>0</v>
      </c>
      <c r="D31" s="105"/>
      <c r="E31" s="118" t="str">
        <f>IF(OR(C31=1,C31=0),"",IF(C31=2,E35,IF(C31=3,E36,IF(C31=4,E37,IF(C31=5,E38,IF(C31=6,E39,IF(C31=7,E40,IF(C31=8,E41,E42))))))))</f>
        <v/>
      </c>
      <c r="F31" s="105"/>
      <c r="G31" s="105"/>
      <c r="H31" s="109"/>
      <c r="I31" s="105"/>
      <c r="J31" s="105"/>
      <c r="K31" s="105"/>
      <c r="L31" s="105"/>
      <c r="M31" s="105"/>
      <c r="N31" s="105"/>
      <c r="O31" s="105"/>
      <c r="P31" s="105"/>
      <c r="Q31" s="105"/>
      <c r="R31" s="105"/>
      <c r="S31" s="105"/>
    </row>
    <row r="32" spans="1:19">
      <c r="A32" s="105"/>
      <c r="B32" s="105"/>
      <c r="C32" s="121">
        <f>TRUNC(A31-C31*10)</f>
        <v>0</v>
      </c>
      <c r="D32" s="105"/>
      <c r="E32" s="118" t="str">
        <f>IF(C32=1,B34,IF(C32=2,B35,IF(C32=3,A36,IF(C32=4,A37,IF(C32=5,A38,IF(C32=6,A39,IF(C32=7,A40,IF(C32=8,A41,A42))))))))</f>
        <v xml:space="preserve"> (Doqquz</v>
      </c>
      <c r="F32" s="105"/>
      <c r="G32" s="105"/>
      <c r="H32" s="109"/>
      <c r="I32" s="105"/>
      <c r="J32" s="105"/>
      <c r="K32" s="105"/>
      <c r="L32" s="105"/>
      <c r="M32" s="105"/>
      <c r="N32" s="105"/>
      <c r="O32" s="105"/>
      <c r="P32" s="105"/>
      <c r="Q32" s="105"/>
      <c r="R32" s="105"/>
      <c r="S32" s="105"/>
    </row>
    <row r="33" spans="1:19">
      <c r="A33" s="105"/>
      <c r="B33" s="105"/>
      <c r="C33" s="105"/>
      <c r="D33" s="105"/>
      <c r="E33" s="105"/>
      <c r="F33" s="105" t="s">
        <v>196</v>
      </c>
      <c r="G33" s="105"/>
      <c r="H33" s="109"/>
      <c r="I33" s="105"/>
      <c r="J33" s="105"/>
      <c r="K33" s="105"/>
      <c r="L33" s="105"/>
      <c r="M33" s="105"/>
      <c r="N33" s="105"/>
      <c r="O33" s="105"/>
      <c r="P33" s="105"/>
      <c r="Q33" s="105"/>
      <c r="R33" s="105"/>
      <c r="S33" s="105"/>
    </row>
    <row r="34" spans="1:19">
      <c r="A34" s="123" t="s">
        <v>202</v>
      </c>
      <c r="B34" s="123" t="s">
        <v>282</v>
      </c>
      <c r="C34" s="123"/>
      <c r="D34" s="123" t="s">
        <v>211</v>
      </c>
      <c r="E34" s="105"/>
      <c r="F34" s="105"/>
      <c r="G34" s="105"/>
      <c r="H34" s="109"/>
      <c r="I34" s="105"/>
      <c r="J34" s="105"/>
      <c r="K34" s="105"/>
      <c r="L34" s="105"/>
      <c r="M34" s="105"/>
      <c r="N34" s="105"/>
      <c r="O34" s="105"/>
      <c r="P34" s="105"/>
      <c r="Q34" s="105"/>
      <c r="R34" s="105"/>
      <c r="S34" s="105"/>
    </row>
    <row r="35" spans="1:19">
      <c r="A35" s="123" t="s">
        <v>203</v>
      </c>
      <c r="B35" s="123" t="s">
        <v>228</v>
      </c>
      <c r="C35" s="123"/>
      <c r="D35" s="123" t="s">
        <v>13</v>
      </c>
      <c r="E35" s="123" t="s">
        <v>23</v>
      </c>
      <c r="F35" s="105"/>
      <c r="G35" s="123" t="s">
        <v>25</v>
      </c>
      <c r="H35" s="105"/>
      <c r="I35" s="105"/>
      <c r="J35" s="105"/>
      <c r="K35" s="105"/>
      <c r="L35" s="105"/>
      <c r="M35" s="105"/>
      <c r="N35" s="105"/>
      <c r="O35" s="105"/>
      <c r="P35" s="105"/>
      <c r="Q35" s="105"/>
      <c r="R35" s="105"/>
      <c r="S35" s="105"/>
    </row>
    <row r="36" spans="1:19">
      <c r="A36" s="123" t="s">
        <v>204</v>
      </c>
      <c r="B36" s="123"/>
      <c r="C36" s="123"/>
      <c r="D36" s="123" t="s">
        <v>21</v>
      </c>
      <c r="E36" s="123" t="s">
        <v>31</v>
      </c>
      <c r="F36" s="105"/>
      <c r="G36" s="123" t="s">
        <v>33</v>
      </c>
      <c r="H36" s="105"/>
      <c r="I36" s="105"/>
      <c r="J36" s="105"/>
      <c r="K36" s="105"/>
      <c r="L36" s="105"/>
      <c r="M36" s="105"/>
      <c r="N36" s="105"/>
      <c r="O36" s="105"/>
      <c r="P36" s="105"/>
      <c r="Q36" s="105"/>
      <c r="R36" s="105"/>
      <c r="S36" s="105"/>
    </row>
    <row r="37" spans="1:19">
      <c r="A37" s="123" t="s">
        <v>205</v>
      </c>
      <c r="B37" s="123"/>
      <c r="C37" s="123"/>
      <c r="D37" s="123" t="s">
        <v>29</v>
      </c>
      <c r="E37" s="123" t="s">
        <v>39</v>
      </c>
      <c r="F37" s="105"/>
      <c r="G37" s="123" t="s">
        <v>41</v>
      </c>
      <c r="H37" s="105"/>
      <c r="I37" s="105"/>
      <c r="J37" s="105"/>
      <c r="K37" s="105"/>
      <c r="L37" s="105"/>
      <c r="M37" s="105"/>
      <c r="N37" s="105"/>
      <c r="O37" s="105"/>
      <c r="P37" s="105"/>
      <c r="Q37" s="105"/>
      <c r="R37" s="105"/>
      <c r="S37" s="105"/>
    </row>
    <row r="38" spans="1:19">
      <c r="A38" s="123" t="s">
        <v>206</v>
      </c>
      <c r="B38" s="123"/>
      <c r="C38" s="123"/>
      <c r="D38" s="123" t="s">
        <v>37</v>
      </c>
      <c r="E38" s="123" t="s">
        <v>47</v>
      </c>
      <c r="F38" s="105"/>
      <c r="G38" s="123" t="s">
        <v>49</v>
      </c>
      <c r="H38" s="105"/>
      <c r="I38" s="105"/>
      <c r="J38" s="105"/>
      <c r="K38" s="105"/>
      <c r="L38" s="105"/>
      <c r="M38" s="105"/>
      <c r="N38" s="105"/>
      <c r="O38" s="105"/>
      <c r="P38" s="105"/>
      <c r="Q38" s="105"/>
      <c r="R38" s="105"/>
      <c r="S38" s="105"/>
    </row>
    <row r="39" spans="1:19">
      <c r="A39" s="123" t="s">
        <v>207</v>
      </c>
      <c r="B39" s="123"/>
      <c r="C39" s="123"/>
      <c r="D39" s="123" t="s">
        <v>45</v>
      </c>
      <c r="E39" s="123" t="s">
        <v>55</v>
      </c>
      <c r="F39" s="105"/>
      <c r="G39" s="123" t="s">
        <v>57</v>
      </c>
      <c r="H39" s="105"/>
      <c r="I39" s="105"/>
      <c r="J39" s="105"/>
      <c r="K39" s="105"/>
      <c r="L39" s="105"/>
      <c r="M39" s="105"/>
      <c r="N39" s="105"/>
      <c r="O39" s="105"/>
      <c r="P39" s="105"/>
      <c r="Q39" s="105"/>
      <c r="R39" s="105"/>
      <c r="S39" s="105"/>
    </row>
    <row r="40" spans="1:19">
      <c r="A40" s="123" t="s">
        <v>208</v>
      </c>
      <c r="B40" s="123"/>
      <c r="C40" s="123"/>
      <c r="D40" s="123" t="s">
        <v>53</v>
      </c>
      <c r="E40" s="123" t="s">
        <v>63</v>
      </c>
      <c r="F40" s="105"/>
      <c r="G40" s="123" t="s">
        <v>65</v>
      </c>
      <c r="H40" s="105"/>
      <c r="I40" s="105"/>
      <c r="J40" s="105"/>
      <c r="K40" s="105"/>
      <c r="L40" s="105"/>
      <c r="M40" s="105"/>
      <c r="N40" s="105"/>
      <c r="O40" s="105"/>
      <c r="P40" s="105"/>
      <c r="Q40" s="105"/>
      <c r="R40" s="105"/>
      <c r="S40" s="105"/>
    </row>
    <row r="41" spans="1:19">
      <c r="A41" s="123" t="s">
        <v>209</v>
      </c>
      <c r="B41" s="123"/>
      <c r="C41" s="123"/>
      <c r="D41" s="123" t="s">
        <v>61</v>
      </c>
      <c r="E41" s="123" t="s">
        <v>71</v>
      </c>
      <c r="F41" s="105"/>
      <c r="G41" s="123" t="s">
        <v>73</v>
      </c>
      <c r="H41" s="105"/>
      <c r="I41" s="105"/>
      <c r="J41" s="105"/>
      <c r="K41" s="105"/>
      <c r="L41" s="105"/>
      <c r="M41" s="105"/>
      <c r="N41" s="105"/>
      <c r="O41" s="105"/>
      <c r="P41" s="105"/>
      <c r="Q41" s="105"/>
      <c r="R41" s="105"/>
      <c r="S41" s="105"/>
    </row>
    <row r="42" spans="1:19">
      <c r="A42" s="123" t="s">
        <v>210</v>
      </c>
      <c r="B42" s="123"/>
      <c r="C42" s="123"/>
      <c r="D42" s="123" t="s">
        <v>69</v>
      </c>
      <c r="E42" s="123" t="s">
        <v>79</v>
      </c>
      <c r="F42" s="105"/>
      <c r="G42" s="123" t="s">
        <v>81</v>
      </c>
      <c r="H42" s="105"/>
      <c r="I42" s="105"/>
      <c r="J42" s="105"/>
      <c r="K42" s="105"/>
      <c r="L42" s="105"/>
      <c r="M42" s="105"/>
      <c r="N42" s="105"/>
      <c r="O42" s="105"/>
      <c r="P42" s="105"/>
      <c r="Q42" s="105"/>
      <c r="R42" s="105"/>
      <c r="S42" s="105"/>
    </row>
    <row r="43" spans="1:19">
      <c r="A43" s="105"/>
      <c r="B43" s="123"/>
      <c r="C43" s="123"/>
      <c r="D43" s="123" t="s">
        <v>77</v>
      </c>
      <c r="E43" s="123" t="s">
        <v>197</v>
      </c>
      <c r="F43" s="105"/>
      <c r="G43" s="105"/>
      <c r="H43" s="109"/>
      <c r="I43" s="105"/>
      <c r="J43" s="105"/>
      <c r="K43" s="105"/>
      <c r="L43" s="105"/>
      <c r="M43" s="105"/>
      <c r="N43" s="105"/>
      <c r="O43" s="105"/>
      <c r="P43" s="105"/>
      <c r="Q43" s="105"/>
      <c r="R43" s="105"/>
      <c r="S43" s="105"/>
    </row>
    <row r="44" spans="1:19">
      <c r="A44" s="1250" t="s">
        <v>198</v>
      </c>
      <c r="B44" s="1250"/>
      <c r="C44" s="1250"/>
      <c r="D44" s="1250"/>
      <c r="E44" s="1250"/>
      <c r="F44" s="1250"/>
      <c r="G44" s="1250"/>
      <c r="H44" s="1250"/>
      <c r="I44" s="1250"/>
      <c r="J44" s="1251" t="s">
        <v>199</v>
      </c>
      <c r="K44" s="1251"/>
      <c r="L44" s="105"/>
      <c r="M44" s="105"/>
      <c r="N44" s="105"/>
      <c r="O44" s="105"/>
      <c r="P44" s="105"/>
      <c r="Q44" s="105"/>
      <c r="R44" s="105"/>
      <c r="S44" s="105"/>
    </row>
    <row r="45" spans="1:19">
      <c r="A45" s="1250"/>
      <c r="B45" s="1250"/>
      <c r="C45" s="1250"/>
      <c r="D45" s="1250"/>
      <c r="E45" s="1250"/>
      <c r="F45" s="1250"/>
      <c r="G45" s="1250"/>
      <c r="H45" s="1250"/>
      <c r="I45" s="1250"/>
      <c r="J45" s="1251"/>
      <c r="K45" s="1251"/>
      <c r="L45" s="105"/>
      <c r="M45" s="105"/>
      <c r="N45" s="105"/>
      <c r="O45" s="105"/>
      <c r="P45" s="105"/>
      <c r="Q45" s="105"/>
      <c r="R45" s="105"/>
      <c r="S45" s="105"/>
    </row>
    <row r="46" spans="1:19">
      <c r="A46" s="105"/>
      <c r="B46" s="123"/>
      <c r="C46" s="123"/>
      <c r="D46" s="105"/>
      <c r="E46" s="105"/>
      <c r="F46" s="105"/>
      <c r="G46" s="1252" t="s">
        <v>200</v>
      </c>
      <c r="H46" s="1252"/>
      <c r="I46" s="1252"/>
      <c r="J46" s="124" t="s">
        <v>201</v>
      </c>
      <c r="K46" s="105"/>
      <c r="L46" s="105"/>
      <c r="M46" s="105"/>
      <c r="N46" s="105"/>
      <c r="O46" s="105"/>
      <c r="P46" s="105"/>
      <c r="Q46" s="105"/>
      <c r="R46" s="105"/>
      <c r="S46" s="105"/>
    </row>
  </sheetData>
  <mergeCells count="7">
    <mergeCell ref="A44:I45"/>
    <mergeCell ref="J44:K45"/>
    <mergeCell ref="G46:I46"/>
    <mergeCell ref="A1:N1"/>
    <mergeCell ref="N3:O3"/>
    <mergeCell ref="K4:M4"/>
    <mergeCell ref="H7:J11"/>
  </mergeCells>
  <phoneticPr fontId="3" type="noConversion"/>
  <hyperlinks>
    <hyperlink ref="J44" r:id="rId1" xr:uid="{00000000-0004-0000-1900-000000000000}"/>
    <hyperlink ref="J46" r:id="rId2" tooltip="Замечания о программе" xr:uid="{00000000-0004-0000-1900-000001000000}"/>
  </hyperlinks>
  <pageMargins left="0.75" right="0.75" top="1" bottom="1" header="0.5" footer="0.5"/>
  <headerFooter alignWithMargins="0"/>
  <legacyDrawing r:id="rId3"/>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Sayfa19"/>
  <dimension ref="A1:S46"/>
  <sheetViews>
    <sheetView workbookViewId="0"/>
  </sheetViews>
  <sheetFormatPr defaultRowHeight="12.75"/>
  <cols>
    <col min="5" max="5" width="10.140625" bestFit="1" customWidth="1"/>
    <col min="13" max="13" width="10.28515625" customWidth="1"/>
  </cols>
  <sheetData>
    <row r="1" spans="1:19" ht="35.25">
      <c r="A1" s="1253" t="s">
        <v>184</v>
      </c>
      <c r="B1" s="1253"/>
      <c r="C1" s="1253"/>
      <c r="D1" s="1253"/>
      <c r="E1" s="1253"/>
      <c r="F1" s="1253"/>
      <c r="G1" s="1253"/>
      <c r="H1" s="1253"/>
      <c r="I1" s="1253"/>
      <c r="J1" s="1253"/>
      <c r="K1" s="1253"/>
      <c r="L1" s="1253"/>
      <c r="M1" s="1253"/>
      <c r="N1" s="1253"/>
    </row>
    <row r="2" spans="1:19" ht="15.75">
      <c r="E2" s="90">
        <f>PP!D10</f>
        <v>1272</v>
      </c>
      <c r="G2" s="91">
        <v>357.79118644067796</v>
      </c>
      <c r="H2" s="89"/>
    </row>
    <row r="3" spans="1:19" ht="15.75">
      <c r="A3" s="92" t="s">
        <v>185</v>
      </c>
      <c r="B3" s="93" t="str">
        <f>SUBSTITUTE(B5,F9,F10,1)</f>
        <v xml:space="preserve"> bir min iki yüz yetmiş Iki Manat</v>
      </c>
      <c r="E3" s="94"/>
      <c r="H3" s="95"/>
      <c r="J3" s="95"/>
      <c r="K3" s="95"/>
      <c r="L3" s="95"/>
      <c r="M3" s="96" t="s">
        <v>186</v>
      </c>
      <c r="N3" s="1254">
        <f ca="1">TODAY()</f>
        <v>45786</v>
      </c>
      <c r="O3" s="1254"/>
      <c r="P3">
        <f ca="1">DAY(N3)</f>
        <v>9</v>
      </c>
      <c r="Q3" s="82" t="str">
        <f ca="1">IF(Q4&gt;7,S3,S4)</f>
        <v>мая</v>
      </c>
      <c r="R3" s="89">
        <f ca="1">YEAR(N3)</f>
        <v>2025</v>
      </c>
      <c r="S3" s="97" t="str">
        <f ca="1">IF(Q4=8,"августа",IF(Q4=9,"сентября",IF(Q4=10,"октября",IF(Q4=11,"ноября",IF(Q4=12,"декабря","не отсюда")))))</f>
        <v>не отсюда</v>
      </c>
    </row>
    <row r="4" spans="1:19">
      <c r="A4" s="92" t="s">
        <v>187</v>
      </c>
      <c r="B4" s="98" t="str">
        <f>SUBSTITUTE(B6,F9,F10,1)</f>
        <v xml:space="preserve"> bir min iki yüz yetmiş Iki Manat (в т.ч. НДС - 357,79)</v>
      </c>
      <c r="H4" s="95"/>
      <c r="I4" s="95"/>
      <c r="J4" s="95"/>
      <c r="K4" s="1255" t="str">
        <f ca="1">CONCATENATE(" «  ",P3,"  »  ",Q3,"  ",R3," г.")</f>
        <v xml:space="preserve"> «  9  »  мая  2025 г.</v>
      </c>
      <c r="L4" s="1255"/>
      <c r="M4" s="1255"/>
      <c r="N4" s="99"/>
      <c r="O4" s="99"/>
      <c r="P4" s="95"/>
      <c r="Q4" s="82">
        <f ca="1">MONTH(N3)</f>
        <v>5</v>
      </c>
      <c r="R4" s="95"/>
      <c r="S4" s="97" t="str">
        <f ca="1">IF(Q4=1,"января",IF(Q4=2,"февраля",IF(Q4=3,"марта",IF(Q4=4,"апреля",IF(Q4=5,"мая",IF(Q4=6,"июня",IF(Q4=7,"июля","брать не отсюда")))))))</f>
        <v>мая</v>
      </c>
    </row>
    <row r="5" spans="1:19">
      <c r="A5" s="100" t="s">
        <v>188</v>
      </c>
      <c r="B5" s="98" t="str">
        <f>CONCATENATE(A8,A9,A10,A11,A12)</f>
        <v xml:space="preserve"> bir min iki yüz yetmiş Iki Manat</v>
      </c>
      <c r="H5" s="96"/>
    </row>
    <row r="6" spans="1:19">
      <c r="A6" s="100" t="s">
        <v>189</v>
      </c>
      <c r="B6" s="98" t="str">
        <f>CONCATENATE(A8,A9,A10,A11,A12,B8,B9,C9)</f>
        <v xml:space="preserve"> bir min iki yüz yetmiş Iki Manat (в т.ч. НДС - 357,79)</v>
      </c>
      <c r="F6" s="98"/>
      <c r="G6" s="98"/>
      <c r="H6" s="101"/>
      <c r="I6" s="98"/>
      <c r="J6" s="98"/>
      <c r="K6" s="98"/>
      <c r="L6" s="98"/>
      <c r="M6" s="98"/>
      <c r="N6" s="98"/>
      <c r="O6" s="98"/>
      <c r="P6" s="98"/>
      <c r="Q6" s="98"/>
      <c r="R6" s="98"/>
      <c r="S6" s="98"/>
    </row>
    <row r="7" spans="1:19">
      <c r="D7" s="96"/>
      <c r="H7" s="1256" t="s">
        <v>190</v>
      </c>
      <c r="I7" s="1256"/>
      <c r="J7" s="1256"/>
    </row>
    <row r="8" spans="1:19">
      <c r="A8" s="102" t="str">
        <f>CONCATENATE(IF(B15=0,"",E15),IF(B16=0,"",IF(C17&lt;20,IF(C17&lt;16,IF(C17&lt;10,E16,D17),F17),E16)),IF(B17=0,"",IF(NOT(B16=1),E17,"")),F18)</f>
        <v/>
      </c>
      <c r="B8" t="s">
        <v>191</v>
      </c>
      <c r="D8" s="96"/>
      <c r="F8" s="103">
        <f>CODE(B6)</f>
        <v>32</v>
      </c>
      <c r="G8" s="104"/>
      <c r="H8" s="1256"/>
      <c r="I8" s="1256"/>
      <c r="J8" s="1256"/>
    </row>
    <row r="9" spans="1:19">
      <c r="A9" s="105" t="str">
        <f>CONCATENATE(IF(B19=0,"",E19),IF(B20=0,"",IF(C21&lt;20,IF(C21&lt;16,IF(C21&lt;10,E20,D21),F21),E20)),IF(B21=0,"",IF(NOT(B20=1),E21,"")),F22)</f>
        <v/>
      </c>
      <c r="B9" s="106">
        <f>ROUND((G2),2)</f>
        <v>357.79</v>
      </c>
      <c r="C9" t="s">
        <v>86</v>
      </c>
      <c r="D9" s="107"/>
      <c r="F9" s="103" t="str">
        <f>CHAR(F8)</f>
        <v xml:space="preserve"> </v>
      </c>
      <c r="G9" s="104"/>
      <c r="H9" s="1256"/>
      <c r="I9" s="1256"/>
      <c r="J9" s="1256"/>
      <c r="Q9" s="108"/>
    </row>
    <row r="10" spans="1:19">
      <c r="A10" s="105" t="str">
        <f>CONCATENATE(IF(B23=0,"",E23),IF(B24=0,"",IF(C25&lt;20,IF(C25&lt;16,IF(C25&lt;10,E24,D25),F25),E24)),IF(B25=0,"",IF(NOT(B24=1),E25,"")),F26)</f>
        <v xml:space="preserve"> bir min</v>
      </c>
      <c r="B10" s="105"/>
      <c r="C10" s="105"/>
      <c r="D10" s="109"/>
      <c r="E10" s="110"/>
      <c r="F10" s="103" t="str">
        <f>PROPER(F9)</f>
        <v xml:space="preserve"> </v>
      </c>
      <c r="G10" s="104"/>
      <c r="H10" s="1256"/>
      <c r="I10" s="1256"/>
      <c r="J10" s="1256"/>
      <c r="K10" s="105"/>
      <c r="L10" s="105"/>
      <c r="M10" s="105"/>
      <c r="N10" s="105"/>
      <c r="O10" s="105"/>
      <c r="P10" s="105"/>
      <c r="Q10" s="105"/>
      <c r="R10" s="105"/>
      <c r="S10" s="105"/>
    </row>
    <row r="11" spans="1:19">
      <c r="A11" s="105" t="str">
        <f>CONCATENATE(IF(B27=0,"",E27),IF(B28=0,"",IF(C29&lt;20,IF(C29&lt;16,IF(C29&lt;10,E28,D29),F29),E28)),IF(B29=0,"",IF(NOT(B28=1),E29,"")),F30)</f>
        <v xml:space="preserve"> iki yüz yetmiş Iki Manat</v>
      </c>
      <c r="B11" s="105"/>
      <c r="C11" s="105"/>
      <c r="D11" s="109"/>
      <c r="E11" s="110"/>
      <c r="F11" s="105"/>
      <c r="G11" s="105"/>
      <c r="H11" s="1256"/>
      <c r="I11" s="1256"/>
      <c r="J11" s="1256"/>
      <c r="K11" s="105"/>
      <c r="L11" s="105"/>
      <c r="M11" s="105"/>
      <c r="N11" s="105"/>
      <c r="O11" s="105"/>
      <c r="P11" s="105"/>
      <c r="Q11" s="105"/>
      <c r="R11" s="105"/>
      <c r="S11" s="105"/>
    </row>
    <row r="12" spans="1:19">
      <c r="A12" s="111"/>
      <c r="B12" s="105"/>
      <c r="C12" s="105"/>
      <c r="D12" s="109"/>
      <c r="E12" s="110"/>
      <c r="F12" s="105"/>
      <c r="G12" s="105"/>
      <c r="H12" s="105"/>
      <c r="I12" s="105"/>
      <c r="J12" s="105"/>
      <c r="K12" s="105"/>
      <c r="L12" s="105"/>
      <c r="M12" s="112">
        <f ca="1">TODAY()</f>
        <v>45786</v>
      </c>
      <c r="N12" s="105"/>
      <c r="O12" s="105"/>
      <c r="P12" s="105"/>
      <c r="Q12" s="105"/>
      <c r="R12" s="105"/>
      <c r="S12" s="105"/>
    </row>
    <row r="13" spans="1:19">
      <c r="A13" s="111"/>
      <c r="B13" s="105"/>
      <c r="C13" s="105"/>
      <c r="D13" s="113"/>
      <c r="E13" s="114">
        <f>TRUNC(E2)</f>
        <v>1272</v>
      </c>
      <c r="F13" s="113" t="s">
        <v>192</v>
      </c>
      <c r="G13" s="105"/>
      <c r="H13" s="109"/>
      <c r="I13" s="105"/>
      <c r="J13" s="105"/>
      <c r="K13" s="105"/>
      <c r="L13" s="105"/>
      <c r="M13" s="115"/>
      <c r="N13" s="105"/>
      <c r="O13" s="105"/>
      <c r="P13" s="105"/>
      <c r="Q13" s="105"/>
      <c r="R13" s="105"/>
      <c r="S13" s="105"/>
    </row>
    <row r="14" spans="1:19">
      <c r="A14" s="116">
        <f>TRUNC(A15/10)</f>
        <v>0</v>
      </c>
      <c r="B14" s="109"/>
      <c r="C14" s="113"/>
      <c r="D14" s="105"/>
      <c r="E14" s="105"/>
      <c r="F14" s="105"/>
      <c r="G14" s="105"/>
      <c r="H14" s="109"/>
      <c r="I14" s="105"/>
      <c r="J14" s="105"/>
      <c r="K14" s="105"/>
      <c r="L14" s="105"/>
      <c r="M14" s="105"/>
      <c r="N14" s="105"/>
      <c r="O14" s="105"/>
      <c r="P14" s="105"/>
      <c r="Q14" s="105"/>
      <c r="R14" s="105"/>
      <c r="S14" s="105"/>
    </row>
    <row r="15" spans="1:19">
      <c r="A15" s="116">
        <f>TRUNC(A16/10)</f>
        <v>0</v>
      </c>
      <c r="B15" s="109">
        <f>TRUNC(RIGHT(A15))</f>
        <v>0</v>
      </c>
      <c r="C15" s="113">
        <f>B15</f>
        <v>0</v>
      </c>
      <c r="D15" s="105"/>
      <c r="E15" s="117" t="s">
        <v>193</v>
      </c>
      <c r="F15" s="105"/>
      <c r="G15" s="105"/>
      <c r="H15" s="109"/>
      <c r="I15" s="105"/>
      <c r="J15" s="105"/>
      <c r="K15" s="105"/>
      <c r="L15" s="105"/>
      <c r="M15" s="105"/>
      <c r="N15" s="105"/>
      <c r="O15" s="105"/>
      <c r="P15" s="105"/>
      <c r="Q15" s="105"/>
      <c r="R15" s="105"/>
      <c r="S15" s="105"/>
    </row>
    <row r="16" spans="1:19">
      <c r="A16" s="116">
        <f>TRUNC(A17/10)</f>
        <v>0</v>
      </c>
      <c r="B16" s="109">
        <f>TRUNC(RIGHT(A16))</f>
        <v>0</v>
      </c>
      <c r="C16" s="113">
        <f>IF(B16=1,"",B16)</f>
        <v>0</v>
      </c>
      <c r="D16" s="105"/>
      <c r="E16" s="118" t="str">
        <f>IF(OR(C16=0,B16=1),"",IF(B16=2,E35,IF(B16=3,E36,IF(B16=4,E37,IF(B16=5,E38,IF(B16=6,E39,IF(B16=7,E40,IF(B16=8,E41,E42))))))))</f>
        <v/>
      </c>
      <c r="F16" s="105"/>
      <c r="G16" s="105"/>
      <c r="H16" s="109"/>
      <c r="I16" s="105"/>
      <c r="J16" s="105"/>
      <c r="K16" s="105"/>
      <c r="L16" s="105"/>
      <c r="M16" s="105"/>
      <c r="N16" s="105"/>
      <c r="O16" s="105"/>
      <c r="P16" s="105"/>
      <c r="Q16" s="105"/>
      <c r="R16" s="105"/>
      <c r="S16" s="105"/>
    </row>
    <row r="17" spans="1:19">
      <c r="A17" s="116">
        <f>TRUNC(A19/10)</f>
        <v>0</v>
      </c>
      <c r="B17" s="109">
        <f>TRUNC(RIGHT(A17))</f>
        <v>0</v>
      </c>
      <c r="C17" s="113">
        <f>IF(B16=1,B17+10,IF(B17=0,0,B17))</f>
        <v>0</v>
      </c>
      <c r="D17" s="105" t="str">
        <f>IF(AND(C17&gt;9,C17&lt;16),IF(C17=10,D34,IF(C17=11,D35,IF(C17=12,D36,IF(C17=13,D37,IF(C17=14,D38,IF(C17=15,D39,)))))),"")</f>
        <v/>
      </c>
      <c r="E17" s="118" t="s">
        <v>194</v>
      </c>
      <c r="F17" s="105" t="str">
        <f>IF(AND(C17&gt;15,C17&lt;20),IF(C17=16,D40,IF(C17=17,D41,IF(C17=18,D42,IF(C17=19,D43,)))),"")</f>
        <v/>
      </c>
      <c r="G17" s="105"/>
      <c r="H17" s="109"/>
      <c r="I17" s="105"/>
      <c r="J17" s="105"/>
      <c r="K17" s="105"/>
      <c r="L17" s="105"/>
      <c r="M17" s="105"/>
      <c r="N17" s="105"/>
      <c r="O17" s="105"/>
      <c r="P17" s="105"/>
      <c r="Q17" s="105"/>
      <c r="R17" s="105"/>
      <c r="S17" s="105"/>
    </row>
    <row r="18" spans="1:19">
      <c r="A18" s="116"/>
      <c r="B18" s="109"/>
      <c r="C18" s="105"/>
      <c r="D18" s="109"/>
      <c r="E18" s="105">
        <f>B17+B16*10+B15*100</f>
        <v>0</v>
      </c>
      <c r="F18" s="105" t="str">
        <f>IF(E18=0,"",IF(B16=1,"миллиардов ",IF(B17=1,"милиард ",IF(OR(B17=2,B17=3,B17=4),"миллиарда ","милиардов "))))</f>
        <v/>
      </c>
      <c r="G18" s="105"/>
      <c r="H18" s="109"/>
      <c r="I18" s="105"/>
      <c r="J18" s="105"/>
      <c r="K18" s="105"/>
      <c r="L18" s="105"/>
      <c r="M18" s="105"/>
      <c r="N18" s="105"/>
      <c r="O18" s="105"/>
      <c r="P18" s="105"/>
      <c r="Q18" s="105"/>
      <c r="R18" s="105"/>
      <c r="S18" s="105"/>
    </row>
    <row r="19" spans="1:19">
      <c r="A19" s="116">
        <f>TRUNC(A20/10)</f>
        <v>0</v>
      </c>
      <c r="B19" s="109">
        <f>TRUNC(RIGHT(A19))</f>
        <v>0</v>
      </c>
      <c r="C19" s="113">
        <f>B19</f>
        <v>0</v>
      </c>
      <c r="D19" s="105"/>
      <c r="E19" s="117" t="s">
        <v>193</v>
      </c>
      <c r="F19" s="105"/>
      <c r="G19" s="105"/>
      <c r="H19" s="109"/>
      <c r="I19" s="105"/>
      <c r="J19" s="105"/>
      <c r="K19" s="105"/>
      <c r="L19" s="105"/>
      <c r="M19" s="105"/>
      <c r="N19" s="105"/>
      <c r="O19" s="105"/>
      <c r="P19" s="105"/>
      <c r="Q19" s="105"/>
      <c r="R19" s="105"/>
      <c r="S19" s="105"/>
    </row>
    <row r="20" spans="1:19">
      <c r="A20" s="116">
        <f>TRUNC(A21/10)</f>
        <v>0</v>
      </c>
      <c r="B20" s="109">
        <f>TRUNC(RIGHT(A20))</f>
        <v>0</v>
      </c>
      <c r="C20" s="113">
        <f>IF(B20=1,"",B20)</f>
        <v>0</v>
      </c>
      <c r="D20" s="105"/>
      <c r="E20" s="118" t="str">
        <f>IF(OR(C20=0,B20=1),"",IF(B20=2,E35,IF(B20=3,E36,IF(B20=4,E37,IF(B20=5,E38,IF(B20=6,E39,IF(B20=7,E40,IF(B20=8,E41,E42))))))))</f>
        <v/>
      </c>
      <c r="F20" s="105"/>
      <c r="H20" s="96"/>
    </row>
    <row r="21" spans="1:19">
      <c r="A21" s="116">
        <f>TRUNC(A23/10)</f>
        <v>0</v>
      </c>
      <c r="B21" s="109">
        <f>TRUNC(RIGHT(A21))</f>
        <v>0</v>
      </c>
      <c r="C21" s="113">
        <f>IF(B20=1,B21+10,IF(B21=0,0,B21))</f>
        <v>0</v>
      </c>
      <c r="D21" s="105" t="str">
        <f>IF(AND(C21&gt;9,C21&lt;16),IF(C21=10,D34,IF(C21=11,D35,IF(C21=12,D36,IF(C21=13,D37,IF(C21=14,D38,IF(C21=15,D39,)))))),"")</f>
        <v/>
      </c>
      <c r="E21" s="118" t="s">
        <v>194</v>
      </c>
      <c r="F21" s="105" t="str">
        <f>IF(AND(C21&gt;15,C21&lt;20),IF(C21=16,D40,IF(C21=17,D41,IF(C21=18,D42,IF(C21=19,D43,)))),"")</f>
        <v/>
      </c>
      <c r="G21" s="105"/>
      <c r="H21" s="105"/>
      <c r="I21" s="105"/>
      <c r="J21" s="105"/>
      <c r="K21" s="105"/>
      <c r="L21" s="105"/>
      <c r="M21" s="414">
        <f>IF(Data!C78=3,PP!C20,IF(Data!C78=4,PP!C21,IF(Data!C78=5,PP!C22,IF(Data!C78=6,PP!C23,0))))</f>
        <v>0</v>
      </c>
      <c r="N21" s="105"/>
      <c r="O21" s="105"/>
      <c r="P21" s="105"/>
      <c r="Q21" s="105"/>
      <c r="R21" s="105"/>
      <c r="S21" s="105"/>
    </row>
    <row r="22" spans="1:19">
      <c r="A22" s="116"/>
      <c r="B22" s="109"/>
      <c r="C22" s="113"/>
      <c r="D22" s="105"/>
      <c r="E22" s="105">
        <f>B21+B20*10+B19*100</f>
        <v>0</v>
      </c>
      <c r="F22" s="105" t="str">
        <f>IF(E22=0,"",IF(B20=1,"миллионов ",IF(B21=1,"миллион ",IF(OR(B21=2,B21=3,B21=4),"миллиона ","миллионов "))))</f>
        <v/>
      </c>
      <c r="G22" s="105"/>
      <c r="H22" s="105"/>
      <c r="I22" s="105"/>
      <c r="J22" s="105"/>
      <c r="K22" s="105"/>
      <c r="L22" s="105"/>
      <c r="M22" s="414">
        <f>IF(Data!C78=7,PP!C24,IF(Data!C78=8,PP!C25,IF(Data!C78=9,PP!C26,IF(Data!C78=10,PP!C27,IF(Data!C78=11,PP!C28,IF(Data!C78=12,PP!C29,0))))))</f>
        <v>46133</v>
      </c>
      <c r="N22" s="105"/>
      <c r="O22" s="105"/>
      <c r="P22" s="105"/>
      <c r="Q22" s="105"/>
      <c r="R22" s="105"/>
      <c r="S22" s="105"/>
    </row>
    <row r="23" spans="1:19">
      <c r="A23" s="116">
        <f>TRUNC(A24/10)</f>
        <v>0</v>
      </c>
      <c r="B23" s="109">
        <f>TRUNC(RIGHT(A23))</f>
        <v>0</v>
      </c>
      <c r="C23" s="113">
        <f>B23</f>
        <v>0</v>
      </c>
      <c r="D23" s="105"/>
      <c r="E23" s="117" t="s">
        <v>193</v>
      </c>
      <c r="F23" s="105"/>
      <c r="G23" s="105"/>
      <c r="H23" s="105"/>
      <c r="I23" s="112"/>
      <c r="J23" s="105"/>
      <c r="K23" s="105"/>
      <c r="L23" s="105"/>
      <c r="M23" s="414">
        <f>IF(Data!C78=13,PP!C30,IF(Data!C78=14,PP!C31,IF(Data!C78=15,PP!C32,IF(Data!C78=16,PP!C33,IF(Data!C78=17,PP!C34,IF(Data!C78=18,PP!C35,0))))))</f>
        <v>0</v>
      </c>
      <c r="N23" s="105"/>
      <c r="O23" s="105"/>
      <c r="P23" s="105"/>
      <c r="Q23" s="105"/>
      <c r="R23" s="105"/>
      <c r="S23" s="105"/>
    </row>
    <row r="24" spans="1:19">
      <c r="A24" s="116">
        <f>TRUNC(A25/10)</f>
        <v>0</v>
      </c>
      <c r="B24" s="109">
        <f>TRUNC(RIGHT(A24))</f>
        <v>0</v>
      </c>
      <c r="C24" s="113">
        <f>IF(B24=1,"",B24)</f>
        <v>0</v>
      </c>
      <c r="D24" s="105"/>
      <c r="E24" s="118" t="str">
        <f>IF(OR(C24=0,B24=1),"",IF(B24=2,E35,IF(B24=3,E36,IF(B24=4,E37,IF(B24=5,E38,IF(B24=6,E39,IF(B24=7,E40,IF(B24=8,E41,E42))))))))</f>
        <v/>
      </c>
      <c r="F24" s="105"/>
      <c r="G24" s="105"/>
      <c r="H24" s="105"/>
      <c r="I24" s="105"/>
      <c r="J24" s="105"/>
      <c r="K24" s="105"/>
      <c r="L24" s="105"/>
      <c r="M24" s="414">
        <f>IF(Data!C78=19,PP!C36,IF(Data!C78=20,PP!C37,IF(Data!C78=21,PP!C38,IF(Data!C78=22,PP!C39,IF(Data!C78=23,PP!C40,IF(Data!C78=24,PP!C41,0))))))</f>
        <v>0</v>
      </c>
      <c r="N24" s="105"/>
      <c r="O24" s="105"/>
      <c r="P24" s="105"/>
      <c r="Q24" s="105"/>
      <c r="R24" s="105"/>
      <c r="S24" s="105"/>
    </row>
    <row r="25" spans="1:19">
      <c r="A25" s="116">
        <f>TRUNC(A27/10)</f>
        <v>1</v>
      </c>
      <c r="B25" s="109">
        <f>TRUNC(RIGHT(A25))</f>
        <v>1</v>
      </c>
      <c r="C25" s="113">
        <f>IF(B24=1,B25+10,IF(B25=0,0,B25))</f>
        <v>1</v>
      </c>
      <c r="D25" s="105" t="str">
        <f>IF(AND(C25&gt;9,C25&lt;16),IF(C25=10,D34,IF(C25=11,D35,IF(C25=12,D36,IF(C25=13,D37,IF(C25=14,D38,IF(C25=15,D39,)))))),"")</f>
        <v/>
      </c>
      <c r="E25" s="118" t="str">
        <f>IF(B25=1,B34,IF(B25=2,B35,IF(B25=3,A36,IF(B25=4,A37,IF(B25=5,A38,IF(B25=6,A39,IF(B25=7,A40,IF(B25=8,A41,A42))))))))</f>
        <v xml:space="preserve"> bir</v>
      </c>
      <c r="F25" s="105" t="str">
        <f>IF(AND(C25&gt;15,C25&lt;20),IF(C25=16,D40,IF(C25=17,D41,IF(C25=18,D42,IF(C25=19,D43,)))),"")</f>
        <v/>
      </c>
      <c r="G25" s="105"/>
      <c r="H25" s="105"/>
      <c r="I25" s="105"/>
      <c r="J25" s="105"/>
      <c r="K25" s="105"/>
      <c r="L25" s="105"/>
      <c r="M25" s="414"/>
      <c r="N25" s="105"/>
      <c r="O25" s="105"/>
      <c r="P25" s="105"/>
      <c r="Q25" s="105"/>
      <c r="R25" s="105"/>
      <c r="S25" s="105"/>
    </row>
    <row r="26" spans="1:19">
      <c r="A26" s="116"/>
      <c r="B26" s="109"/>
      <c r="C26" s="113"/>
      <c r="D26" s="105"/>
      <c r="E26" s="119">
        <f>B23*100+B24*10+B25</f>
        <v>1</v>
      </c>
      <c r="F26" s="105" t="s">
        <v>195</v>
      </c>
      <c r="G26" s="105"/>
      <c r="H26" s="105"/>
      <c r="I26" s="105"/>
      <c r="J26" s="105"/>
      <c r="K26" s="105"/>
      <c r="L26" s="105"/>
      <c r="M26" s="105"/>
      <c r="N26" s="105"/>
      <c r="O26" s="105"/>
      <c r="P26" s="105"/>
      <c r="Q26" s="105"/>
      <c r="R26" s="105"/>
      <c r="S26" s="105"/>
    </row>
    <row r="27" spans="1:19">
      <c r="A27" s="116">
        <f>TRUNC(A28/10)</f>
        <v>12</v>
      </c>
      <c r="B27" s="109">
        <f>TRUNC(RIGHT(A27))</f>
        <v>2</v>
      </c>
      <c r="C27" s="113">
        <f>B27</f>
        <v>2</v>
      </c>
      <c r="D27" s="105"/>
      <c r="E27" s="117" t="str">
        <f>IF(B27=1,E43,IF(B27=2,G35,IF(B27=3,G36,IF(B27=4,G37,IF(B27=5,G38,IF(B27=6,G39,IF(B27=7,G40,IF(B27=8,G41,G42))))))))</f>
        <v xml:space="preserve"> iki yüz</v>
      </c>
      <c r="F27" s="105"/>
      <c r="G27" s="105"/>
      <c r="H27" s="105"/>
      <c r="I27" s="105"/>
      <c r="J27" s="105"/>
      <c r="K27" s="105"/>
      <c r="L27" s="105"/>
      <c r="M27" s="105"/>
      <c r="N27" s="105"/>
      <c r="O27" s="105"/>
      <c r="P27" s="105"/>
      <c r="Q27" s="105"/>
      <c r="R27" s="105"/>
      <c r="S27" s="105"/>
    </row>
    <row r="28" spans="1:19">
      <c r="A28" s="116">
        <f>TRUNC(A29/10)</f>
        <v>127</v>
      </c>
      <c r="B28" s="120">
        <f>TRUNC(RIGHT(A28))</f>
        <v>7</v>
      </c>
      <c r="C28" s="113">
        <f>IF(B28=1,"",B28)</f>
        <v>7</v>
      </c>
      <c r="D28" s="105"/>
      <c r="E28" s="118" t="str">
        <f>IF(OR(C28=0,B28=1),"",IF(C28=2,E35,IF(C28=3,E36,IF(C28=4,E37,IF(C28=5,E38,IF(C28=6,E39,IF(C28=7,E40,IF(C28=8,E41,E42))))))))</f>
        <v xml:space="preserve"> yetmiş</v>
      </c>
      <c r="F28" s="105"/>
      <c r="G28" s="109"/>
      <c r="H28" s="105"/>
      <c r="I28" s="105"/>
      <c r="J28" s="105"/>
      <c r="K28" s="105"/>
      <c r="L28" s="105"/>
      <c r="M28" s="105"/>
      <c r="N28" s="105"/>
      <c r="O28" s="105"/>
      <c r="P28" s="105"/>
      <c r="Q28" s="105"/>
      <c r="R28" s="105"/>
      <c r="S28" s="105"/>
    </row>
    <row r="29" spans="1:19">
      <c r="A29" s="116">
        <f>E13</f>
        <v>1272</v>
      </c>
      <c r="B29" s="109">
        <f>TRUNC(RIGHT(A29))</f>
        <v>2</v>
      </c>
      <c r="C29" s="113">
        <f>IF(B28=1,B29+10,IF(B29=0,0,B29))</f>
        <v>2</v>
      </c>
      <c r="D29" s="105" t="str">
        <f>IF(AND(C29&gt;9,C29&lt;16),IF(C29=10,D34,IF(C29=11,D35,IF(C29=12,D36,IF(C29=13,D37,IF(C29=14,D38,IF(C29=15,D39,)))))),"")</f>
        <v/>
      </c>
      <c r="E29" s="118" t="str">
        <f>IF(B29=1,A34,IF(B29=2,A35,IF(B29=3,A36,IF(B29=4,A37,IF(B29=5,A38,IF(B29=6,A39,IF(B29=7,A40,IF(B29=8,A41,A42))))))))</f>
        <v xml:space="preserve"> Iki</v>
      </c>
      <c r="F29" s="105" t="str">
        <f>IF(AND(C29&gt;15,C29&lt;20),IF(C29=16,D40,IF(C29=17,D41,IF(C29=18,D42,IF(C29=19,D43,)))),"")</f>
        <v/>
      </c>
      <c r="G29" s="109"/>
      <c r="H29" s="105"/>
      <c r="I29" s="105"/>
      <c r="J29" s="105"/>
      <c r="K29" s="105"/>
      <c r="L29" s="105"/>
      <c r="M29" s="105"/>
      <c r="N29" s="105"/>
      <c r="O29" s="105"/>
      <c r="P29" s="105"/>
      <c r="Q29" s="105"/>
      <c r="R29" s="105"/>
      <c r="S29" s="105"/>
    </row>
    <row r="30" spans="1:19">
      <c r="A30" s="111"/>
      <c r="B30" s="120"/>
      <c r="C30" s="121"/>
      <c r="D30" s="105"/>
      <c r="E30" s="119">
        <f>B27*100+B28*10+B29</f>
        <v>272</v>
      </c>
      <c r="F30" s="105" t="s">
        <v>225</v>
      </c>
      <c r="G30" s="109"/>
      <c r="H30" s="105"/>
      <c r="I30" s="105"/>
      <c r="J30" s="105"/>
      <c r="K30" s="105"/>
      <c r="L30" s="105"/>
      <c r="M30" s="105"/>
      <c r="N30" s="105"/>
      <c r="O30" s="105"/>
      <c r="P30" s="105"/>
      <c r="Q30" s="105"/>
      <c r="R30" s="105"/>
      <c r="S30" s="105"/>
    </row>
    <row r="31" spans="1:19">
      <c r="A31" s="122">
        <f>ROUND(100*(E2-E13),0)</f>
        <v>0</v>
      </c>
      <c r="B31" s="105"/>
      <c r="C31" s="121">
        <f>TRUNC(A31/10)</f>
        <v>0</v>
      </c>
      <c r="D31" s="105"/>
      <c r="E31" s="118" t="str">
        <f>IF(OR(C31=1,C31=0),"",IF(C31=2,E35,IF(C31=3,E36,IF(C31=4,E37,IF(C31=5,E38,IF(C31=6,E39,IF(C31=7,E40,IF(C31=8,E41,E42))))))))</f>
        <v/>
      </c>
      <c r="F31" s="105"/>
      <c r="G31" s="105"/>
      <c r="H31" s="109"/>
      <c r="I31" s="105"/>
      <c r="J31" s="105"/>
      <c r="K31" s="105"/>
      <c r="L31" s="105"/>
      <c r="M31" s="105"/>
      <c r="N31" s="105"/>
      <c r="O31" s="105"/>
      <c r="P31" s="105"/>
      <c r="Q31" s="105"/>
      <c r="R31" s="105"/>
      <c r="S31" s="105"/>
    </row>
    <row r="32" spans="1:19">
      <c r="A32" s="105"/>
      <c r="B32" s="105"/>
      <c r="C32" s="121">
        <f>TRUNC(A31-C31*10)</f>
        <v>0</v>
      </c>
      <c r="D32" s="105"/>
      <c r="E32" s="118" t="str">
        <f>IF(C32=1,B34,IF(C32=2,B35,IF(C32=3,A36,IF(C32=4,A37,IF(C32=5,A38,IF(C32=6,A39,IF(C32=7,A40,IF(C32=8,A41,A42))))))))</f>
        <v xml:space="preserve"> Doqquz</v>
      </c>
      <c r="F32" s="105"/>
      <c r="G32" s="105"/>
      <c r="H32" s="109"/>
      <c r="I32" s="105"/>
      <c r="J32" s="105"/>
      <c r="K32" s="105"/>
      <c r="L32" s="105"/>
      <c r="M32" s="105"/>
      <c r="N32" s="105"/>
      <c r="O32" s="105"/>
      <c r="P32" s="105"/>
      <c r="Q32" s="105"/>
      <c r="R32" s="105"/>
      <c r="S32" s="105"/>
    </row>
    <row r="33" spans="1:19">
      <c r="A33" s="105"/>
      <c r="B33" s="105"/>
      <c r="C33" s="105"/>
      <c r="D33" s="105"/>
      <c r="E33" s="105"/>
      <c r="F33" s="105" t="s">
        <v>196</v>
      </c>
      <c r="G33" s="105"/>
      <c r="H33" s="109"/>
      <c r="I33" s="105"/>
      <c r="J33" s="105"/>
      <c r="K33" s="105"/>
      <c r="L33" s="105"/>
      <c r="M33" s="105"/>
      <c r="N33" s="105"/>
      <c r="O33" s="105"/>
      <c r="P33" s="105"/>
      <c r="Q33" s="105"/>
      <c r="R33" s="105"/>
      <c r="S33" s="105"/>
    </row>
    <row r="34" spans="1:19">
      <c r="A34" s="123" t="s">
        <v>10</v>
      </c>
      <c r="B34" s="123" t="s">
        <v>11</v>
      </c>
      <c r="C34" s="123"/>
      <c r="D34" s="123" t="s">
        <v>15</v>
      </c>
      <c r="E34" s="105"/>
      <c r="F34" s="105"/>
      <c r="G34" s="105"/>
      <c r="H34" s="109"/>
      <c r="I34" s="105"/>
      <c r="J34" s="105"/>
      <c r="K34" s="105"/>
      <c r="L34" s="105"/>
      <c r="M34" s="105"/>
      <c r="N34" s="105"/>
      <c r="O34" s="105"/>
      <c r="P34" s="105"/>
      <c r="Q34" s="105"/>
      <c r="R34" s="105"/>
      <c r="S34" s="105"/>
    </row>
    <row r="35" spans="1:19">
      <c r="A35" s="123" t="s">
        <v>212</v>
      </c>
      <c r="B35" s="123" t="s">
        <v>19</v>
      </c>
      <c r="C35" s="123"/>
      <c r="D35" s="123" t="s">
        <v>13</v>
      </c>
      <c r="E35" s="123" t="s">
        <v>23</v>
      </c>
      <c r="F35" s="105"/>
      <c r="G35" s="123" t="s">
        <v>25</v>
      </c>
      <c r="H35" s="105"/>
      <c r="I35" s="105"/>
      <c r="J35" s="105"/>
      <c r="K35" s="105"/>
      <c r="L35" s="105"/>
      <c r="M35" s="105"/>
      <c r="N35" s="105"/>
      <c r="O35" s="105"/>
      <c r="P35" s="105"/>
      <c r="Q35" s="105"/>
      <c r="R35" s="105"/>
      <c r="S35" s="105"/>
    </row>
    <row r="36" spans="1:19">
      <c r="A36" s="123" t="s">
        <v>26</v>
      </c>
      <c r="B36" s="123"/>
      <c r="C36" s="123"/>
      <c r="D36" s="123" t="s">
        <v>21</v>
      </c>
      <c r="E36" s="123" t="s">
        <v>31</v>
      </c>
      <c r="F36" s="105"/>
      <c r="G36" s="123" t="s">
        <v>33</v>
      </c>
      <c r="H36" s="105"/>
      <c r="I36" s="105"/>
      <c r="J36" s="105"/>
      <c r="K36" s="105"/>
      <c r="L36" s="105"/>
      <c r="M36" s="105"/>
      <c r="N36" s="105"/>
      <c r="O36" s="105"/>
      <c r="P36" s="105"/>
      <c r="Q36" s="105"/>
      <c r="R36" s="105"/>
      <c r="S36" s="105"/>
    </row>
    <row r="37" spans="1:19">
      <c r="A37" s="123" t="s">
        <v>34</v>
      </c>
      <c r="B37" s="123"/>
      <c r="C37" s="123"/>
      <c r="D37" s="123" t="s">
        <v>29</v>
      </c>
      <c r="E37" s="123" t="s">
        <v>39</v>
      </c>
      <c r="F37" s="105"/>
      <c r="G37" s="123" t="s">
        <v>41</v>
      </c>
      <c r="H37" s="105"/>
      <c r="I37" s="105"/>
      <c r="J37" s="105"/>
      <c r="K37" s="105"/>
      <c r="L37" s="105"/>
      <c r="M37" s="105"/>
      <c r="N37" s="105"/>
      <c r="O37" s="105"/>
      <c r="P37" s="105"/>
      <c r="Q37" s="105"/>
      <c r="R37" s="105"/>
      <c r="S37" s="105"/>
    </row>
    <row r="38" spans="1:19">
      <c r="A38" s="123" t="s">
        <v>42</v>
      </c>
      <c r="B38" s="123"/>
      <c r="C38" s="123"/>
      <c r="D38" s="123" t="s">
        <v>37</v>
      </c>
      <c r="E38" s="123" t="s">
        <v>47</v>
      </c>
      <c r="F38" s="105"/>
      <c r="G38" s="123" t="s">
        <v>49</v>
      </c>
      <c r="H38" s="105"/>
      <c r="I38" s="105"/>
      <c r="J38" s="105"/>
      <c r="K38" s="105"/>
      <c r="L38" s="105"/>
      <c r="M38" s="105"/>
      <c r="N38" s="105"/>
      <c r="O38" s="105"/>
      <c r="P38" s="105"/>
      <c r="Q38" s="105"/>
      <c r="R38" s="105"/>
      <c r="S38" s="105"/>
    </row>
    <row r="39" spans="1:19">
      <c r="A39" s="123" t="s">
        <v>50</v>
      </c>
      <c r="B39" s="123"/>
      <c r="C39" s="123"/>
      <c r="D39" s="123" t="s">
        <v>45</v>
      </c>
      <c r="E39" s="123" t="s">
        <v>55</v>
      </c>
      <c r="F39" s="105"/>
      <c r="G39" s="123" t="s">
        <v>57</v>
      </c>
      <c r="H39" s="105"/>
      <c r="I39" s="105"/>
      <c r="J39" s="105"/>
      <c r="K39" s="105"/>
      <c r="L39" s="105"/>
      <c r="M39" s="105"/>
      <c r="N39" s="105"/>
      <c r="O39" s="105"/>
      <c r="P39" s="105"/>
      <c r="Q39" s="105"/>
      <c r="R39" s="105"/>
      <c r="S39" s="105"/>
    </row>
    <row r="40" spans="1:19">
      <c r="A40" s="123" t="s">
        <v>58</v>
      </c>
      <c r="B40" s="123"/>
      <c r="C40" s="123"/>
      <c r="D40" s="123" t="s">
        <v>53</v>
      </c>
      <c r="E40" s="123" t="s">
        <v>63</v>
      </c>
      <c r="F40" s="105"/>
      <c r="G40" s="123" t="s">
        <v>65</v>
      </c>
      <c r="H40" s="105"/>
      <c r="I40" s="105"/>
      <c r="J40" s="105"/>
      <c r="K40" s="105"/>
      <c r="L40" s="105"/>
      <c r="M40" s="105"/>
      <c r="N40" s="105"/>
      <c r="O40" s="105"/>
      <c r="P40" s="105"/>
      <c r="Q40" s="105"/>
      <c r="R40" s="105"/>
      <c r="S40" s="105"/>
    </row>
    <row r="41" spans="1:19">
      <c r="A41" s="123" t="s">
        <v>66</v>
      </c>
      <c r="B41" s="123"/>
      <c r="C41" s="123"/>
      <c r="D41" s="123" t="s">
        <v>61</v>
      </c>
      <c r="E41" s="123" t="s">
        <v>71</v>
      </c>
      <c r="F41" s="105"/>
      <c r="G41" s="123" t="s">
        <v>73</v>
      </c>
      <c r="H41" s="105"/>
      <c r="I41" s="105"/>
      <c r="J41" s="105"/>
      <c r="K41" s="105"/>
      <c r="L41" s="105"/>
      <c r="M41" s="105"/>
      <c r="N41" s="105"/>
      <c r="O41" s="105"/>
      <c r="P41" s="105"/>
      <c r="Q41" s="105"/>
      <c r="R41" s="105"/>
      <c r="S41" s="105"/>
    </row>
    <row r="42" spans="1:19">
      <c r="A42" s="123" t="s">
        <v>74</v>
      </c>
      <c r="B42" s="123"/>
      <c r="C42" s="123"/>
      <c r="D42" s="123" t="s">
        <v>69</v>
      </c>
      <c r="E42" s="123" t="s">
        <v>79</v>
      </c>
      <c r="F42" s="105"/>
      <c r="G42" s="123" t="s">
        <v>81</v>
      </c>
      <c r="H42" s="105"/>
      <c r="I42" s="105"/>
      <c r="J42" s="105"/>
      <c r="K42" s="105"/>
      <c r="L42" s="105"/>
      <c r="M42" s="105"/>
      <c r="N42" s="105"/>
      <c r="O42" s="105"/>
      <c r="P42" s="105"/>
      <c r="Q42" s="105"/>
      <c r="R42" s="105"/>
      <c r="S42" s="105"/>
    </row>
    <row r="43" spans="1:19">
      <c r="A43" s="105"/>
      <c r="B43" s="123"/>
      <c r="C43" s="123"/>
      <c r="D43" s="123" t="s">
        <v>77</v>
      </c>
      <c r="E43" s="123" t="s">
        <v>197</v>
      </c>
      <c r="F43" s="105"/>
      <c r="G43" s="105"/>
      <c r="H43" s="109"/>
      <c r="I43" s="105"/>
      <c r="J43" s="105"/>
      <c r="K43" s="105"/>
      <c r="L43" s="105"/>
      <c r="M43" s="105"/>
      <c r="N43" s="105"/>
      <c r="O43" s="105"/>
      <c r="P43" s="105"/>
      <c r="Q43" s="105"/>
      <c r="R43" s="105"/>
      <c r="S43" s="105"/>
    </row>
    <row r="44" spans="1:19">
      <c r="A44" s="1250" t="s">
        <v>198</v>
      </c>
      <c r="B44" s="1250"/>
      <c r="C44" s="1250"/>
      <c r="D44" s="1250"/>
      <c r="E44" s="1250"/>
      <c r="F44" s="1250"/>
      <c r="G44" s="1250"/>
      <c r="H44" s="1250"/>
      <c r="I44" s="1250"/>
      <c r="J44" s="1251" t="s">
        <v>199</v>
      </c>
      <c r="K44" s="1251"/>
      <c r="L44" s="105"/>
      <c r="M44" s="105"/>
      <c r="N44" s="105"/>
      <c r="O44" s="105"/>
      <c r="P44" s="105"/>
      <c r="Q44" s="105"/>
      <c r="R44" s="105"/>
      <c r="S44" s="105"/>
    </row>
    <row r="45" spans="1:19">
      <c r="A45" s="1250"/>
      <c r="B45" s="1250"/>
      <c r="C45" s="1250"/>
      <c r="D45" s="1250"/>
      <c r="E45" s="1250"/>
      <c r="F45" s="1250"/>
      <c r="G45" s="1250"/>
      <c r="H45" s="1250"/>
      <c r="I45" s="1250"/>
      <c r="J45" s="1251"/>
      <c r="K45" s="1251"/>
      <c r="L45" s="105"/>
      <c r="M45" s="105"/>
      <c r="N45" s="105"/>
      <c r="O45" s="105"/>
      <c r="P45" s="105"/>
      <c r="Q45" s="105"/>
      <c r="R45" s="105"/>
      <c r="S45" s="105"/>
    </row>
    <row r="46" spans="1:19">
      <c r="A46" s="105"/>
      <c r="B46" s="123"/>
      <c r="C46" s="123"/>
      <c r="D46" s="105"/>
      <c r="E46" s="105"/>
      <c r="F46" s="105"/>
      <c r="G46" s="1252" t="s">
        <v>200</v>
      </c>
      <c r="H46" s="1252"/>
      <c r="I46" s="1252"/>
      <c r="J46" s="124" t="s">
        <v>201</v>
      </c>
      <c r="K46" s="105"/>
      <c r="L46" s="105"/>
      <c r="M46" s="105"/>
      <c r="N46" s="105"/>
      <c r="O46" s="105"/>
      <c r="P46" s="105"/>
      <c r="Q46" s="105"/>
      <c r="R46" s="105"/>
      <c r="S46" s="105"/>
    </row>
  </sheetData>
  <mergeCells count="7">
    <mergeCell ref="A44:I45"/>
    <mergeCell ref="J44:K45"/>
    <mergeCell ref="G46:I46"/>
    <mergeCell ref="A1:N1"/>
    <mergeCell ref="N3:O3"/>
    <mergeCell ref="K4:M4"/>
    <mergeCell ref="H7:J11"/>
  </mergeCells>
  <phoneticPr fontId="3" type="noConversion"/>
  <hyperlinks>
    <hyperlink ref="J44" r:id="rId1" xr:uid="{00000000-0004-0000-1A00-000000000000}"/>
    <hyperlink ref="J46" r:id="rId2" tooltip="Замечания о программе" xr:uid="{00000000-0004-0000-1A00-000001000000}"/>
  </hyperlinks>
  <pageMargins left="0.75" right="0.75" top="1" bottom="1" header="0.5" footer="0.5"/>
  <headerFooter alignWithMargins="0"/>
  <legacyDrawing r:id="rId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codeName="Sheet5"/>
  <dimension ref="A1:P64"/>
  <sheetViews>
    <sheetView topLeftCell="A43" workbookViewId="0"/>
  </sheetViews>
  <sheetFormatPr defaultRowHeight="12.75"/>
  <cols>
    <col min="1" max="1" width="35" style="6" customWidth="1"/>
    <col min="2" max="2" width="11.140625" style="6" customWidth="1"/>
    <col min="3" max="3" width="13.28515625" style="6" customWidth="1"/>
    <col min="4" max="4" width="13.5703125" style="6" customWidth="1"/>
    <col min="5" max="5" width="12.42578125" style="6" customWidth="1"/>
    <col min="6" max="6" width="12.7109375" style="6" customWidth="1"/>
    <col min="7" max="7" width="10.28515625" style="6" customWidth="1"/>
    <col min="8" max="8" width="13.28515625" style="6" customWidth="1"/>
    <col min="9" max="9" width="10.5703125" style="6" customWidth="1"/>
    <col min="10" max="11" width="7.5703125" style="6" customWidth="1"/>
    <col min="12" max="12" width="6.7109375" style="6" customWidth="1"/>
    <col min="13" max="13" width="18.140625" style="6" customWidth="1"/>
    <col min="14" max="14" width="8.42578125" style="6" customWidth="1"/>
    <col min="15" max="15" width="9.140625" style="6"/>
    <col min="16" max="16" width="8.42578125" style="6" customWidth="1"/>
    <col min="17" max="16384" width="9.140625" style="6"/>
  </cols>
  <sheetData>
    <row r="1" spans="1:16" ht="13.5" thickBot="1">
      <c r="A1" s="2" t="e">
        <f>M8</f>
        <v>#REF!</v>
      </c>
      <c r="B1" s="3"/>
      <c r="C1" s="3"/>
      <c r="D1" s="3"/>
      <c r="E1" s="3"/>
      <c r="F1" s="3"/>
      <c r="G1" s="3"/>
      <c r="H1" s="3"/>
      <c r="I1" s="3"/>
      <c r="J1" s="4"/>
      <c r="K1" s="5"/>
      <c r="L1" s="4"/>
    </row>
    <row r="2" spans="1:16">
      <c r="A2" s="7" t="e">
        <f>(MOD(A1,1000000000)-MOD(A1,100000000))/100000000</f>
        <v>#REF!</v>
      </c>
      <c r="B2" s="7" t="e">
        <f>(MOD(A1,100000000)-MOD(A1,10000000))/10000000</f>
        <v>#REF!</v>
      </c>
      <c r="C2" s="7" t="e">
        <f>(MOD(A1,10000000)-MOD(A1,1000000))/1000000</f>
        <v>#REF!</v>
      </c>
      <c r="D2" s="7" t="e">
        <f>(MOD(A1,1000000)-MOD(A1,100000))/100000</f>
        <v>#REF!</v>
      </c>
      <c r="E2" s="7" t="e">
        <f>(MOD(A1,100000)-MOD(A1,10000))/10000</f>
        <v>#REF!</v>
      </c>
      <c r="F2" s="7" t="e">
        <f>(MOD(A1,10000)-MOD(A1,1000))/1000</f>
        <v>#REF!</v>
      </c>
      <c r="G2" s="7" t="e">
        <f>(MOD(A1,1000)-MOD(A1,100))/100</f>
        <v>#REF!</v>
      </c>
      <c r="H2" s="7" t="e">
        <f>(MOD(A1,100)-MOD(A1,10))/10</f>
        <v>#REF!</v>
      </c>
      <c r="I2" s="7" t="e">
        <f>MOD(A1,10)</f>
        <v>#REF!</v>
      </c>
      <c r="J2" s="4"/>
      <c r="K2" s="5"/>
      <c r="L2" s="4"/>
      <c r="M2" s="6" t="e">
        <f>IF(H2=1," ",IF(I2=1," ",IF(N2=TRUE," "," ")))</f>
        <v>#REF!</v>
      </c>
      <c r="N2" s="6" t="e">
        <f>OR(I2=2,I2=3,I2=4)</f>
        <v>#REF!</v>
      </c>
      <c r="P2" s="6" t="b">
        <f>OR(K2=2,K2=3,K2=4)</f>
        <v>0</v>
      </c>
    </row>
    <row r="3" spans="1:16">
      <c r="A3" s="8" t="e">
        <f>IF(A2=0,0,A5)</f>
        <v>#REF!</v>
      </c>
      <c r="B3" s="8" t="e">
        <f t="shared" ref="B3:I3" si="0">IF(B2=0,0,B4)</f>
        <v>#REF!</v>
      </c>
      <c r="C3" s="9" t="e">
        <f t="shared" si="0"/>
        <v>#REF!</v>
      </c>
      <c r="D3" s="8" t="e">
        <f t="shared" si="0"/>
        <v>#REF!</v>
      </c>
      <c r="E3" s="8" t="e">
        <f t="shared" si="0"/>
        <v>#REF!</v>
      </c>
      <c r="F3" s="9" t="e">
        <f t="shared" si="0"/>
        <v>#REF!</v>
      </c>
      <c r="G3" s="8" t="e">
        <f t="shared" si="0"/>
        <v>#REF!</v>
      </c>
      <c r="H3" s="8" t="e">
        <f t="shared" si="0"/>
        <v>#REF!</v>
      </c>
      <c r="I3" s="9" t="e">
        <f t="shared" si="0"/>
        <v>#REF!</v>
      </c>
      <c r="J3" s="4"/>
      <c r="K3" s="5"/>
      <c r="L3" s="4"/>
      <c r="M3" s="6" t="e">
        <f>IF(E2=1," min",IF(F2=1," min",IF(N3=TRUE," min"," min")))</f>
        <v>#REF!</v>
      </c>
      <c r="N3" s="6" t="e">
        <f>OR(F2=2,F2=3,F2=4)</f>
        <v>#REF!</v>
      </c>
      <c r="P3" s="6" t="e">
        <f>OR(H2=2,H2=3,H2=4)</f>
        <v>#REF!</v>
      </c>
    </row>
    <row r="4" spans="1:16">
      <c r="A4" s="10"/>
      <c r="B4" s="10" t="e">
        <f>IF(A1&gt;99999999,B5,B6)</f>
        <v>#REF!</v>
      </c>
      <c r="C4" s="10" t="e">
        <f>IF(B2=1,0,C5)</f>
        <v>#REF!</v>
      </c>
      <c r="D4" s="10" t="e">
        <f>IF(A1&gt;999999,D5,D7)</f>
        <v>#REF!</v>
      </c>
      <c r="E4" s="10" t="e">
        <f>IF(A1&gt;99999,E5,E6)</f>
        <v>#REF!</v>
      </c>
      <c r="F4" s="10" t="e">
        <f>IF(E2=1,0,F5)</f>
        <v>#REF!</v>
      </c>
      <c r="G4" s="10" t="e">
        <f>IF(A1&gt;999,G5,G7)</f>
        <v>#REF!</v>
      </c>
      <c r="H4" s="10" t="e">
        <f>IF(A1&gt;99,H5,H6)</f>
        <v>#REF!</v>
      </c>
      <c r="I4" s="10" t="e">
        <f>IF(H2=1,0,I5)</f>
        <v>#REF!</v>
      </c>
      <c r="J4" s="4"/>
      <c r="K4" s="5"/>
      <c r="L4" s="4"/>
      <c r="M4" s="6" t="e">
        <f>IF(B2=1," milyon",IF(C2=1," milyon",IF(N4=TRUE," milyon"," milyon")))</f>
        <v>#REF!</v>
      </c>
      <c r="N4" s="6" t="e">
        <f>OR(C2=2,C2=3,C2=4)</f>
        <v>#REF!</v>
      </c>
      <c r="P4" s="6" t="e">
        <f>OR(E2=2,E2=3,E2=4)</f>
        <v>#REF!</v>
      </c>
    </row>
    <row r="5" spans="1:16">
      <c r="A5" s="11" t="e">
        <f>IF(A2=1,H20,IF(A2=2,H21,IF(A2=3,H22,IF(A2=4,H23,IF(A2=5,H24,IF(A2=6,H25,IF(A2=7,H26,IF(A2&gt;7,A6))))))))</f>
        <v>#REF!</v>
      </c>
      <c r="B5" s="10" t="e">
        <f>IF(B2=1,B7,B11)</f>
        <v>#REF!</v>
      </c>
      <c r="C5" s="10" t="e">
        <f>IF(A1&gt;9999999,C6,C7)</f>
        <v>#REF!</v>
      </c>
      <c r="D5" s="11" t="e">
        <f>IF(D2=1,I20,IF(D2=2,I21,IF(D2=3,I22,IF(D2=4,I23,IF(D2=5,I24,IF(D2=6,I25,IF(D2=7,I26,IF(D2&gt;7,D6))))))))</f>
        <v>#REF!</v>
      </c>
      <c r="E5" s="10" t="e">
        <f>IF(E2=1,E7,E11)</f>
        <v>#REF!</v>
      </c>
      <c r="F5" s="10" t="e">
        <f>IF(A1&gt;9999,F6,F7)</f>
        <v>#REF!</v>
      </c>
      <c r="G5" s="11" t="e">
        <f>IF(G2=1,I20,IF(G2=2,I21,IF(G2=3,I22,IF(G2=4,I23,IF(G2=5,I24,IF(G2=6,I25,IF(G2=7,I26,IF(G2&gt;7,G6))))))))</f>
        <v>#REF!</v>
      </c>
      <c r="H5" s="10" t="e">
        <f>IF(H2=1,H7,H11)</f>
        <v>#REF!</v>
      </c>
      <c r="I5" s="10" t="e">
        <f>IF(A1&gt;9,I6,I7)</f>
        <v>#REF!</v>
      </c>
      <c r="J5" s="4"/>
      <c r="K5" s="5"/>
      <c r="L5" s="4"/>
      <c r="M5" s="12" t="e">
        <f>#REF!</f>
        <v>#REF!</v>
      </c>
    </row>
    <row r="6" spans="1:16">
      <c r="A6" s="11" t="e">
        <f>IF(A2=8,H27,IF(A2=9,H28))</f>
        <v>#REF!</v>
      </c>
      <c r="B6" s="10" t="e">
        <f>IF(B2=1,B9,B12)</f>
        <v>#REF!</v>
      </c>
      <c r="C6" s="10" t="e">
        <f>IF(C2=1,B20,IF(C2=2,B21,IF(C2=3,B22,IF(C2=4,B23,IF(C2=5,B24,IF(C2=6,B25,IF(C2=7,B26,IF(C2&gt;7,C8))))))))</f>
        <v>#REF!</v>
      </c>
      <c r="D6" s="11" t="e">
        <f>IF(D2=8,I27,IF(D2=9,I28))</f>
        <v>#REF!</v>
      </c>
      <c r="E6" s="10" t="e">
        <f>IF(E2=1,E9,E12)</f>
        <v>#REF!</v>
      </c>
      <c r="F6" s="10" t="e">
        <f>IF(F2=1,G22,IF(F2=2,G23,IF(F2=3,B22,IF(F2=4,B23,IF(F2=5,B24,IF(F2=6,B25,IF(F2=7,B26,IF(F2&gt;7,F8))))))))</f>
        <v>#REF!</v>
      </c>
      <c r="G6" s="11" t="e">
        <f>IF(G2=8,I27,IF(G2=9,I28))</f>
        <v>#REF!</v>
      </c>
      <c r="H6" s="10" t="e">
        <f>IF(H2=1,H9,H12)</f>
        <v>#REF!</v>
      </c>
      <c r="I6" s="10" t="e">
        <f>IF(I2=1,B20,IF(I2=2,B21,IF(I2=3,B22,IF(I2=4,B23,IF(I2=5,B24,IF(I2=6,B25,IF(I2=7,B26,IF(I2&gt;7,I8))))))))</f>
        <v>#REF!</v>
      </c>
      <c r="J6" s="4"/>
      <c r="K6" s="5"/>
      <c r="L6" s="4"/>
      <c r="M6" s="13" t="e">
        <f>CONCATENATE(M8,M9,M11)</f>
        <v>#REF!</v>
      </c>
    </row>
    <row r="7" spans="1:16">
      <c r="A7" s="4"/>
      <c r="B7" s="11" t="e">
        <f>IF(C2=0,F20,IF(C2=1,D20,IF(C2=2,D21,IF(C2=3,D22,IF(C2=4,D23,IF(C2=5,D24,IF(C2=6,D25,IF(C2&gt;6,B8))))))))</f>
        <v>#REF!</v>
      </c>
      <c r="C7" s="10" t="e">
        <f>IF(C2=1,A20,IF(C2=2,A21,IF(C2=3,A22,IF(C2=4,A23,IF(C2=5,A24,IF(C2=6,A25,IF(C2=7,A26,IF(C2&gt;7,C9))))))))</f>
        <v>#REF!</v>
      </c>
      <c r="D7" s="14" t="e">
        <f>IF(D2=1,H20,IF(D2=2,H21,IF(D2=3,H22,IF(D2=4,H23,IF(D2=5,H24,IF(D2=6,H25,IF(D2=7,H26,IF(D2&gt;7,D8))))))))</f>
        <v>#REF!</v>
      </c>
      <c r="E7" s="11" t="e">
        <f>IF(F2=0,F20,IF(F2=1,D20,IF(F2=2,D21,IF(F2=3,D22,IF(F2=4,D23,IF(F2=5,D24,IF(F2=6,D25,IF(F2&gt;6,E8))))))))</f>
        <v>#REF!</v>
      </c>
      <c r="F7" s="10" t="e">
        <f>IF(F2=1,G20,IF(F2=2,G21,IF(F2=3,A22,IF(F2=4,A23,IF(F2=5,A24,IF(F2=6,A25,IF(F2=7,A26,IF(F2&gt;7,F9))))))))</f>
        <v>#REF!</v>
      </c>
      <c r="G7" s="14" t="e">
        <f>IF(G2=1,H20,IF(G2=2,H21,IF(G2=3,H22,IF(G2=4,H23,IF(G2=5,H24,IF(G2=6,H25,IF(G2=7,H26,IF(G2&gt;7,G8))))))))</f>
        <v>#REF!</v>
      </c>
      <c r="H7" s="11" t="e">
        <f>IF(I2=0,F20,IF(I2=1,D20,IF(I2=2,D21,IF(I2=3,D22,IF(I2=4,D23,IF(I2=5,D24,IF(I2=6,D25,IF(I2&gt;6,H8))))))))</f>
        <v>#REF!</v>
      </c>
      <c r="I7" s="10" t="e">
        <f>IF(I2=1,A20,IF(I2=2,A21,IF(I2=3,A22,IF(I2=4,A23,IF(I2=5,A24,IF(I2=6,A25,IF(I2=7,A26,IF(I2&gt;7,I9))))))))</f>
        <v>#REF!</v>
      </c>
      <c r="J7" s="4"/>
      <c r="K7" s="5"/>
      <c r="L7" s="4"/>
      <c r="M7" s="15"/>
    </row>
    <row r="8" spans="1:16">
      <c r="A8" s="4"/>
      <c r="B8" s="11" t="e">
        <f>IF(C2=7,D26,IF(C2=8,D27,IF(C2=9,D28)))</f>
        <v>#REF!</v>
      </c>
      <c r="C8" s="10" t="e">
        <f>IF(C2=8,B27,IF(C2=9,B28))</f>
        <v>#REF!</v>
      </c>
      <c r="D8" s="14" t="e">
        <f>IF(D2=8,H27,IF(D2=9,H28))</f>
        <v>#REF!</v>
      </c>
      <c r="E8" s="11" t="e">
        <f>IF(F2=7,D26,IF(F2=8,D27,IF(F2=9,D28)))</f>
        <v>#REF!</v>
      </c>
      <c r="F8" s="10" t="e">
        <f>IF(F2=8,B27,IF(F2=9,B28))</f>
        <v>#REF!</v>
      </c>
      <c r="G8" s="14" t="e">
        <f>IF(G2=8,H27,IF(G2=9,H28))</f>
        <v>#REF!</v>
      </c>
      <c r="H8" s="11" t="e">
        <f>IF(I2=7,D26,IF(I2=8,D27,IF(I2=9,D28)))</f>
        <v>#REF!</v>
      </c>
      <c r="I8" s="10" t="e">
        <f>IF(I2=8,B27,IF(I2=9,B28))</f>
        <v>#REF!</v>
      </c>
      <c r="J8" s="4"/>
      <c r="K8" s="5"/>
      <c r="L8" s="4"/>
      <c r="M8" s="16" t="e">
        <f>TRUNC(M5,0)</f>
        <v>#REF!</v>
      </c>
    </row>
    <row r="9" spans="1:16">
      <c r="A9" s="4"/>
      <c r="B9" s="14" t="e">
        <f>IF(C2=0,E20,IF(C2=1,C20,IF(C2=2,C21,IF(C2=3,C22,IF(C2=4,C23,IF(C2=5,C24,IF(C2=6,C25,IF(C2&gt;6,B10))))))))</f>
        <v>#REF!</v>
      </c>
      <c r="C9" s="10" t="e">
        <f>IF(C2=8,A27,IF(C2=9,A28))</f>
        <v>#REF!</v>
      </c>
      <c r="D9" s="4"/>
      <c r="E9" s="14" t="e">
        <f>IF(F2=0,E20,IF(F2=1,C20,IF(F2=2,C21,IF(F2=3,C22,IF(F2=4,C23,IF(F2=5,C24,IF(F2=6,C25,IF(F2&gt;6,E10))))))))</f>
        <v>#REF!</v>
      </c>
      <c r="F9" s="10" t="e">
        <f>IF(F2=8,A27,IF(F2=9,A28))</f>
        <v>#REF!</v>
      </c>
      <c r="G9" s="4"/>
      <c r="H9" s="14" t="e">
        <f>IF(I2=0,E20,IF(I2=1,C20,IF(I2=2,C21,IF(I2=3,C22,IF(I2=4,C23,IF(I2=5,C24,IF(I2=6,C25,IF(I2&gt;6,H10))))))))</f>
        <v>#REF!</v>
      </c>
      <c r="I9" s="10" t="e">
        <f>IF(I2=8,A27,IF(I2=9,A28))</f>
        <v>#REF!</v>
      </c>
      <c r="J9" s="4"/>
      <c r="K9" s="5"/>
      <c r="L9" s="4"/>
      <c r="M9" s="17" t="s">
        <v>9</v>
      </c>
    </row>
    <row r="10" spans="1:16">
      <c r="A10" s="4"/>
      <c r="B10" s="14" t="e">
        <f>IF(C2=7,C26,IF(C2=8,C27,IF(C2=9,C28)))</f>
        <v>#REF!</v>
      </c>
      <c r="C10" s="4"/>
      <c r="D10" s="4"/>
      <c r="E10" s="14" t="e">
        <f>IF(F2=7,C26,IF(F2=8,C27,IF(F2=9,C28)))</f>
        <v>#REF!</v>
      </c>
      <c r="F10" s="4"/>
      <c r="G10" s="4"/>
      <c r="H10" s="14" t="e">
        <f>IF(I2=7,C26,IF(I2=8,C27,IF(I2=9,C28)))</f>
        <v>#REF!</v>
      </c>
      <c r="I10" s="4"/>
      <c r="J10" s="4"/>
      <c r="K10" s="5"/>
      <c r="L10" s="4"/>
      <c r="M10" s="18" t="e">
        <f>(M5-M8)*100</f>
        <v>#REF!</v>
      </c>
    </row>
    <row r="11" spans="1:16">
      <c r="A11" s="4"/>
      <c r="B11" s="11" t="e">
        <f>IF(B2=2,F21,IF(B2=3,F22,IF(B2=4,F23,IF(B2=5,F24,IF(B2=6,F25,IF(B2=7,F26,IF(B2=8,F27,IF(B2=9,F28))))))))</f>
        <v>#REF!</v>
      </c>
      <c r="C11" s="4"/>
      <c r="D11" s="4"/>
      <c r="E11" s="11" t="e">
        <f>IF(E2=2,F21,IF(E2=3,F22,IF(E2=4,F23,IF(E2=5,F24,IF(E2=6,F25,IF(E2=7,F26,IF(E2=8,F27,IF(E2=9,F28))))))))</f>
        <v>#REF!</v>
      </c>
      <c r="F11" s="4"/>
      <c r="G11" s="4"/>
      <c r="H11" s="11" t="e">
        <f>IF(H2=2,F21,IF(H2=3,F22,IF(H2=4,F23,IF(H2=5,F24,IF(H2=6,F25,IF(H2=7,F26,IF(H2=8,F27,IF(H2=9,F28))))))))</f>
        <v>#REF!</v>
      </c>
      <c r="I11" s="4"/>
      <c r="J11" s="4"/>
      <c r="K11" s="5"/>
      <c r="L11" s="4"/>
      <c r="M11" s="19"/>
    </row>
    <row r="12" spans="1:16">
      <c r="A12" s="4"/>
      <c r="B12" s="14" t="e">
        <f>IF(B2=2,E21,IF(B2=3,E22,IF(B2=4,E23,IF(B2=5,E24,IF(B2=6,E25,IF(B2=7,E26,IF(B2=8,E27,IF(B2=9,E28))))))))</f>
        <v>#REF!</v>
      </c>
      <c r="C12" s="4"/>
      <c r="D12" s="4"/>
      <c r="E12" s="14" t="e">
        <f>IF(E2=2,E21,IF(E2=3,E22,IF(E2=4,E23,IF(E2=5,E24,IF(E2=6,E25,IF(E2=7,E26,IF(E2=8,E27,IF(E2=9,E28))))))))</f>
        <v>#REF!</v>
      </c>
      <c r="F12" s="4"/>
      <c r="G12" s="4"/>
      <c r="H12" s="14" t="e">
        <f>IF(H2=2,E21,IF(H2=3,E22,IF(H2=4,E23,IF(H2=5,E24,IF(H2=6,E25,IF(H2=7,E26,IF(H2=8,E27,IF(H2=9,E28))))))))</f>
        <v>#REF!</v>
      </c>
      <c r="I12" s="4"/>
      <c r="J12" s="4"/>
      <c r="K12" s="5"/>
      <c r="L12" s="4"/>
      <c r="M12" s="12"/>
    </row>
    <row r="13" spans="1:16">
      <c r="A13" s="4"/>
      <c r="B13" s="4"/>
      <c r="C13" s="4"/>
      <c r="D13" s="4"/>
      <c r="E13" s="4"/>
      <c r="F13" s="4"/>
      <c r="G13" s="4"/>
      <c r="H13" s="4"/>
      <c r="I13" s="4"/>
      <c r="J13" s="4"/>
      <c r="K13" s="5"/>
      <c r="L13" s="4"/>
      <c r="M13" s="6" t="e">
        <f>M5+M11/100</f>
        <v>#REF!</v>
      </c>
    </row>
    <row r="14" spans="1:16">
      <c r="A14" s="4"/>
      <c r="B14" s="4"/>
      <c r="C14" s="4"/>
      <c r="D14" s="4"/>
      <c r="E14" s="4"/>
      <c r="F14" s="4"/>
      <c r="G14" s="4"/>
      <c r="H14" s="4"/>
      <c r="I14" s="4"/>
      <c r="J14" s="4"/>
      <c r="K14" s="5"/>
      <c r="L14" s="4"/>
      <c r="M14" s="20" t="e">
        <f>M13/6</f>
        <v>#REF!</v>
      </c>
    </row>
    <row r="15" spans="1:16">
      <c r="A15" s="4"/>
      <c r="B15" s="4"/>
      <c r="C15" s="4"/>
      <c r="D15" s="4"/>
      <c r="E15" s="4"/>
      <c r="F15" s="4"/>
      <c r="G15" s="4"/>
      <c r="H15" s="4"/>
      <c r="I15" s="4"/>
      <c r="J15" s="4"/>
      <c r="K15" s="5"/>
      <c r="L15" s="4"/>
      <c r="M15" s="21" t="e">
        <f>M13/6</f>
        <v>#REF!</v>
      </c>
    </row>
    <row r="16" spans="1:16">
      <c r="A16" s="4"/>
      <c r="B16" s="4"/>
      <c r="C16" s="4"/>
      <c r="D16" s="4"/>
      <c r="E16" s="4"/>
      <c r="F16" s="4"/>
      <c r="G16" s="4"/>
      <c r="H16" s="4"/>
      <c r="I16" s="4"/>
      <c r="J16" s="4"/>
      <c r="K16" s="5"/>
      <c r="L16" s="4"/>
      <c r="M16" s="22" t="e">
        <f>TRUNC(M15,0)</f>
        <v>#REF!</v>
      </c>
    </row>
    <row r="17" spans="1:13">
      <c r="A17" s="4"/>
      <c r="B17" s="4"/>
      <c r="C17" s="4"/>
      <c r="D17" s="4"/>
      <c r="E17" s="4"/>
      <c r="F17" s="4"/>
      <c r="G17" s="4"/>
      <c r="H17" s="4"/>
      <c r="I17" s="4"/>
      <c r="J17" s="4"/>
      <c r="K17" s="5"/>
      <c r="L17" s="4"/>
      <c r="M17" s="23" t="e">
        <f>M16</f>
        <v>#REF!</v>
      </c>
    </row>
    <row r="18" spans="1:13">
      <c r="A18" s="4"/>
      <c r="B18" s="4"/>
      <c r="C18" s="4"/>
      <c r="D18" s="4"/>
      <c r="E18" s="4"/>
      <c r="F18" s="4"/>
      <c r="G18" s="4"/>
      <c r="H18" s="4"/>
      <c r="I18" s="4"/>
      <c r="J18" s="4"/>
      <c r="K18" s="5"/>
      <c r="L18" s="4"/>
      <c r="M18" s="19" t="e">
        <f>(M15-M17)*100</f>
        <v>#REF!</v>
      </c>
    </row>
    <row r="19" spans="1:13">
      <c r="A19" s="4"/>
      <c r="B19" s="4"/>
      <c r="C19" s="4"/>
      <c r="D19" s="4"/>
      <c r="E19" s="4"/>
      <c r="F19" s="4"/>
      <c r="G19" s="4"/>
      <c r="H19" s="4"/>
      <c r="I19" s="4"/>
      <c r="J19" s="4"/>
      <c r="K19" s="5"/>
      <c r="L19" s="4"/>
      <c r="M19" s="24" t="e">
        <f>CONCATENATE(M17,M9,M18)</f>
        <v>#REF!</v>
      </c>
    </row>
    <row r="20" spans="1:13">
      <c r="A20" s="25" t="s">
        <v>10</v>
      </c>
      <c r="B20" s="25" t="s">
        <v>11</v>
      </c>
      <c r="C20" s="25" t="s">
        <v>12</v>
      </c>
      <c r="D20" s="25" t="s">
        <v>13</v>
      </c>
      <c r="E20" s="25" t="s">
        <v>14</v>
      </c>
      <c r="F20" s="25" t="s">
        <v>15</v>
      </c>
      <c r="G20" s="25" t="s">
        <v>10</v>
      </c>
      <c r="H20" s="25" t="s">
        <v>16</v>
      </c>
      <c r="I20" s="25" t="s">
        <v>17</v>
      </c>
      <c r="J20" s="4"/>
      <c r="K20" s="5"/>
      <c r="L20" s="4"/>
    </row>
    <row r="21" spans="1:13">
      <c r="A21" s="25" t="s">
        <v>18</v>
      </c>
      <c r="B21" s="25" t="s">
        <v>19</v>
      </c>
      <c r="C21" s="25" t="s">
        <v>20</v>
      </c>
      <c r="D21" s="25" t="s">
        <v>21</v>
      </c>
      <c r="E21" s="25" t="s">
        <v>22</v>
      </c>
      <c r="F21" s="25" t="s">
        <v>23</v>
      </c>
      <c r="G21" s="25" t="s">
        <v>18</v>
      </c>
      <c r="H21" s="25" t="s">
        <v>24</v>
      </c>
      <c r="I21" s="25" t="s">
        <v>25</v>
      </c>
      <c r="J21" s="4"/>
      <c r="K21" s="5"/>
      <c r="L21" s="4"/>
      <c r="M21" s="19">
        <v>1.9999999999996021</v>
      </c>
    </row>
    <row r="22" spans="1:13">
      <c r="A22" s="25" t="s">
        <v>26</v>
      </c>
      <c r="B22" s="25" t="s">
        <v>27</v>
      </c>
      <c r="C22" s="25" t="s">
        <v>28</v>
      </c>
      <c r="D22" s="25" t="s">
        <v>29</v>
      </c>
      <c r="E22" s="25" t="s">
        <v>30</v>
      </c>
      <c r="F22" s="25" t="s">
        <v>31</v>
      </c>
      <c r="G22" s="25" t="s">
        <v>11</v>
      </c>
      <c r="H22" s="25" t="s">
        <v>32</v>
      </c>
      <c r="I22" s="25" t="s">
        <v>33</v>
      </c>
      <c r="J22" s="4"/>
      <c r="K22" s="5"/>
      <c r="L22" s="4"/>
    </row>
    <row r="23" spans="1:13">
      <c r="A23" s="25" t="s">
        <v>34</v>
      </c>
      <c r="B23" s="25" t="s">
        <v>35</v>
      </c>
      <c r="C23" s="25" t="s">
        <v>36</v>
      </c>
      <c r="D23" s="25" t="s">
        <v>37</v>
      </c>
      <c r="E23" s="26" t="s">
        <v>38</v>
      </c>
      <c r="F23" s="25" t="s">
        <v>39</v>
      </c>
      <c r="G23" s="25" t="s">
        <v>19</v>
      </c>
      <c r="H23" s="27" t="s">
        <v>40</v>
      </c>
      <c r="I23" s="25" t="s">
        <v>41</v>
      </c>
      <c r="J23" s="4"/>
      <c r="K23" s="5"/>
      <c r="L23" s="4"/>
    </row>
    <row r="24" spans="1:13">
      <c r="A24" s="25" t="s">
        <v>42</v>
      </c>
      <c r="B24" s="25" t="s">
        <v>43</v>
      </c>
      <c r="C24" s="25" t="s">
        <v>44</v>
      </c>
      <c r="D24" s="25" t="s">
        <v>45</v>
      </c>
      <c r="E24" s="25" t="s">
        <v>46</v>
      </c>
      <c r="F24" s="25" t="s">
        <v>47</v>
      </c>
      <c r="G24" s="25"/>
      <c r="H24" s="25" t="s">
        <v>48</v>
      </c>
      <c r="I24" s="25" t="s">
        <v>49</v>
      </c>
      <c r="J24" s="4"/>
      <c r="K24" s="5"/>
      <c r="L24" s="4"/>
    </row>
    <row r="25" spans="1:13">
      <c r="A25" s="25" t="s">
        <v>50</v>
      </c>
      <c r="B25" s="25" t="s">
        <v>51</v>
      </c>
      <c r="C25" s="25" t="s">
        <v>52</v>
      </c>
      <c r="D25" s="25" t="s">
        <v>53</v>
      </c>
      <c r="E25" s="25" t="s">
        <v>54</v>
      </c>
      <c r="F25" s="25" t="s">
        <v>55</v>
      </c>
      <c r="G25" s="25"/>
      <c r="H25" s="25" t="s">
        <v>56</v>
      </c>
      <c r="I25" s="25" t="s">
        <v>57</v>
      </c>
      <c r="J25" s="4"/>
      <c r="K25" s="5"/>
      <c r="L25" s="4"/>
    </row>
    <row r="26" spans="1:13">
      <c r="A26" s="25" t="s">
        <v>58</v>
      </c>
      <c r="B26" s="25" t="s">
        <v>59</v>
      </c>
      <c r="C26" s="25" t="s">
        <v>60</v>
      </c>
      <c r="D26" s="25" t="s">
        <v>61</v>
      </c>
      <c r="E26" s="25" t="s">
        <v>62</v>
      </c>
      <c r="F26" s="25" t="s">
        <v>63</v>
      </c>
      <c r="G26" s="25"/>
      <c r="H26" s="25" t="s">
        <v>64</v>
      </c>
      <c r="I26" s="25" t="s">
        <v>65</v>
      </c>
      <c r="J26" s="4"/>
      <c r="K26" s="5"/>
      <c r="L26" s="4"/>
    </row>
    <row r="27" spans="1:13">
      <c r="A27" s="25" t="s">
        <v>66</v>
      </c>
      <c r="B27" s="25" t="s">
        <v>67</v>
      </c>
      <c r="C27" s="25" t="s">
        <v>68</v>
      </c>
      <c r="D27" s="25" t="s">
        <v>69</v>
      </c>
      <c r="E27" s="25" t="s">
        <v>70</v>
      </c>
      <c r="F27" s="25" t="s">
        <v>71</v>
      </c>
      <c r="G27" s="25"/>
      <c r="H27" s="25" t="s">
        <v>72</v>
      </c>
      <c r="I27" s="25" t="s">
        <v>73</v>
      </c>
      <c r="J27" s="4"/>
      <c r="K27" s="5"/>
      <c r="L27" s="4"/>
    </row>
    <row r="28" spans="1:13">
      <c r="A28" s="25" t="s">
        <v>74</v>
      </c>
      <c r="B28" s="25" t="s">
        <v>75</v>
      </c>
      <c r="C28" s="25" t="s">
        <v>76</v>
      </c>
      <c r="D28" s="25" t="s">
        <v>77</v>
      </c>
      <c r="E28" s="25" t="s">
        <v>78</v>
      </c>
      <c r="F28" s="25" t="s">
        <v>79</v>
      </c>
      <c r="G28" s="25"/>
      <c r="H28" s="25" t="s">
        <v>80</v>
      </c>
      <c r="I28" s="25" t="s">
        <v>81</v>
      </c>
      <c r="J28" s="4"/>
      <c r="K28" s="5"/>
      <c r="L28" s="4"/>
    </row>
    <row r="29" spans="1:13">
      <c r="A29" s="4"/>
      <c r="B29" s="4"/>
      <c r="C29" s="4"/>
      <c r="D29" s="4"/>
      <c r="E29" s="4"/>
      <c r="F29" s="4"/>
      <c r="G29" s="4"/>
      <c r="H29" s="4"/>
      <c r="I29" s="4"/>
      <c r="J29" s="4"/>
      <c r="K29" s="5"/>
      <c r="L29" s="4"/>
    </row>
    <row r="30" spans="1:13">
      <c r="A30" s="28" t="e">
        <f t="shared" ref="A30:I30" si="1">A3</f>
        <v>#REF!</v>
      </c>
      <c r="B30" s="28" t="e">
        <f t="shared" si="1"/>
        <v>#REF!</v>
      </c>
      <c r="C30" s="28" t="e">
        <f t="shared" si="1"/>
        <v>#REF!</v>
      </c>
      <c r="D30" s="28" t="e">
        <f t="shared" si="1"/>
        <v>#REF!</v>
      </c>
      <c r="E30" s="28" t="e">
        <f t="shared" si="1"/>
        <v>#REF!</v>
      </c>
      <c r="F30" s="28" t="e">
        <f t="shared" si="1"/>
        <v>#REF!</v>
      </c>
      <c r="G30" s="28" t="e">
        <f t="shared" si="1"/>
        <v>#REF!</v>
      </c>
      <c r="H30" s="28" t="e">
        <f t="shared" si="1"/>
        <v>#REF!</v>
      </c>
      <c r="I30" s="28" t="e">
        <f t="shared" si="1"/>
        <v>#REF!</v>
      </c>
      <c r="J30" s="3"/>
      <c r="K30" s="4"/>
      <c r="L30" s="4"/>
    </row>
    <row r="31" spans="1:13">
      <c r="A31" s="29" t="e">
        <f>A30</f>
        <v>#REF!</v>
      </c>
      <c r="B31" s="29" t="e">
        <f>B30</f>
        <v>#REF!</v>
      </c>
      <c r="C31" s="29" t="e">
        <f>C30</f>
        <v>#REF!</v>
      </c>
      <c r="D31" s="14" t="e">
        <f>M4</f>
        <v>#REF!</v>
      </c>
      <c r="E31" s="29" t="e">
        <f>D30</f>
        <v>#REF!</v>
      </c>
      <c r="F31" s="29" t="e">
        <f>E30</f>
        <v>#REF!</v>
      </c>
      <c r="G31" s="29" t="e">
        <f>F30</f>
        <v>#REF!</v>
      </c>
      <c r="H31" s="14" t="e">
        <f>M3</f>
        <v>#REF!</v>
      </c>
      <c r="I31" s="29" t="e">
        <f>G30</f>
        <v>#REF!</v>
      </c>
      <c r="J31" s="29" t="e">
        <f>H30</f>
        <v>#REF!</v>
      </c>
      <c r="K31" s="29" t="e">
        <f>I30</f>
        <v>#REF!</v>
      </c>
      <c r="L31" s="14" t="e">
        <f>M2</f>
        <v>#REF!</v>
      </c>
    </row>
    <row r="32" spans="1:13">
      <c r="A32" s="30" t="e">
        <f>IF(A31=0,0,1)</f>
        <v>#REF!</v>
      </c>
      <c r="B32" s="30" t="e">
        <f>IF(B31=0,0,1)</f>
        <v>#REF!</v>
      </c>
      <c r="C32" s="30" t="e">
        <f>IF(C31=0,0,1)</f>
        <v>#REF!</v>
      </c>
      <c r="D32" s="30">
        <v>1</v>
      </c>
      <c r="E32" s="30" t="e">
        <f>IF(E31=0,0,1)</f>
        <v>#REF!</v>
      </c>
      <c r="F32" s="30" t="e">
        <f>IF(F31=0,0,1)</f>
        <v>#REF!</v>
      </c>
      <c r="G32" s="30" t="e">
        <f>IF(G31=0,0,1)</f>
        <v>#REF!</v>
      </c>
      <c r="H32" s="30">
        <v>1</v>
      </c>
      <c r="I32" s="30" t="e">
        <f>IF(I31=0,0,1)</f>
        <v>#REF!</v>
      </c>
      <c r="J32" s="30" t="e">
        <f>IF(J31=0,0,1)</f>
        <v>#REF!</v>
      </c>
      <c r="K32" s="30" t="e">
        <f>IF(K31=0,0,1)</f>
        <v>#REF!</v>
      </c>
      <c r="L32" s="30">
        <v>1</v>
      </c>
    </row>
    <row r="33" spans="1:12">
      <c r="A33" s="31" t="e">
        <f>IF(L45=1,A31,A34)</f>
        <v>#REF!</v>
      </c>
      <c r="B33" s="31" t="e">
        <f>IF(L44=2,B31,IF(L44=1,B34,IF(L44=0,B35)))</f>
        <v>#REF!</v>
      </c>
      <c r="C33" s="31" t="e">
        <f>IF(L43=3,C31,IF(L43=2,D31,IF(L43=1,D35,IF(L43=0,C34))))</f>
        <v>#REF!</v>
      </c>
      <c r="D33" s="31" t="e">
        <f>IF(L42=4,D31,IF(L42=3,D35,IF(L42=2,D34,IF(L42=1,D43))))</f>
        <v>#REF!</v>
      </c>
      <c r="E33" s="31" t="e">
        <f>IF(L41=5,E31,IF(L41=4,E34,IF(L41=3,E39,IF(L41=2,E52,E49))))</f>
        <v>#REF!</v>
      </c>
      <c r="F33" s="31" t="e">
        <f>IF(L40=6,F31,IF(L40=5,F34,IF(L40=4,F35,IF(L40=3,F37,IF(L40=2,F41,IF(L40=1,F44))))))</f>
        <v>#REF!</v>
      </c>
      <c r="G33" s="31" t="e">
        <f>IF(L39=7,G31,IF(L39=6,H31,IF(L39=5,H34,IF(L39=4,G34,IF(L39=3,G38,IF(L39=2,G36,0))))))</f>
        <v>#REF!</v>
      </c>
      <c r="H33" s="31" t="e">
        <f>IF(L38=8,H31,IF(L38=7,H34,IF(L38=6,H38,IF(L38=5,H43,IF(L38=4,H44,0)))))</f>
        <v>#REF!</v>
      </c>
      <c r="I33" s="31" t="e">
        <f>IF(L37=9,I31,IF(L37=8,I34,IF(L37=7,I36,IF(L37=6,I37,0))))</f>
        <v>#REF!</v>
      </c>
      <c r="J33" s="31" t="e">
        <f>IF(L36=10,J31,IF(L36=9,J34,IF(L36=8,J35,0)))</f>
        <v>#REF!</v>
      </c>
      <c r="K33" s="31" t="e">
        <f>IF(L35=11,K31,IF(L35=10,L31,))</f>
        <v>#REF!</v>
      </c>
      <c r="L33" s="31" t="e">
        <f>IF(L34=12,L31,0)</f>
        <v>#REF!</v>
      </c>
    </row>
    <row r="34" spans="1:12">
      <c r="A34" s="11" t="e">
        <f>IF(B32=0,A35,B31)</f>
        <v>#REF!</v>
      </c>
      <c r="B34" s="11" t="e">
        <f>IF(C32=0,D31,C31)</f>
        <v>#REF!</v>
      </c>
      <c r="C34" s="11" t="e">
        <f>IF(L48=3,G31,IF(L48=2,H31,IF(L48=1,H34,H41)))</f>
        <v>#REF!</v>
      </c>
      <c r="D34" s="32" t="e">
        <f>IF(E31=0,D38,D40)</f>
        <v>#REF!</v>
      </c>
      <c r="E34" s="33" t="e">
        <f>IF(L49=3,E35,E37)</f>
        <v>#REF!</v>
      </c>
      <c r="F34" s="11" t="e">
        <f>IF(G31=0,H31,G31)</f>
        <v>#REF!</v>
      </c>
      <c r="G34" s="33" t="e">
        <f>IF(L48=0,H41,G37)</f>
        <v>#REF!</v>
      </c>
      <c r="H34" s="33" t="e">
        <f>IF(L47=0,L31,IF(L47=1,H35,IF(L47=2,H37,IF(L47=3,I31))))</f>
        <v>#REF!</v>
      </c>
      <c r="I34" s="33" t="e">
        <f>IF(L46=1,L31,IF(L46=2,I35,IF(L46=3,J31)))</f>
        <v>#REF!</v>
      </c>
      <c r="J34" s="11" t="e">
        <f>IF(K32=0,L31,K31)</f>
        <v>#REF!</v>
      </c>
      <c r="K34" s="4"/>
      <c r="L34" s="34" t="e">
        <f>SUM(A32:L32)</f>
        <v>#REF!</v>
      </c>
    </row>
    <row r="35" spans="1:12">
      <c r="A35" s="11" t="e">
        <f>IF(C31=0,A36,C31)</f>
        <v>#REF!</v>
      </c>
      <c r="B35" s="11" t="e">
        <f>IF(C31=0,D34,D31)</f>
        <v>#REF!</v>
      </c>
      <c r="C35" s="4"/>
      <c r="D35" s="11" t="e">
        <f>IF(E32=0,D36,E31)</f>
        <v>#REF!</v>
      </c>
      <c r="E35" s="33" t="e">
        <f>IF(F32=0,E36,F31)</f>
        <v>#REF!</v>
      </c>
      <c r="F35" s="35" t="e">
        <f>IF(L48=0,H38,F36)</f>
        <v>#REF!</v>
      </c>
      <c r="G35" s="11" t="e">
        <f>IF(L48=0,H42,H41)</f>
        <v>#REF!</v>
      </c>
      <c r="H35" s="14" t="e">
        <f>IF(I32=0,H36,I31)</f>
        <v>#REF!</v>
      </c>
      <c r="I35" s="33" t="e">
        <f>IF(J32=0,K31,J31)</f>
        <v>#REF!</v>
      </c>
      <c r="J35" s="11" t="e">
        <f>IF(K32=0,0,L31)</f>
        <v>#REF!</v>
      </c>
      <c r="K35" s="4"/>
      <c r="L35" s="14" t="e">
        <f>SUM(A32:K32)</f>
        <v>#REF!</v>
      </c>
    </row>
    <row r="36" spans="1:12">
      <c r="A36" s="11" t="e">
        <f>IF(E32=0,A37,E31)</f>
        <v>#REF!</v>
      </c>
      <c r="B36" s="4"/>
      <c r="C36" s="4"/>
      <c r="D36" s="11" t="e">
        <f>IF(F32=0,D37,F31)</f>
        <v>#REF!</v>
      </c>
      <c r="E36" s="33" t="e">
        <f>IF(G32=0,H34,G31)</f>
        <v>#REF!</v>
      </c>
      <c r="F36" s="33" t="e">
        <f>IF(G32=0,H34,H31)</f>
        <v>#REF!</v>
      </c>
      <c r="G36" s="11" t="e">
        <f>IF(L48=0,0,G39)</f>
        <v>#REF!</v>
      </c>
      <c r="H36" s="14" t="e">
        <f>IF(J32=0,K31,J31)</f>
        <v>#REF!</v>
      </c>
      <c r="I36" s="11" t="e">
        <f>IF(L46=3,K31,IF(L46=2,L31,IF(L46=1,0)))</f>
        <v>#REF!</v>
      </c>
      <c r="J36" s="4"/>
      <c r="K36" s="4"/>
      <c r="L36" s="14" t="e">
        <f>SUM(A32:J32)</f>
        <v>#REF!</v>
      </c>
    </row>
    <row r="37" spans="1:12">
      <c r="A37" s="11" t="e">
        <f>IF(F32=0,A38,F31)</f>
        <v>#REF!</v>
      </c>
      <c r="B37" s="4"/>
      <c r="C37" s="4"/>
      <c r="D37" s="11" t="e">
        <f>IF(G32=0,H34,G31)</f>
        <v>#REF!</v>
      </c>
      <c r="E37" s="33" t="e">
        <f>IF(F32=0,E38,F31)</f>
        <v>#REF!</v>
      </c>
      <c r="F37" s="11" t="e">
        <f>IF(L49=0,F38,F39)</f>
        <v>#REF!</v>
      </c>
      <c r="G37" s="11" t="e">
        <f>IF(L49=0,H41,H38)</f>
        <v>#REF!</v>
      </c>
      <c r="H37" s="11" t="e">
        <f>IF(I32=0,J31,I31)</f>
        <v>#REF!</v>
      </c>
      <c r="I37" s="11" t="e">
        <f>IF(L49=0,0,I38)</f>
        <v>#REF!</v>
      </c>
      <c r="J37" s="4"/>
      <c r="K37" s="4"/>
      <c r="L37" s="14" t="e">
        <f>SUM(A32:I32)</f>
        <v>#REF!</v>
      </c>
    </row>
    <row r="38" spans="1:12">
      <c r="A38" s="11" t="e">
        <f>IF(G32=0,A39,G31)</f>
        <v>#REF!</v>
      </c>
      <c r="B38" s="4"/>
      <c r="C38" s="4"/>
      <c r="D38" s="32" t="e">
        <f>IF(F31=0,D39,D42)</f>
        <v>#REF!</v>
      </c>
      <c r="E38" s="33" t="e">
        <f>IF(G32=0,H31,G31)</f>
        <v>#REF!</v>
      </c>
      <c r="F38" s="11" t="e">
        <f>IF(G31=0,H41,H38)</f>
        <v>#REF!</v>
      </c>
      <c r="G38" s="14" t="e">
        <f>IF(L49=0,H42,G35)</f>
        <v>#REF!</v>
      </c>
      <c r="H38" s="32" t="e">
        <f>IF(L47=0,0,IF(L47=1,L31,IF(L47=2,H39,IF(L47=3,J31))))</f>
        <v>#REF!</v>
      </c>
      <c r="I38" s="11" t="e">
        <f>IF(L48=0,0,I39)</f>
        <v>#REF!</v>
      </c>
      <c r="J38" s="4"/>
      <c r="K38" s="4"/>
      <c r="L38" s="33" t="e">
        <f>SUM(A32:H32)</f>
        <v>#REF!</v>
      </c>
    </row>
    <row r="39" spans="1:12">
      <c r="A39" s="11" t="e">
        <f>IF(I32=0,A40,I31)</f>
        <v>#REF!</v>
      </c>
      <c r="B39" s="4"/>
      <c r="C39" s="4"/>
      <c r="D39" s="32" t="e">
        <f>IF(G31=0,H38,H31)</f>
        <v>#REF!</v>
      </c>
      <c r="E39" s="14" t="e">
        <f>IF(L49=2,E40,E43)</f>
        <v>#REF!</v>
      </c>
      <c r="F39" s="32" t="e">
        <f>IF(L48=0,H41,F40)</f>
        <v>#REF!</v>
      </c>
      <c r="G39" s="11" t="e">
        <f>IF(L49=0,0,H42)</f>
        <v>#REF!</v>
      </c>
      <c r="H39" s="11" t="e">
        <f>IF(I32=0,K31,H40)</f>
        <v>#REF!</v>
      </c>
      <c r="I39" s="11" t="e">
        <f>IF(L47=3,L31,I40)</f>
        <v>#REF!</v>
      </c>
      <c r="J39" s="4"/>
      <c r="K39" s="4"/>
      <c r="L39" s="11" t="e">
        <f>SUM(A32:G32)</f>
        <v>#REF!</v>
      </c>
    </row>
    <row r="40" spans="1:12">
      <c r="A40" s="11" t="e">
        <f>IF(J32=0,A41,J31)</f>
        <v>#REF!</v>
      </c>
      <c r="B40" s="4"/>
      <c r="C40" s="4"/>
      <c r="D40" s="32" t="e">
        <f>IF(F32=0,D41,F31)</f>
        <v>#REF!</v>
      </c>
      <c r="E40" s="11" t="e">
        <f>IF(F32=0,E41,E42)</f>
        <v>#REF!</v>
      </c>
      <c r="F40" s="32" t="e">
        <f>IF(G32=0,H38,H34)</f>
        <v>#REF!</v>
      </c>
      <c r="G40" s="4"/>
      <c r="H40" s="11" t="e">
        <f>IF(J32=0,K31,J31)</f>
        <v>#REF!</v>
      </c>
      <c r="I40" s="11" t="e">
        <f>IF(L47=2,L31,0)</f>
        <v>#REF!</v>
      </c>
      <c r="J40" s="4"/>
      <c r="K40" s="4"/>
      <c r="L40" s="11" t="e">
        <f>SUM(A32:F32)</f>
        <v>#REF!</v>
      </c>
    </row>
    <row r="41" spans="1:12">
      <c r="A41" s="11" t="e">
        <f>IF(K32=0,0,K31)</f>
        <v>#REF!</v>
      </c>
      <c r="B41" s="4"/>
      <c r="C41" s="4"/>
      <c r="D41" s="32" t="e">
        <f>IF(G32=0,H31,G31)</f>
        <v>#REF!</v>
      </c>
      <c r="E41" s="11" t="e">
        <f>IF(G32=0,H38,H31)</f>
        <v>#REF!</v>
      </c>
      <c r="F41" s="14" t="e">
        <f>IF(L49=0,F43,F42)</f>
        <v>#REF!</v>
      </c>
      <c r="G41" s="4"/>
      <c r="H41" s="32" t="e">
        <f>IF(L47=3,K31,IF(L47=2,L31,0))</f>
        <v>#REF!</v>
      </c>
      <c r="I41" s="4"/>
      <c r="J41" s="4"/>
      <c r="K41" s="4"/>
      <c r="L41" s="33" t="e">
        <f>SUM(A32:E32)</f>
        <v>#REF!</v>
      </c>
    </row>
    <row r="42" spans="1:12">
      <c r="A42" s="4"/>
      <c r="B42" s="4"/>
      <c r="C42" s="4"/>
      <c r="D42" s="32" t="e">
        <f>IF(G32=0,H31,G31)</f>
        <v>#REF!</v>
      </c>
      <c r="E42" s="11" t="e">
        <f>IF(G32=0,H31,G31)</f>
        <v>#REF!</v>
      </c>
      <c r="F42" s="14" t="e">
        <f>IF(G32=0,H41,H38)</f>
        <v>#REF!</v>
      </c>
      <c r="G42" s="4"/>
      <c r="H42" s="33" t="e">
        <f>IF(L47=3,L31,0)</f>
        <v>#REF!</v>
      </c>
      <c r="I42" s="4"/>
      <c r="J42" s="4"/>
      <c r="K42" s="4"/>
      <c r="L42" s="10" t="e">
        <f>SUM(A32:D32)</f>
        <v>#REF!</v>
      </c>
    </row>
    <row r="43" spans="1:12">
      <c r="A43" s="4"/>
      <c r="B43" s="4"/>
      <c r="C43" s="4"/>
      <c r="D43" s="11" t="e">
        <f>IF(L48=3,H31,IF(L48=2,H34,IF(L48=1,H38,IF(L48=0,H42))))</f>
        <v>#REF!</v>
      </c>
      <c r="E43" s="14" t="e">
        <f>IF(F32=0,E44,E45)</f>
        <v>#REF!</v>
      </c>
      <c r="F43" s="14" t="e">
        <f>IF(G31=0,H42,H41)</f>
        <v>#REF!</v>
      </c>
      <c r="G43" s="4"/>
      <c r="H43" s="14" t="e">
        <f>IF(L49=0,H42,H41)</f>
        <v>#REF!</v>
      </c>
      <c r="I43" s="4"/>
      <c r="J43" s="4"/>
      <c r="K43" s="4"/>
      <c r="L43" s="10" t="e">
        <f>SUM(A32:C32)</f>
        <v>#REF!</v>
      </c>
    </row>
    <row r="44" spans="1:12">
      <c r="A44" s="4"/>
      <c r="B44" s="4"/>
      <c r="C44" s="4"/>
      <c r="D44" s="4"/>
      <c r="E44" s="14" t="e">
        <f>IF(G32=0,H34,H31)</f>
        <v>#REF!</v>
      </c>
      <c r="F44" s="14" t="e">
        <f>IF(G31=0,0,H42)</f>
        <v>#REF!</v>
      </c>
      <c r="G44" s="4"/>
      <c r="H44" s="11" t="e">
        <f>IF(L49=0,0,H42)</f>
        <v>#REF!</v>
      </c>
      <c r="I44" s="4"/>
      <c r="J44" s="4"/>
      <c r="K44" s="4"/>
      <c r="L44" s="10" t="e">
        <f>SUM(A32:B32)</f>
        <v>#REF!</v>
      </c>
    </row>
    <row r="45" spans="1:12">
      <c r="A45" s="4"/>
      <c r="B45" s="4"/>
      <c r="C45" s="4"/>
      <c r="D45" s="4"/>
      <c r="E45" s="14" t="e">
        <f>IF(G32=0,H31,G31)</f>
        <v>#REF!</v>
      </c>
      <c r="F45" s="4"/>
      <c r="G45" s="4"/>
      <c r="H45" s="4"/>
      <c r="I45" s="4"/>
      <c r="J45" s="4"/>
      <c r="K45" s="4"/>
      <c r="L45" s="10" t="e">
        <f>SUM(A32)</f>
        <v>#REF!</v>
      </c>
    </row>
    <row r="46" spans="1:12">
      <c r="A46" s="4"/>
      <c r="B46" s="4"/>
      <c r="C46" s="4"/>
      <c r="D46" s="4"/>
      <c r="E46" s="33" t="e">
        <f>IF(F32=0,E47,E48)</f>
        <v>#REF!</v>
      </c>
      <c r="F46" s="4"/>
      <c r="G46" s="4"/>
      <c r="H46" s="4"/>
      <c r="I46" s="4"/>
      <c r="J46" s="4"/>
      <c r="K46" s="4"/>
      <c r="L46" s="11" t="e">
        <f>SUM(J32:L32)</f>
        <v>#REF!</v>
      </c>
    </row>
    <row r="47" spans="1:12">
      <c r="A47" s="4"/>
      <c r="B47" s="4"/>
      <c r="C47" s="4"/>
      <c r="D47" s="4"/>
      <c r="E47" s="33" t="e">
        <f>IF(G32=0,H41,H34)</f>
        <v>#REF!</v>
      </c>
      <c r="F47" s="4"/>
      <c r="G47" s="4"/>
      <c r="H47" s="4"/>
      <c r="I47" s="4"/>
      <c r="J47" s="4"/>
      <c r="K47" s="4"/>
      <c r="L47" s="33" t="e">
        <f>SUM(I32:K32)</f>
        <v>#REF!</v>
      </c>
    </row>
    <row r="48" spans="1:12">
      <c r="A48" s="4"/>
      <c r="B48" s="4"/>
      <c r="C48" s="4"/>
      <c r="D48" s="4"/>
      <c r="E48" s="33" t="e">
        <f>IF(G31=0,H34,H31)</f>
        <v>#REF!</v>
      </c>
      <c r="F48" s="4"/>
      <c r="G48" s="4"/>
      <c r="H48" s="4"/>
      <c r="I48" s="4"/>
      <c r="J48" s="4"/>
      <c r="K48" s="4"/>
      <c r="L48" s="10" t="e">
        <f>SUM(E32:G32)</f>
        <v>#REF!</v>
      </c>
    </row>
    <row r="49" spans="1:12">
      <c r="A49" s="4"/>
      <c r="B49" s="4"/>
      <c r="C49" s="4"/>
      <c r="D49" s="4"/>
      <c r="E49" s="32" t="e">
        <f>IF(F31=0,E50,E51)</f>
        <v>#REF!</v>
      </c>
      <c r="F49" s="4"/>
      <c r="G49" s="4"/>
      <c r="H49" s="4"/>
      <c r="I49" s="4"/>
      <c r="J49" s="4"/>
      <c r="K49" s="4"/>
      <c r="L49" s="33" t="e">
        <f>SUM(A32:C32)</f>
        <v>#REF!</v>
      </c>
    </row>
    <row r="50" spans="1:12">
      <c r="A50" s="4"/>
      <c r="B50" s="4"/>
      <c r="C50" s="4"/>
      <c r="D50" s="4"/>
      <c r="E50" s="32" t="e">
        <f>IF(G31=0,0,H41)</f>
        <v>#REF!</v>
      </c>
      <c r="F50" s="4"/>
      <c r="G50" s="4"/>
      <c r="H50" s="4"/>
      <c r="I50" s="4"/>
      <c r="J50" s="4"/>
      <c r="K50" s="4"/>
      <c r="L50" s="4"/>
    </row>
    <row r="51" spans="1:12">
      <c r="A51" s="4"/>
      <c r="B51" s="4"/>
      <c r="C51" s="4"/>
      <c r="D51" s="4"/>
      <c r="E51" s="32" t="e">
        <f>IF(G32=0,H41,H38)</f>
        <v>#REF!</v>
      </c>
      <c r="F51" s="4"/>
      <c r="G51" s="4"/>
      <c r="H51" s="4"/>
      <c r="I51" s="4"/>
      <c r="J51" s="4"/>
      <c r="K51" s="4"/>
      <c r="L51" s="4"/>
    </row>
    <row r="52" spans="1:12">
      <c r="A52" s="4"/>
      <c r="B52" s="4"/>
      <c r="C52" s="4"/>
      <c r="D52" s="4"/>
      <c r="E52" s="33" t="e">
        <f>IF(L49=0,E53,E46)</f>
        <v>#REF!</v>
      </c>
      <c r="F52" s="4"/>
      <c r="G52" s="4"/>
      <c r="H52" s="4"/>
      <c r="I52" s="4"/>
      <c r="J52" s="4"/>
      <c r="K52" s="4"/>
      <c r="L52" s="4"/>
    </row>
    <row r="53" spans="1:12">
      <c r="A53" s="4"/>
      <c r="B53" s="4"/>
      <c r="C53" s="4"/>
      <c r="D53" s="4"/>
      <c r="E53" s="33" t="e">
        <f>IF(L48=3,H34,IF(L48=2,H38,IF(L48=1,H41,0)))</f>
        <v>#REF!</v>
      </c>
      <c r="F53" s="4"/>
      <c r="G53" s="4"/>
      <c r="H53" s="4"/>
      <c r="I53" s="4"/>
      <c r="J53" s="4"/>
      <c r="K53" s="4"/>
      <c r="L53" s="4"/>
    </row>
    <row r="54" spans="1:12">
      <c r="A54" s="8" t="e">
        <f t="shared" ref="A54:L54" si="2">LEN(A33)</f>
        <v>#REF!</v>
      </c>
      <c r="B54" s="8" t="e">
        <f t="shared" si="2"/>
        <v>#REF!</v>
      </c>
      <c r="C54" s="8" t="e">
        <f t="shared" si="2"/>
        <v>#REF!</v>
      </c>
      <c r="D54" s="8" t="e">
        <f t="shared" si="2"/>
        <v>#REF!</v>
      </c>
      <c r="E54" s="8" t="e">
        <f t="shared" si="2"/>
        <v>#REF!</v>
      </c>
      <c r="F54" s="8" t="e">
        <f t="shared" si="2"/>
        <v>#REF!</v>
      </c>
      <c r="G54" s="8" t="e">
        <f t="shared" si="2"/>
        <v>#REF!</v>
      </c>
      <c r="H54" s="8" t="e">
        <f t="shared" si="2"/>
        <v>#REF!</v>
      </c>
      <c r="I54" s="8" t="e">
        <f t="shared" si="2"/>
        <v>#REF!</v>
      </c>
      <c r="J54" s="8" t="e">
        <f t="shared" si="2"/>
        <v>#REF!</v>
      </c>
      <c r="K54" s="8" t="e">
        <f t="shared" si="2"/>
        <v>#REF!</v>
      </c>
      <c r="L54" s="8" t="e">
        <f t="shared" si="2"/>
        <v>#REF!</v>
      </c>
    </row>
    <row r="55" spans="1:12">
      <c r="A55" s="11"/>
      <c r="B55" s="11"/>
      <c r="C55" s="11"/>
      <c r="D55" s="11"/>
      <c r="E55" s="11" t="e">
        <f>SUM(A54:E54)</f>
        <v>#REF!</v>
      </c>
      <c r="F55" s="11" t="e">
        <f>SUM(A54:F54)</f>
        <v>#REF!</v>
      </c>
      <c r="G55" s="11" t="e">
        <f>SUM(A54:G54)</f>
        <v>#REF!</v>
      </c>
      <c r="H55" s="11" t="e">
        <f>SUM(A54:H54)</f>
        <v>#REF!</v>
      </c>
      <c r="I55" s="11" t="e">
        <f>SUM(A54:I54)</f>
        <v>#REF!</v>
      </c>
      <c r="J55" s="11" t="e">
        <f>SUM(A54:J54)</f>
        <v>#REF!</v>
      </c>
      <c r="K55" s="11" t="e">
        <f>SUM(A54:K54)</f>
        <v>#REF!</v>
      </c>
      <c r="L55" s="11" t="e">
        <f>SUM(A54:L54)</f>
        <v>#REF!</v>
      </c>
    </row>
    <row r="56" spans="1:12">
      <c r="A56" s="10" t="e">
        <f>IF(A33=0,"    ",A33)</f>
        <v>#REF!</v>
      </c>
      <c r="B56" s="10" t="e">
        <f>IF(B33=0,"    ",B33)</f>
        <v>#REF!</v>
      </c>
      <c r="C56" s="10" t="e">
        <f t="shared" ref="C56:K56" si="3">IF(C33=0," ",C33)</f>
        <v>#REF!</v>
      </c>
      <c r="D56" s="10" t="e">
        <f t="shared" si="3"/>
        <v>#REF!</v>
      </c>
      <c r="E56" s="10" t="e">
        <f t="shared" si="3"/>
        <v>#REF!</v>
      </c>
      <c r="F56" s="10" t="e">
        <f t="shared" si="3"/>
        <v>#REF!</v>
      </c>
      <c r="G56" s="10" t="e">
        <f t="shared" si="3"/>
        <v>#REF!</v>
      </c>
      <c r="H56" s="10" t="e">
        <f t="shared" si="3"/>
        <v>#REF!</v>
      </c>
      <c r="I56" s="10" t="e">
        <f t="shared" si="3"/>
        <v>#REF!</v>
      </c>
      <c r="J56" s="10" t="e">
        <f t="shared" si="3"/>
        <v>#REF!</v>
      </c>
      <c r="K56" s="10" t="e">
        <f t="shared" si="3"/>
        <v>#REF!</v>
      </c>
      <c r="L56" s="10" t="str">
        <f>IF(B61=0,"    ",B61)</f>
        <v>qəp.</v>
      </c>
    </row>
    <row r="57" spans="1:12">
      <c r="A57" s="10" t="e">
        <f>CONCATENATE(D57,A56,B56,C56,D56,E56,F56,G56,H56,I56,J56,L56,K56)</f>
        <v>#REF!</v>
      </c>
      <c r="B57" s="10"/>
      <c r="C57" s="10"/>
      <c r="D57" s="10" t="s">
        <v>82</v>
      </c>
      <c r="E57" s="10"/>
      <c r="F57" s="10"/>
      <c r="G57" s="10"/>
      <c r="H57" s="10"/>
      <c r="I57" s="10"/>
      <c r="J57" s="10"/>
      <c r="K57" s="10"/>
      <c r="L57" s="10"/>
    </row>
    <row r="58" spans="1:12">
      <c r="A58" s="36"/>
      <c r="B58" s="37">
        <f>ROUND(A58,0)</f>
        <v>0</v>
      </c>
    </row>
    <row r="59" spans="1:12">
      <c r="A59" s="6" t="s">
        <v>83</v>
      </c>
      <c r="B59" s="38" t="e">
        <f>M13/6</f>
        <v>#REF!</v>
      </c>
      <c r="C59" s="6" t="s">
        <v>84</v>
      </c>
      <c r="D59" s="39"/>
    </row>
    <row r="60" spans="1:12">
      <c r="A60" s="13" t="e">
        <f>CONCATENATE(A59,B59,C59)</f>
        <v>#REF!</v>
      </c>
      <c r="D60" s="39"/>
    </row>
    <row r="61" spans="1:12">
      <c r="A61" s="6" t="e">
        <f>(M5-M8)*100</f>
        <v>#REF!</v>
      </c>
      <c r="B61" s="6" t="s">
        <v>85</v>
      </c>
      <c r="D61" s="39"/>
    </row>
    <row r="62" spans="1:12">
      <c r="A62" s="19">
        <f>M11</f>
        <v>0</v>
      </c>
      <c r="B62" s="12">
        <f>M12/6</f>
        <v>0</v>
      </c>
      <c r="D62" s="39"/>
    </row>
    <row r="63" spans="1:12">
      <c r="A63" s="40" t="str">
        <f>CONCATENATE(B62,C59)</f>
        <v>0ман.</v>
      </c>
    </row>
    <row r="64" spans="1:12">
      <c r="A64" s="6" t="e">
        <f>CONCATENATE(A56,B56,C55,C56,D56,E56,F56,G56,H56,I56,J56,K56)</f>
        <v>#REF!</v>
      </c>
      <c r="L64" s="6" t="e">
        <f>IF(L33=0,"    ",L33)</f>
        <v>#REF!</v>
      </c>
    </row>
  </sheetData>
  <sheetProtection sheet="1" objects="1" scenarios="1"/>
  <phoneticPr fontId="5" type="noConversion"/>
  <pageMargins left="0.75" right="0.75" top="1" bottom="1" header="0.5" footer="0.5"/>
  <pageSetup paperSize="9" orientation="portrait" r:id="rId1"/>
  <headerFooter alignWithMargins="0"/>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codeName="Worksheet____3"/>
  <dimension ref="A1:J74"/>
  <sheetViews>
    <sheetView workbookViewId="0">
      <pane ySplit="7" topLeftCell="A8" activePane="bottomLeft" state="frozen"/>
      <selection pane="bottomLeft"/>
    </sheetView>
  </sheetViews>
  <sheetFormatPr defaultRowHeight="11.25"/>
  <cols>
    <col min="1" max="1" width="3.7109375" style="45" customWidth="1"/>
    <col min="2" max="2" width="8.7109375" style="45" customWidth="1"/>
    <col min="3" max="3" width="3.7109375" style="65" customWidth="1"/>
    <col min="4" max="7" width="14.7109375" style="46" customWidth="1"/>
    <col min="8" max="8" width="12.28515625" style="45" hidden="1" customWidth="1"/>
    <col min="9" max="10" width="9.140625" style="46" hidden="1" customWidth="1"/>
    <col min="11" max="16384" width="9.140625" style="45"/>
  </cols>
  <sheetData>
    <row r="1" spans="1:10">
      <c r="A1" s="1260" t="s">
        <v>100</v>
      </c>
      <c r="B1" s="1260"/>
      <c r="C1" s="1257">
        <f>PP!D10</f>
        <v>1272</v>
      </c>
      <c r="D1" s="1257"/>
      <c r="E1" s="42" t="s">
        <v>101</v>
      </c>
      <c r="F1" s="43">
        <f>IF(ISERROR(ROUNDUP(PMT(ir,per-gr,-am)/J1,0)*J1),"",ROUNDUP(PMT(ir,per-gr,-am)/J1,0)*J1)</f>
        <v>106</v>
      </c>
      <c r="G1" s="44">
        <f>PMT(ir,per-gr,-am)</f>
        <v>106</v>
      </c>
      <c r="I1" s="43"/>
      <c r="J1" s="46">
        <f>Data!F74</f>
        <v>1</v>
      </c>
    </row>
    <row r="2" spans="1:10">
      <c r="A2" s="1260" t="s">
        <v>102</v>
      </c>
      <c r="B2" s="1260"/>
      <c r="C2" s="1257">
        <f>PP!D12</f>
        <v>12</v>
      </c>
      <c r="D2" s="1257"/>
      <c r="E2" s="47" t="s">
        <v>103</v>
      </c>
      <c r="F2" s="46" t="s">
        <v>104</v>
      </c>
      <c r="I2" s="43"/>
    </row>
    <row r="3" spans="1:10">
      <c r="A3" s="1260" t="s">
        <v>105</v>
      </c>
      <c r="B3" s="1260"/>
      <c r="C3" s="1257">
        <f>PP!D13</f>
        <v>0</v>
      </c>
      <c r="D3" s="1257"/>
      <c r="E3" s="46" t="str">
        <f>pi</f>
        <v>месяц</v>
      </c>
      <c r="F3" s="48"/>
      <c r="G3" s="49">
        <f>ROUND(G1*(per-gr),2)+(F8*gr)</f>
        <v>1272</v>
      </c>
      <c r="I3" s="43"/>
    </row>
    <row r="4" spans="1:10" ht="12" thickBot="1">
      <c r="A4" s="1264" t="s">
        <v>106</v>
      </c>
      <c r="B4" s="1264"/>
      <c r="C4" s="1257">
        <f>PP!D11</f>
        <v>0</v>
      </c>
      <c r="D4" s="1257"/>
      <c r="E4" s="50" t="s">
        <v>87</v>
      </c>
      <c r="F4" s="51">
        <f>F68</f>
        <v>0</v>
      </c>
      <c r="G4" s="51">
        <f>G3-am</f>
        <v>0</v>
      </c>
      <c r="I4" s="43"/>
    </row>
    <row r="5" spans="1:10" ht="12" thickBot="1">
      <c r="A5" s="52" t="s">
        <v>117</v>
      </c>
      <c r="B5" s="53"/>
      <c r="C5" s="1265">
        <f>IF(pi="месяц",C4/1200,(IF(pi="квартал",C4/400,(IF(pi="полугодие",C4/200,0)))))</f>
        <v>0</v>
      </c>
      <c r="D5" s="1265"/>
      <c r="E5" s="54">
        <f>(ir*100)%</f>
        <v>0</v>
      </c>
      <c r="F5" s="55">
        <f>G4-F4</f>
        <v>0</v>
      </c>
      <c r="H5" s="41"/>
    </row>
    <row r="6" spans="1:10">
      <c r="A6" s="1261" t="s">
        <v>107</v>
      </c>
      <c r="B6" s="1262"/>
      <c r="C6" s="1263"/>
      <c r="D6" s="56" t="s">
        <v>108</v>
      </c>
      <c r="E6" s="1258" t="s">
        <v>109</v>
      </c>
      <c r="F6" s="1258"/>
      <c r="G6" s="1259"/>
    </row>
    <row r="7" spans="1:10" ht="12" thickBot="1">
      <c r="A7" s="57"/>
      <c r="B7" s="58" t="s">
        <v>110</v>
      </c>
      <c r="C7" s="59"/>
      <c r="D7" s="60" t="s">
        <v>111</v>
      </c>
      <c r="E7" s="61" t="s">
        <v>112</v>
      </c>
      <c r="F7" s="62" t="s">
        <v>113</v>
      </c>
      <c r="G7" s="63" t="s">
        <v>114</v>
      </c>
    </row>
    <row r="8" spans="1:10">
      <c r="A8" s="64" t="s">
        <v>115</v>
      </c>
      <c r="B8" s="41" t="str">
        <f>pi</f>
        <v>месяц</v>
      </c>
      <c r="C8" s="65">
        <v>1</v>
      </c>
      <c r="D8" s="66">
        <f>C1</f>
        <v>1272</v>
      </c>
      <c r="E8" s="46">
        <f>H8-F8</f>
        <v>106</v>
      </c>
      <c r="F8" s="67">
        <f t="shared" ref="F8:F39" si="0">ROUND(D8*ir,0)</f>
        <v>0</v>
      </c>
      <c r="G8" s="68">
        <f t="shared" ref="G8:G39" si="1">SUM(E8:F8)</f>
        <v>106</v>
      </c>
      <c r="H8" s="46">
        <f t="shared" ref="H8:H39" si="2">IF(((gr+1)-C8)&gt;0,ROUND(am*ir,0),(IF(D8&lt;0.1,0,$F$1)))</f>
        <v>106</v>
      </c>
    </row>
    <row r="9" spans="1:10">
      <c r="A9" s="64" t="str">
        <f t="shared" ref="A9:A40" si="3">IF(per-C9&gt;-1,"Д +","-")</f>
        <v>Д +</v>
      </c>
      <c r="B9" s="41" t="str">
        <f t="shared" ref="B9:B40" si="4">IF(per-C9&gt;-1,pi,"-")</f>
        <v>месяц</v>
      </c>
      <c r="C9" s="65">
        <v>2</v>
      </c>
      <c r="D9" s="66">
        <f t="shared" ref="D9:D40" si="5">IF(D8-E8&lt;0,0,D8-E8)</f>
        <v>1166</v>
      </c>
      <c r="E9" s="46">
        <f t="shared" ref="E9:E40" si="6">IF(IF(D9=0,0,H9-F9)&gt;D9,D9,IF(D9=0,0,H9-F9))</f>
        <v>106</v>
      </c>
      <c r="F9" s="67">
        <f t="shared" si="0"/>
        <v>0</v>
      </c>
      <c r="G9" s="68">
        <f t="shared" si="1"/>
        <v>106</v>
      </c>
      <c r="H9" s="46">
        <f t="shared" si="2"/>
        <v>106</v>
      </c>
    </row>
    <row r="10" spans="1:10">
      <c r="A10" s="64" t="str">
        <f t="shared" si="3"/>
        <v>Д +</v>
      </c>
      <c r="B10" s="41" t="str">
        <f t="shared" si="4"/>
        <v>месяц</v>
      </c>
      <c r="C10" s="65">
        <v>3</v>
      </c>
      <c r="D10" s="66">
        <f t="shared" si="5"/>
        <v>1060</v>
      </c>
      <c r="E10" s="46">
        <f t="shared" si="6"/>
        <v>106</v>
      </c>
      <c r="F10" s="67">
        <f t="shared" si="0"/>
        <v>0</v>
      </c>
      <c r="G10" s="68">
        <f t="shared" si="1"/>
        <v>106</v>
      </c>
      <c r="H10" s="46">
        <f t="shared" si="2"/>
        <v>106</v>
      </c>
    </row>
    <row r="11" spans="1:10">
      <c r="A11" s="64" t="str">
        <f t="shared" si="3"/>
        <v>Д +</v>
      </c>
      <c r="B11" s="41" t="str">
        <f t="shared" si="4"/>
        <v>месяц</v>
      </c>
      <c r="C11" s="65">
        <v>4</v>
      </c>
      <c r="D11" s="66">
        <f t="shared" si="5"/>
        <v>954</v>
      </c>
      <c r="E11" s="46">
        <f t="shared" si="6"/>
        <v>106</v>
      </c>
      <c r="F11" s="67">
        <f t="shared" si="0"/>
        <v>0</v>
      </c>
      <c r="G11" s="68">
        <f t="shared" si="1"/>
        <v>106</v>
      </c>
      <c r="H11" s="46">
        <f t="shared" si="2"/>
        <v>106</v>
      </c>
    </row>
    <row r="12" spans="1:10">
      <c r="A12" s="64" t="str">
        <f t="shared" si="3"/>
        <v>Д +</v>
      </c>
      <c r="B12" s="41" t="str">
        <f t="shared" si="4"/>
        <v>месяц</v>
      </c>
      <c r="C12" s="65">
        <v>5</v>
      </c>
      <c r="D12" s="66">
        <f t="shared" si="5"/>
        <v>848</v>
      </c>
      <c r="E12" s="46">
        <f t="shared" si="6"/>
        <v>106</v>
      </c>
      <c r="F12" s="67">
        <f t="shared" si="0"/>
        <v>0</v>
      </c>
      <c r="G12" s="68">
        <f t="shared" si="1"/>
        <v>106</v>
      </c>
      <c r="H12" s="46">
        <f t="shared" si="2"/>
        <v>106</v>
      </c>
    </row>
    <row r="13" spans="1:10">
      <c r="A13" s="64" t="str">
        <f t="shared" si="3"/>
        <v>Д +</v>
      </c>
      <c r="B13" s="41" t="str">
        <f t="shared" si="4"/>
        <v>месяц</v>
      </c>
      <c r="C13" s="65">
        <v>6</v>
      </c>
      <c r="D13" s="66">
        <f t="shared" si="5"/>
        <v>742</v>
      </c>
      <c r="E13" s="46">
        <f t="shared" si="6"/>
        <v>106</v>
      </c>
      <c r="F13" s="67">
        <f t="shared" si="0"/>
        <v>0</v>
      </c>
      <c r="G13" s="68">
        <f t="shared" si="1"/>
        <v>106</v>
      </c>
      <c r="H13" s="46">
        <f t="shared" si="2"/>
        <v>106</v>
      </c>
    </row>
    <row r="14" spans="1:10">
      <c r="A14" s="64" t="str">
        <f t="shared" si="3"/>
        <v>Д +</v>
      </c>
      <c r="B14" s="41" t="str">
        <f t="shared" si="4"/>
        <v>месяц</v>
      </c>
      <c r="C14" s="65">
        <v>7</v>
      </c>
      <c r="D14" s="66">
        <f t="shared" si="5"/>
        <v>636</v>
      </c>
      <c r="E14" s="46">
        <f t="shared" si="6"/>
        <v>106</v>
      </c>
      <c r="F14" s="67">
        <f t="shared" si="0"/>
        <v>0</v>
      </c>
      <c r="G14" s="68">
        <f t="shared" si="1"/>
        <v>106</v>
      </c>
      <c r="H14" s="46">
        <f t="shared" si="2"/>
        <v>106</v>
      </c>
    </row>
    <row r="15" spans="1:10">
      <c r="A15" s="64" t="str">
        <f t="shared" si="3"/>
        <v>Д +</v>
      </c>
      <c r="B15" s="41" t="str">
        <f t="shared" si="4"/>
        <v>месяц</v>
      </c>
      <c r="C15" s="65">
        <v>8</v>
      </c>
      <c r="D15" s="66">
        <f t="shared" si="5"/>
        <v>530</v>
      </c>
      <c r="E15" s="46">
        <f t="shared" si="6"/>
        <v>106</v>
      </c>
      <c r="F15" s="67">
        <f t="shared" si="0"/>
        <v>0</v>
      </c>
      <c r="G15" s="68">
        <f t="shared" si="1"/>
        <v>106</v>
      </c>
      <c r="H15" s="46">
        <f t="shared" si="2"/>
        <v>106</v>
      </c>
    </row>
    <row r="16" spans="1:10">
      <c r="A16" s="64" t="str">
        <f t="shared" si="3"/>
        <v>Д +</v>
      </c>
      <c r="B16" s="41" t="str">
        <f t="shared" si="4"/>
        <v>месяц</v>
      </c>
      <c r="C16" s="65">
        <v>9</v>
      </c>
      <c r="D16" s="66">
        <f t="shared" si="5"/>
        <v>424</v>
      </c>
      <c r="E16" s="46">
        <f t="shared" si="6"/>
        <v>106</v>
      </c>
      <c r="F16" s="67">
        <f t="shared" si="0"/>
        <v>0</v>
      </c>
      <c r="G16" s="68">
        <f t="shared" si="1"/>
        <v>106</v>
      </c>
      <c r="H16" s="46">
        <f t="shared" si="2"/>
        <v>106</v>
      </c>
    </row>
    <row r="17" spans="1:8">
      <c r="A17" s="64" t="str">
        <f t="shared" si="3"/>
        <v>Д +</v>
      </c>
      <c r="B17" s="41" t="str">
        <f t="shared" si="4"/>
        <v>месяц</v>
      </c>
      <c r="C17" s="65">
        <v>10</v>
      </c>
      <c r="D17" s="66">
        <f t="shared" si="5"/>
        <v>318</v>
      </c>
      <c r="E17" s="46">
        <f t="shared" si="6"/>
        <v>106</v>
      </c>
      <c r="F17" s="67">
        <f t="shared" si="0"/>
        <v>0</v>
      </c>
      <c r="G17" s="68">
        <f t="shared" si="1"/>
        <v>106</v>
      </c>
      <c r="H17" s="46">
        <f t="shared" si="2"/>
        <v>106</v>
      </c>
    </row>
    <row r="18" spans="1:8">
      <c r="A18" s="64" t="str">
        <f t="shared" si="3"/>
        <v>Д +</v>
      </c>
      <c r="B18" s="41" t="str">
        <f t="shared" si="4"/>
        <v>месяц</v>
      </c>
      <c r="C18" s="65">
        <v>11</v>
      </c>
      <c r="D18" s="66">
        <f t="shared" si="5"/>
        <v>212</v>
      </c>
      <c r="E18" s="46">
        <f t="shared" si="6"/>
        <v>106</v>
      </c>
      <c r="F18" s="67">
        <f t="shared" si="0"/>
        <v>0</v>
      </c>
      <c r="G18" s="68">
        <f t="shared" si="1"/>
        <v>106</v>
      </c>
      <c r="H18" s="46">
        <f t="shared" si="2"/>
        <v>106</v>
      </c>
    </row>
    <row r="19" spans="1:8">
      <c r="A19" s="64" t="str">
        <f t="shared" si="3"/>
        <v>Д +</v>
      </c>
      <c r="B19" s="41" t="str">
        <f t="shared" si="4"/>
        <v>месяц</v>
      </c>
      <c r="C19" s="65">
        <v>12</v>
      </c>
      <c r="D19" s="66">
        <f t="shared" si="5"/>
        <v>106</v>
      </c>
      <c r="E19" s="46">
        <f t="shared" si="6"/>
        <v>106</v>
      </c>
      <c r="F19" s="67">
        <f t="shared" si="0"/>
        <v>0</v>
      </c>
      <c r="G19" s="68">
        <f t="shared" si="1"/>
        <v>106</v>
      </c>
      <c r="H19" s="46">
        <f t="shared" si="2"/>
        <v>106</v>
      </c>
    </row>
    <row r="20" spans="1:8">
      <c r="A20" s="64" t="str">
        <f t="shared" si="3"/>
        <v>-</v>
      </c>
      <c r="B20" s="41" t="str">
        <f t="shared" si="4"/>
        <v>-</v>
      </c>
      <c r="C20" s="65">
        <v>13</v>
      </c>
      <c r="D20" s="66">
        <f t="shared" si="5"/>
        <v>0</v>
      </c>
      <c r="E20" s="46">
        <f t="shared" si="6"/>
        <v>0</v>
      </c>
      <c r="F20" s="67">
        <f t="shared" si="0"/>
        <v>0</v>
      </c>
      <c r="G20" s="68">
        <f t="shared" si="1"/>
        <v>0</v>
      </c>
      <c r="H20" s="46">
        <f t="shared" si="2"/>
        <v>0</v>
      </c>
    </row>
    <row r="21" spans="1:8">
      <c r="A21" s="64" t="str">
        <f t="shared" si="3"/>
        <v>-</v>
      </c>
      <c r="B21" s="41" t="str">
        <f t="shared" si="4"/>
        <v>-</v>
      </c>
      <c r="C21" s="65">
        <v>14</v>
      </c>
      <c r="D21" s="66">
        <f t="shared" si="5"/>
        <v>0</v>
      </c>
      <c r="E21" s="46">
        <f t="shared" si="6"/>
        <v>0</v>
      </c>
      <c r="F21" s="67">
        <f t="shared" si="0"/>
        <v>0</v>
      </c>
      <c r="G21" s="68">
        <f t="shared" si="1"/>
        <v>0</v>
      </c>
      <c r="H21" s="46">
        <f t="shared" si="2"/>
        <v>0</v>
      </c>
    </row>
    <row r="22" spans="1:8">
      <c r="A22" s="64" t="str">
        <f t="shared" si="3"/>
        <v>-</v>
      </c>
      <c r="B22" s="41" t="str">
        <f t="shared" si="4"/>
        <v>-</v>
      </c>
      <c r="C22" s="65">
        <v>15</v>
      </c>
      <c r="D22" s="66">
        <f t="shared" si="5"/>
        <v>0</v>
      </c>
      <c r="E22" s="46">
        <f t="shared" si="6"/>
        <v>0</v>
      </c>
      <c r="F22" s="67">
        <f t="shared" si="0"/>
        <v>0</v>
      </c>
      <c r="G22" s="68">
        <f t="shared" si="1"/>
        <v>0</v>
      </c>
      <c r="H22" s="46">
        <f t="shared" si="2"/>
        <v>0</v>
      </c>
    </row>
    <row r="23" spans="1:8">
      <c r="A23" s="64" t="str">
        <f t="shared" si="3"/>
        <v>-</v>
      </c>
      <c r="B23" s="41" t="str">
        <f t="shared" si="4"/>
        <v>-</v>
      </c>
      <c r="C23" s="65">
        <v>16</v>
      </c>
      <c r="D23" s="66">
        <f t="shared" si="5"/>
        <v>0</v>
      </c>
      <c r="E23" s="46">
        <f t="shared" si="6"/>
        <v>0</v>
      </c>
      <c r="F23" s="67">
        <f t="shared" si="0"/>
        <v>0</v>
      </c>
      <c r="G23" s="68">
        <f t="shared" si="1"/>
        <v>0</v>
      </c>
      <c r="H23" s="46">
        <f t="shared" si="2"/>
        <v>0</v>
      </c>
    </row>
    <row r="24" spans="1:8">
      <c r="A24" s="64" t="str">
        <f t="shared" si="3"/>
        <v>-</v>
      </c>
      <c r="B24" s="41" t="str">
        <f t="shared" si="4"/>
        <v>-</v>
      </c>
      <c r="C24" s="65">
        <v>17</v>
      </c>
      <c r="D24" s="66">
        <f t="shared" si="5"/>
        <v>0</v>
      </c>
      <c r="E24" s="46">
        <f t="shared" si="6"/>
        <v>0</v>
      </c>
      <c r="F24" s="67">
        <f t="shared" si="0"/>
        <v>0</v>
      </c>
      <c r="G24" s="68">
        <f t="shared" si="1"/>
        <v>0</v>
      </c>
      <c r="H24" s="46">
        <f t="shared" si="2"/>
        <v>0</v>
      </c>
    </row>
    <row r="25" spans="1:8">
      <c r="A25" s="64" t="str">
        <f t="shared" si="3"/>
        <v>-</v>
      </c>
      <c r="B25" s="41" t="str">
        <f t="shared" si="4"/>
        <v>-</v>
      </c>
      <c r="C25" s="65">
        <v>18</v>
      </c>
      <c r="D25" s="66">
        <f t="shared" si="5"/>
        <v>0</v>
      </c>
      <c r="E25" s="46">
        <f t="shared" si="6"/>
        <v>0</v>
      </c>
      <c r="F25" s="67">
        <f t="shared" si="0"/>
        <v>0</v>
      </c>
      <c r="G25" s="68">
        <f t="shared" si="1"/>
        <v>0</v>
      </c>
      <c r="H25" s="46">
        <f t="shared" si="2"/>
        <v>0</v>
      </c>
    </row>
    <row r="26" spans="1:8">
      <c r="A26" s="64" t="str">
        <f t="shared" si="3"/>
        <v>-</v>
      </c>
      <c r="B26" s="41" t="str">
        <f t="shared" si="4"/>
        <v>-</v>
      </c>
      <c r="C26" s="65">
        <v>19</v>
      </c>
      <c r="D26" s="66">
        <f t="shared" si="5"/>
        <v>0</v>
      </c>
      <c r="E26" s="46">
        <f t="shared" si="6"/>
        <v>0</v>
      </c>
      <c r="F26" s="67">
        <f t="shared" si="0"/>
        <v>0</v>
      </c>
      <c r="G26" s="68">
        <f t="shared" si="1"/>
        <v>0</v>
      </c>
      <c r="H26" s="46">
        <f t="shared" si="2"/>
        <v>0</v>
      </c>
    </row>
    <row r="27" spans="1:8">
      <c r="A27" s="64" t="str">
        <f t="shared" si="3"/>
        <v>-</v>
      </c>
      <c r="B27" s="41" t="str">
        <f t="shared" si="4"/>
        <v>-</v>
      </c>
      <c r="C27" s="65">
        <v>20</v>
      </c>
      <c r="D27" s="66">
        <f t="shared" si="5"/>
        <v>0</v>
      </c>
      <c r="E27" s="46">
        <f t="shared" si="6"/>
        <v>0</v>
      </c>
      <c r="F27" s="67">
        <f t="shared" si="0"/>
        <v>0</v>
      </c>
      <c r="G27" s="68">
        <f t="shared" si="1"/>
        <v>0</v>
      </c>
      <c r="H27" s="46">
        <f t="shared" si="2"/>
        <v>0</v>
      </c>
    </row>
    <row r="28" spans="1:8">
      <c r="A28" s="64" t="str">
        <f t="shared" si="3"/>
        <v>-</v>
      </c>
      <c r="B28" s="41" t="str">
        <f t="shared" si="4"/>
        <v>-</v>
      </c>
      <c r="C28" s="65">
        <v>21</v>
      </c>
      <c r="D28" s="66">
        <f t="shared" si="5"/>
        <v>0</v>
      </c>
      <c r="E28" s="46">
        <f t="shared" si="6"/>
        <v>0</v>
      </c>
      <c r="F28" s="67">
        <f t="shared" si="0"/>
        <v>0</v>
      </c>
      <c r="G28" s="68">
        <f t="shared" si="1"/>
        <v>0</v>
      </c>
      <c r="H28" s="46">
        <f t="shared" si="2"/>
        <v>0</v>
      </c>
    </row>
    <row r="29" spans="1:8">
      <c r="A29" s="64" t="str">
        <f t="shared" si="3"/>
        <v>-</v>
      </c>
      <c r="B29" s="41" t="str">
        <f t="shared" si="4"/>
        <v>-</v>
      </c>
      <c r="C29" s="65">
        <v>22</v>
      </c>
      <c r="D29" s="66">
        <f t="shared" si="5"/>
        <v>0</v>
      </c>
      <c r="E29" s="46">
        <f t="shared" si="6"/>
        <v>0</v>
      </c>
      <c r="F29" s="67">
        <f t="shared" si="0"/>
        <v>0</v>
      </c>
      <c r="G29" s="68">
        <f t="shared" si="1"/>
        <v>0</v>
      </c>
      <c r="H29" s="46">
        <f t="shared" si="2"/>
        <v>0</v>
      </c>
    </row>
    <row r="30" spans="1:8">
      <c r="A30" s="64" t="str">
        <f t="shared" si="3"/>
        <v>-</v>
      </c>
      <c r="B30" s="41" t="str">
        <f t="shared" si="4"/>
        <v>-</v>
      </c>
      <c r="C30" s="65">
        <v>23</v>
      </c>
      <c r="D30" s="66">
        <f t="shared" si="5"/>
        <v>0</v>
      </c>
      <c r="E30" s="46">
        <f t="shared" si="6"/>
        <v>0</v>
      </c>
      <c r="F30" s="67">
        <f t="shared" si="0"/>
        <v>0</v>
      </c>
      <c r="G30" s="68">
        <f t="shared" si="1"/>
        <v>0</v>
      </c>
      <c r="H30" s="46">
        <f t="shared" si="2"/>
        <v>0</v>
      </c>
    </row>
    <row r="31" spans="1:8">
      <c r="A31" s="64" t="str">
        <f t="shared" si="3"/>
        <v>-</v>
      </c>
      <c r="B31" s="41" t="str">
        <f t="shared" si="4"/>
        <v>-</v>
      </c>
      <c r="C31" s="65">
        <v>24</v>
      </c>
      <c r="D31" s="66">
        <f t="shared" si="5"/>
        <v>0</v>
      </c>
      <c r="E31" s="46">
        <f t="shared" si="6"/>
        <v>0</v>
      </c>
      <c r="F31" s="69">
        <f t="shared" si="0"/>
        <v>0</v>
      </c>
      <c r="G31" s="68">
        <f t="shared" si="1"/>
        <v>0</v>
      </c>
      <c r="H31" s="46">
        <f t="shared" si="2"/>
        <v>0</v>
      </c>
    </row>
    <row r="32" spans="1:8">
      <c r="A32" s="64" t="str">
        <f t="shared" si="3"/>
        <v>-</v>
      </c>
      <c r="B32" s="41" t="str">
        <f t="shared" si="4"/>
        <v>-</v>
      </c>
      <c r="C32" s="65">
        <v>25</v>
      </c>
      <c r="D32" s="66">
        <f t="shared" si="5"/>
        <v>0</v>
      </c>
      <c r="E32" s="46">
        <f t="shared" si="6"/>
        <v>0</v>
      </c>
      <c r="F32" s="67">
        <f t="shared" si="0"/>
        <v>0</v>
      </c>
      <c r="G32" s="68">
        <f t="shared" si="1"/>
        <v>0</v>
      </c>
      <c r="H32" s="46">
        <f t="shared" si="2"/>
        <v>0</v>
      </c>
    </row>
    <row r="33" spans="1:8">
      <c r="A33" s="64" t="str">
        <f t="shared" si="3"/>
        <v>-</v>
      </c>
      <c r="B33" s="41" t="str">
        <f t="shared" si="4"/>
        <v>-</v>
      </c>
      <c r="C33" s="65">
        <v>26</v>
      </c>
      <c r="D33" s="66">
        <f t="shared" si="5"/>
        <v>0</v>
      </c>
      <c r="E33" s="46">
        <f t="shared" si="6"/>
        <v>0</v>
      </c>
      <c r="F33" s="67">
        <f t="shared" si="0"/>
        <v>0</v>
      </c>
      <c r="G33" s="68">
        <f t="shared" si="1"/>
        <v>0</v>
      </c>
      <c r="H33" s="46">
        <f t="shared" si="2"/>
        <v>0</v>
      </c>
    </row>
    <row r="34" spans="1:8">
      <c r="A34" s="64" t="str">
        <f t="shared" si="3"/>
        <v>-</v>
      </c>
      <c r="B34" s="41" t="str">
        <f t="shared" si="4"/>
        <v>-</v>
      </c>
      <c r="C34" s="65">
        <v>27</v>
      </c>
      <c r="D34" s="66">
        <f t="shared" si="5"/>
        <v>0</v>
      </c>
      <c r="E34" s="46">
        <f t="shared" si="6"/>
        <v>0</v>
      </c>
      <c r="F34" s="67">
        <f t="shared" si="0"/>
        <v>0</v>
      </c>
      <c r="G34" s="68">
        <f t="shared" si="1"/>
        <v>0</v>
      </c>
      <c r="H34" s="46">
        <f t="shared" si="2"/>
        <v>0</v>
      </c>
    </row>
    <row r="35" spans="1:8">
      <c r="A35" s="64" t="str">
        <f t="shared" si="3"/>
        <v>-</v>
      </c>
      <c r="B35" s="41" t="str">
        <f t="shared" si="4"/>
        <v>-</v>
      </c>
      <c r="C35" s="65">
        <v>28</v>
      </c>
      <c r="D35" s="66">
        <f t="shared" si="5"/>
        <v>0</v>
      </c>
      <c r="E35" s="46">
        <f t="shared" si="6"/>
        <v>0</v>
      </c>
      <c r="F35" s="67">
        <f t="shared" si="0"/>
        <v>0</v>
      </c>
      <c r="G35" s="68">
        <f t="shared" si="1"/>
        <v>0</v>
      </c>
      <c r="H35" s="46">
        <f t="shared" si="2"/>
        <v>0</v>
      </c>
    </row>
    <row r="36" spans="1:8">
      <c r="A36" s="64" t="str">
        <f t="shared" si="3"/>
        <v>-</v>
      </c>
      <c r="B36" s="41" t="str">
        <f t="shared" si="4"/>
        <v>-</v>
      </c>
      <c r="C36" s="65">
        <v>29</v>
      </c>
      <c r="D36" s="66">
        <f t="shared" si="5"/>
        <v>0</v>
      </c>
      <c r="E36" s="46">
        <f t="shared" si="6"/>
        <v>0</v>
      </c>
      <c r="F36" s="67">
        <f t="shared" si="0"/>
        <v>0</v>
      </c>
      <c r="G36" s="68">
        <f t="shared" si="1"/>
        <v>0</v>
      </c>
      <c r="H36" s="46">
        <f t="shared" si="2"/>
        <v>0</v>
      </c>
    </row>
    <row r="37" spans="1:8">
      <c r="A37" s="64" t="str">
        <f t="shared" si="3"/>
        <v>-</v>
      </c>
      <c r="B37" s="41" t="str">
        <f t="shared" si="4"/>
        <v>-</v>
      </c>
      <c r="C37" s="65">
        <v>30</v>
      </c>
      <c r="D37" s="66">
        <f t="shared" si="5"/>
        <v>0</v>
      </c>
      <c r="E37" s="46">
        <f t="shared" si="6"/>
        <v>0</v>
      </c>
      <c r="F37" s="67">
        <f t="shared" si="0"/>
        <v>0</v>
      </c>
      <c r="G37" s="68">
        <f t="shared" si="1"/>
        <v>0</v>
      </c>
      <c r="H37" s="46">
        <f t="shared" si="2"/>
        <v>0</v>
      </c>
    </row>
    <row r="38" spans="1:8">
      <c r="A38" s="64" t="str">
        <f t="shared" si="3"/>
        <v>-</v>
      </c>
      <c r="B38" s="41" t="str">
        <f t="shared" si="4"/>
        <v>-</v>
      </c>
      <c r="C38" s="65">
        <v>31</v>
      </c>
      <c r="D38" s="66">
        <f t="shared" si="5"/>
        <v>0</v>
      </c>
      <c r="E38" s="46">
        <f t="shared" si="6"/>
        <v>0</v>
      </c>
      <c r="F38" s="67">
        <f t="shared" si="0"/>
        <v>0</v>
      </c>
      <c r="G38" s="68">
        <f t="shared" si="1"/>
        <v>0</v>
      </c>
      <c r="H38" s="46">
        <f t="shared" si="2"/>
        <v>0</v>
      </c>
    </row>
    <row r="39" spans="1:8">
      <c r="A39" s="64" t="str">
        <f t="shared" si="3"/>
        <v>-</v>
      </c>
      <c r="B39" s="41" t="str">
        <f t="shared" si="4"/>
        <v>-</v>
      </c>
      <c r="C39" s="65">
        <v>32</v>
      </c>
      <c r="D39" s="66">
        <f t="shared" si="5"/>
        <v>0</v>
      </c>
      <c r="E39" s="46">
        <f t="shared" si="6"/>
        <v>0</v>
      </c>
      <c r="F39" s="67">
        <f t="shared" si="0"/>
        <v>0</v>
      </c>
      <c r="G39" s="68">
        <f t="shared" si="1"/>
        <v>0</v>
      </c>
      <c r="H39" s="46">
        <f t="shared" si="2"/>
        <v>0</v>
      </c>
    </row>
    <row r="40" spans="1:8">
      <c r="A40" s="64" t="str">
        <f t="shared" si="3"/>
        <v>-</v>
      </c>
      <c r="B40" s="41" t="str">
        <f t="shared" si="4"/>
        <v>-</v>
      </c>
      <c r="C40" s="65">
        <v>33</v>
      </c>
      <c r="D40" s="66">
        <f t="shared" si="5"/>
        <v>0</v>
      </c>
      <c r="E40" s="46">
        <f t="shared" si="6"/>
        <v>0</v>
      </c>
      <c r="F40" s="67">
        <f t="shared" ref="F40:F67" si="7">ROUND(D40*ir,0)</f>
        <v>0</v>
      </c>
      <c r="G40" s="68">
        <f t="shared" ref="G40:G67" si="8">SUM(E40:F40)</f>
        <v>0</v>
      </c>
      <c r="H40" s="46">
        <f t="shared" ref="H40:H67" si="9">IF(((gr+1)-C40)&gt;0,ROUND(am*ir,0),(IF(D40&lt;0.1,0,$F$1)))</f>
        <v>0</v>
      </c>
    </row>
    <row r="41" spans="1:8">
      <c r="A41" s="64" t="str">
        <f t="shared" ref="A41:A67" si="10">IF(per-C41&gt;-1,"Д +","-")</f>
        <v>-</v>
      </c>
      <c r="B41" s="41" t="str">
        <f t="shared" ref="B41:B67" si="11">IF(per-C41&gt;-1,pi,"-")</f>
        <v>-</v>
      </c>
      <c r="C41" s="65">
        <v>34</v>
      </c>
      <c r="D41" s="66">
        <f t="shared" ref="D41:D67" si="12">IF(D40-E40&lt;0,0,D40-E40)</f>
        <v>0</v>
      </c>
      <c r="E41" s="46">
        <f t="shared" ref="E41:E67" si="13">IF(IF(D41=0,0,H41-F41)&gt;D41,D41,IF(D41=0,0,H41-F41))</f>
        <v>0</v>
      </c>
      <c r="F41" s="67">
        <f t="shared" si="7"/>
        <v>0</v>
      </c>
      <c r="G41" s="68">
        <f t="shared" si="8"/>
        <v>0</v>
      </c>
      <c r="H41" s="46">
        <f t="shared" si="9"/>
        <v>0</v>
      </c>
    </row>
    <row r="42" spans="1:8">
      <c r="A42" s="64" t="str">
        <f t="shared" si="10"/>
        <v>-</v>
      </c>
      <c r="B42" s="41" t="str">
        <f t="shared" si="11"/>
        <v>-</v>
      </c>
      <c r="C42" s="65">
        <v>35</v>
      </c>
      <c r="D42" s="66">
        <f t="shared" si="12"/>
        <v>0</v>
      </c>
      <c r="E42" s="46">
        <f t="shared" si="13"/>
        <v>0</v>
      </c>
      <c r="F42" s="67">
        <f t="shared" si="7"/>
        <v>0</v>
      </c>
      <c r="G42" s="68">
        <f t="shared" si="8"/>
        <v>0</v>
      </c>
      <c r="H42" s="46">
        <f t="shared" si="9"/>
        <v>0</v>
      </c>
    </row>
    <row r="43" spans="1:8">
      <c r="A43" s="64" t="str">
        <f t="shared" si="10"/>
        <v>-</v>
      </c>
      <c r="B43" s="41" t="str">
        <f t="shared" si="11"/>
        <v>-</v>
      </c>
      <c r="C43" s="65">
        <v>36</v>
      </c>
      <c r="D43" s="66">
        <f t="shared" si="12"/>
        <v>0</v>
      </c>
      <c r="E43" s="46">
        <f t="shared" si="13"/>
        <v>0</v>
      </c>
      <c r="F43" s="67">
        <f t="shared" si="7"/>
        <v>0</v>
      </c>
      <c r="G43" s="68">
        <f t="shared" si="8"/>
        <v>0</v>
      </c>
      <c r="H43" s="46">
        <f t="shared" si="9"/>
        <v>0</v>
      </c>
    </row>
    <row r="44" spans="1:8">
      <c r="A44" s="64" t="str">
        <f t="shared" si="10"/>
        <v>-</v>
      </c>
      <c r="B44" s="41" t="str">
        <f t="shared" si="11"/>
        <v>-</v>
      </c>
      <c r="C44" s="65">
        <v>37</v>
      </c>
      <c r="D44" s="66">
        <f t="shared" si="12"/>
        <v>0</v>
      </c>
      <c r="E44" s="46">
        <f t="shared" si="13"/>
        <v>0</v>
      </c>
      <c r="F44" s="67">
        <f t="shared" si="7"/>
        <v>0</v>
      </c>
      <c r="G44" s="68">
        <f t="shared" si="8"/>
        <v>0</v>
      </c>
      <c r="H44" s="46">
        <f t="shared" si="9"/>
        <v>0</v>
      </c>
    </row>
    <row r="45" spans="1:8">
      <c r="A45" s="64" t="str">
        <f t="shared" si="10"/>
        <v>-</v>
      </c>
      <c r="B45" s="41" t="str">
        <f t="shared" si="11"/>
        <v>-</v>
      </c>
      <c r="C45" s="65">
        <v>38</v>
      </c>
      <c r="D45" s="66">
        <f t="shared" si="12"/>
        <v>0</v>
      </c>
      <c r="E45" s="46">
        <f t="shared" si="13"/>
        <v>0</v>
      </c>
      <c r="F45" s="67">
        <f t="shared" si="7"/>
        <v>0</v>
      </c>
      <c r="G45" s="68">
        <f t="shared" si="8"/>
        <v>0</v>
      </c>
      <c r="H45" s="46">
        <f t="shared" si="9"/>
        <v>0</v>
      </c>
    </row>
    <row r="46" spans="1:8">
      <c r="A46" s="64" t="str">
        <f t="shared" si="10"/>
        <v>-</v>
      </c>
      <c r="B46" s="41" t="str">
        <f t="shared" si="11"/>
        <v>-</v>
      </c>
      <c r="C46" s="65">
        <v>39</v>
      </c>
      <c r="D46" s="66">
        <f t="shared" si="12"/>
        <v>0</v>
      </c>
      <c r="E46" s="46">
        <f t="shared" si="13"/>
        <v>0</v>
      </c>
      <c r="F46" s="67">
        <f t="shared" si="7"/>
        <v>0</v>
      </c>
      <c r="G46" s="68">
        <f t="shared" si="8"/>
        <v>0</v>
      </c>
      <c r="H46" s="46">
        <f t="shared" si="9"/>
        <v>0</v>
      </c>
    </row>
    <row r="47" spans="1:8">
      <c r="A47" s="64" t="str">
        <f t="shared" si="10"/>
        <v>-</v>
      </c>
      <c r="B47" s="41" t="str">
        <f t="shared" si="11"/>
        <v>-</v>
      </c>
      <c r="C47" s="65">
        <v>40</v>
      </c>
      <c r="D47" s="66">
        <f t="shared" si="12"/>
        <v>0</v>
      </c>
      <c r="E47" s="46">
        <f t="shared" si="13"/>
        <v>0</v>
      </c>
      <c r="F47" s="67">
        <f t="shared" si="7"/>
        <v>0</v>
      </c>
      <c r="G47" s="68">
        <f t="shared" si="8"/>
        <v>0</v>
      </c>
      <c r="H47" s="46">
        <f t="shared" si="9"/>
        <v>0</v>
      </c>
    </row>
    <row r="48" spans="1:8">
      <c r="A48" s="64" t="str">
        <f t="shared" si="10"/>
        <v>-</v>
      </c>
      <c r="B48" s="41" t="str">
        <f t="shared" si="11"/>
        <v>-</v>
      </c>
      <c r="C48" s="65">
        <v>41</v>
      </c>
      <c r="D48" s="66">
        <f t="shared" si="12"/>
        <v>0</v>
      </c>
      <c r="E48" s="46">
        <f t="shared" si="13"/>
        <v>0</v>
      </c>
      <c r="F48" s="67">
        <f t="shared" si="7"/>
        <v>0</v>
      </c>
      <c r="G48" s="68">
        <f t="shared" si="8"/>
        <v>0</v>
      </c>
      <c r="H48" s="46">
        <f t="shared" si="9"/>
        <v>0</v>
      </c>
    </row>
    <row r="49" spans="1:8">
      <c r="A49" s="64" t="str">
        <f t="shared" si="10"/>
        <v>-</v>
      </c>
      <c r="B49" s="41" t="str">
        <f t="shared" si="11"/>
        <v>-</v>
      </c>
      <c r="C49" s="65">
        <v>42</v>
      </c>
      <c r="D49" s="66">
        <f t="shared" si="12"/>
        <v>0</v>
      </c>
      <c r="E49" s="46">
        <f t="shared" si="13"/>
        <v>0</v>
      </c>
      <c r="F49" s="67">
        <f t="shared" si="7"/>
        <v>0</v>
      </c>
      <c r="G49" s="68">
        <f t="shared" si="8"/>
        <v>0</v>
      </c>
      <c r="H49" s="46">
        <f t="shared" si="9"/>
        <v>0</v>
      </c>
    </row>
    <row r="50" spans="1:8">
      <c r="A50" s="64" t="str">
        <f t="shared" si="10"/>
        <v>-</v>
      </c>
      <c r="B50" s="41" t="str">
        <f t="shared" si="11"/>
        <v>-</v>
      </c>
      <c r="C50" s="65">
        <v>43</v>
      </c>
      <c r="D50" s="66">
        <f t="shared" si="12"/>
        <v>0</v>
      </c>
      <c r="E50" s="46">
        <f t="shared" si="13"/>
        <v>0</v>
      </c>
      <c r="F50" s="67">
        <f t="shared" si="7"/>
        <v>0</v>
      </c>
      <c r="G50" s="68">
        <f t="shared" si="8"/>
        <v>0</v>
      </c>
      <c r="H50" s="46">
        <f t="shared" si="9"/>
        <v>0</v>
      </c>
    </row>
    <row r="51" spans="1:8">
      <c r="A51" s="64" t="str">
        <f t="shared" si="10"/>
        <v>-</v>
      </c>
      <c r="B51" s="41" t="str">
        <f t="shared" si="11"/>
        <v>-</v>
      </c>
      <c r="C51" s="65">
        <v>44</v>
      </c>
      <c r="D51" s="66">
        <f t="shared" si="12"/>
        <v>0</v>
      </c>
      <c r="E51" s="46">
        <f t="shared" si="13"/>
        <v>0</v>
      </c>
      <c r="F51" s="67">
        <f t="shared" si="7"/>
        <v>0</v>
      </c>
      <c r="G51" s="68">
        <f t="shared" si="8"/>
        <v>0</v>
      </c>
      <c r="H51" s="46">
        <f t="shared" si="9"/>
        <v>0</v>
      </c>
    </row>
    <row r="52" spans="1:8">
      <c r="A52" s="64" t="str">
        <f t="shared" si="10"/>
        <v>-</v>
      </c>
      <c r="B52" s="41" t="str">
        <f t="shared" si="11"/>
        <v>-</v>
      </c>
      <c r="C52" s="65">
        <v>45</v>
      </c>
      <c r="D52" s="66">
        <f t="shared" si="12"/>
        <v>0</v>
      </c>
      <c r="E52" s="46">
        <f t="shared" si="13"/>
        <v>0</v>
      </c>
      <c r="F52" s="67">
        <f t="shared" si="7"/>
        <v>0</v>
      </c>
      <c r="G52" s="68">
        <f t="shared" si="8"/>
        <v>0</v>
      </c>
      <c r="H52" s="46">
        <f t="shared" si="9"/>
        <v>0</v>
      </c>
    </row>
    <row r="53" spans="1:8">
      <c r="A53" s="64" t="str">
        <f t="shared" si="10"/>
        <v>-</v>
      </c>
      <c r="B53" s="41" t="str">
        <f t="shared" si="11"/>
        <v>-</v>
      </c>
      <c r="C53" s="65">
        <v>46</v>
      </c>
      <c r="D53" s="66">
        <f t="shared" si="12"/>
        <v>0</v>
      </c>
      <c r="E53" s="46">
        <f t="shared" si="13"/>
        <v>0</v>
      </c>
      <c r="F53" s="67">
        <f t="shared" si="7"/>
        <v>0</v>
      </c>
      <c r="G53" s="68">
        <f t="shared" si="8"/>
        <v>0</v>
      </c>
      <c r="H53" s="46">
        <f t="shared" si="9"/>
        <v>0</v>
      </c>
    </row>
    <row r="54" spans="1:8">
      <c r="A54" s="64" t="str">
        <f t="shared" si="10"/>
        <v>-</v>
      </c>
      <c r="B54" s="41" t="str">
        <f t="shared" si="11"/>
        <v>-</v>
      </c>
      <c r="C54" s="65">
        <v>47</v>
      </c>
      <c r="D54" s="66">
        <f t="shared" si="12"/>
        <v>0</v>
      </c>
      <c r="E54" s="46">
        <f t="shared" si="13"/>
        <v>0</v>
      </c>
      <c r="F54" s="67">
        <f t="shared" si="7"/>
        <v>0</v>
      </c>
      <c r="G54" s="68">
        <f t="shared" si="8"/>
        <v>0</v>
      </c>
      <c r="H54" s="46">
        <f t="shared" si="9"/>
        <v>0</v>
      </c>
    </row>
    <row r="55" spans="1:8">
      <c r="A55" s="64" t="str">
        <f t="shared" si="10"/>
        <v>-</v>
      </c>
      <c r="B55" s="41" t="str">
        <f t="shared" si="11"/>
        <v>-</v>
      </c>
      <c r="C55" s="65">
        <v>48</v>
      </c>
      <c r="D55" s="66">
        <f t="shared" si="12"/>
        <v>0</v>
      </c>
      <c r="E55" s="46">
        <f t="shared" si="13"/>
        <v>0</v>
      </c>
      <c r="F55" s="67">
        <f t="shared" si="7"/>
        <v>0</v>
      </c>
      <c r="G55" s="68">
        <f t="shared" si="8"/>
        <v>0</v>
      </c>
      <c r="H55" s="46">
        <f t="shared" si="9"/>
        <v>0</v>
      </c>
    </row>
    <row r="56" spans="1:8">
      <c r="A56" s="64" t="str">
        <f t="shared" si="10"/>
        <v>-</v>
      </c>
      <c r="B56" s="41" t="str">
        <f t="shared" si="11"/>
        <v>-</v>
      </c>
      <c r="C56" s="65">
        <v>49</v>
      </c>
      <c r="D56" s="66">
        <f t="shared" si="12"/>
        <v>0</v>
      </c>
      <c r="E56" s="46">
        <f t="shared" si="13"/>
        <v>0</v>
      </c>
      <c r="F56" s="67">
        <f t="shared" si="7"/>
        <v>0</v>
      </c>
      <c r="G56" s="68">
        <f t="shared" si="8"/>
        <v>0</v>
      </c>
      <c r="H56" s="46">
        <f t="shared" si="9"/>
        <v>0</v>
      </c>
    </row>
    <row r="57" spans="1:8">
      <c r="A57" s="64" t="str">
        <f t="shared" si="10"/>
        <v>-</v>
      </c>
      <c r="B57" s="41" t="str">
        <f t="shared" si="11"/>
        <v>-</v>
      </c>
      <c r="C57" s="65">
        <v>50</v>
      </c>
      <c r="D57" s="66">
        <f t="shared" si="12"/>
        <v>0</v>
      </c>
      <c r="E57" s="46">
        <f t="shared" si="13"/>
        <v>0</v>
      </c>
      <c r="F57" s="67">
        <f t="shared" si="7"/>
        <v>0</v>
      </c>
      <c r="G57" s="68">
        <f t="shared" si="8"/>
        <v>0</v>
      </c>
      <c r="H57" s="46">
        <f t="shared" si="9"/>
        <v>0</v>
      </c>
    </row>
    <row r="58" spans="1:8">
      <c r="A58" s="64" t="str">
        <f t="shared" si="10"/>
        <v>-</v>
      </c>
      <c r="B58" s="41" t="str">
        <f t="shared" si="11"/>
        <v>-</v>
      </c>
      <c r="C58" s="65">
        <v>51</v>
      </c>
      <c r="D58" s="66">
        <f t="shared" si="12"/>
        <v>0</v>
      </c>
      <c r="E58" s="46">
        <f t="shared" si="13"/>
        <v>0</v>
      </c>
      <c r="F58" s="67">
        <f t="shared" si="7"/>
        <v>0</v>
      </c>
      <c r="G58" s="68">
        <f t="shared" si="8"/>
        <v>0</v>
      </c>
      <c r="H58" s="46">
        <f t="shared" si="9"/>
        <v>0</v>
      </c>
    </row>
    <row r="59" spans="1:8">
      <c r="A59" s="64" t="str">
        <f t="shared" si="10"/>
        <v>-</v>
      </c>
      <c r="B59" s="41" t="str">
        <f t="shared" si="11"/>
        <v>-</v>
      </c>
      <c r="C59" s="65">
        <v>52</v>
      </c>
      <c r="D59" s="66">
        <f t="shared" si="12"/>
        <v>0</v>
      </c>
      <c r="E59" s="46">
        <f t="shared" si="13"/>
        <v>0</v>
      </c>
      <c r="F59" s="67">
        <f t="shared" si="7"/>
        <v>0</v>
      </c>
      <c r="G59" s="68">
        <f t="shared" si="8"/>
        <v>0</v>
      </c>
      <c r="H59" s="46">
        <f t="shared" si="9"/>
        <v>0</v>
      </c>
    </row>
    <row r="60" spans="1:8">
      <c r="A60" s="64" t="str">
        <f t="shared" si="10"/>
        <v>-</v>
      </c>
      <c r="B60" s="41" t="str">
        <f t="shared" si="11"/>
        <v>-</v>
      </c>
      <c r="C60" s="65">
        <v>53</v>
      </c>
      <c r="D60" s="66">
        <f t="shared" si="12"/>
        <v>0</v>
      </c>
      <c r="E60" s="46">
        <f t="shared" si="13"/>
        <v>0</v>
      </c>
      <c r="F60" s="67">
        <f t="shared" si="7"/>
        <v>0</v>
      </c>
      <c r="G60" s="68">
        <f t="shared" si="8"/>
        <v>0</v>
      </c>
      <c r="H60" s="46">
        <f t="shared" si="9"/>
        <v>0</v>
      </c>
    </row>
    <row r="61" spans="1:8">
      <c r="A61" s="64" t="str">
        <f t="shared" si="10"/>
        <v>-</v>
      </c>
      <c r="B61" s="41" t="str">
        <f t="shared" si="11"/>
        <v>-</v>
      </c>
      <c r="C61" s="65">
        <v>54</v>
      </c>
      <c r="D61" s="66">
        <f t="shared" si="12"/>
        <v>0</v>
      </c>
      <c r="E61" s="46">
        <f t="shared" si="13"/>
        <v>0</v>
      </c>
      <c r="F61" s="67">
        <f t="shared" si="7"/>
        <v>0</v>
      </c>
      <c r="G61" s="68">
        <f t="shared" si="8"/>
        <v>0</v>
      </c>
      <c r="H61" s="46">
        <f t="shared" si="9"/>
        <v>0</v>
      </c>
    </row>
    <row r="62" spans="1:8">
      <c r="A62" s="64" t="str">
        <f t="shared" si="10"/>
        <v>-</v>
      </c>
      <c r="B62" s="41" t="str">
        <f t="shared" si="11"/>
        <v>-</v>
      </c>
      <c r="C62" s="65">
        <v>55</v>
      </c>
      <c r="D62" s="66">
        <f t="shared" si="12"/>
        <v>0</v>
      </c>
      <c r="E62" s="46">
        <f t="shared" si="13"/>
        <v>0</v>
      </c>
      <c r="F62" s="67">
        <f t="shared" si="7"/>
        <v>0</v>
      </c>
      <c r="G62" s="68">
        <f t="shared" si="8"/>
        <v>0</v>
      </c>
      <c r="H62" s="46">
        <f t="shared" si="9"/>
        <v>0</v>
      </c>
    </row>
    <row r="63" spans="1:8">
      <c r="A63" s="64" t="str">
        <f t="shared" si="10"/>
        <v>-</v>
      </c>
      <c r="B63" s="41" t="str">
        <f t="shared" si="11"/>
        <v>-</v>
      </c>
      <c r="C63" s="65">
        <v>56</v>
      </c>
      <c r="D63" s="66">
        <f t="shared" si="12"/>
        <v>0</v>
      </c>
      <c r="E63" s="46">
        <f t="shared" si="13"/>
        <v>0</v>
      </c>
      <c r="F63" s="67">
        <f t="shared" si="7"/>
        <v>0</v>
      </c>
      <c r="G63" s="68">
        <f t="shared" si="8"/>
        <v>0</v>
      </c>
      <c r="H63" s="46">
        <f t="shared" si="9"/>
        <v>0</v>
      </c>
    </row>
    <row r="64" spans="1:8">
      <c r="A64" s="64" t="str">
        <f t="shared" si="10"/>
        <v>-</v>
      </c>
      <c r="B64" s="41" t="str">
        <f t="shared" si="11"/>
        <v>-</v>
      </c>
      <c r="C64" s="65">
        <v>57</v>
      </c>
      <c r="D64" s="66">
        <f t="shared" si="12"/>
        <v>0</v>
      </c>
      <c r="E64" s="46">
        <f t="shared" si="13"/>
        <v>0</v>
      </c>
      <c r="F64" s="67">
        <f t="shared" si="7"/>
        <v>0</v>
      </c>
      <c r="G64" s="68">
        <f t="shared" si="8"/>
        <v>0</v>
      </c>
      <c r="H64" s="46">
        <f t="shared" si="9"/>
        <v>0</v>
      </c>
    </row>
    <row r="65" spans="1:8">
      <c r="A65" s="64" t="str">
        <f t="shared" si="10"/>
        <v>-</v>
      </c>
      <c r="B65" s="41" t="str">
        <f t="shared" si="11"/>
        <v>-</v>
      </c>
      <c r="C65" s="65">
        <v>58</v>
      </c>
      <c r="D65" s="66">
        <f t="shared" si="12"/>
        <v>0</v>
      </c>
      <c r="E65" s="46">
        <f t="shared" si="13"/>
        <v>0</v>
      </c>
      <c r="F65" s="67">
        <f t="shared" si="7"/>
        <v>0</v>
      </c>
      <c r="G65" s="68">
        <f t="shared" si="8"/>
        <v>0</v>
      </c>
      <c r="H65" s="46">
        <f t="shared" si="9"/>
        <v>0</v>
      </c>
    </row>
    <row r="66" spans="1:8">
      <c r="A66" s="64" t="str">
        <f t="shared" si="10"/>
        <v>-</v>
      </c>
      <c r="B66" s="41" t="str">
        <f t="shared" si="11"/>
        <v>-</v>
      </c>
      <c r="C66" s="65">
        <v>59</v>
      </c>
      <c r="D66" s="66">
        <f t="shared" si="12"/>
        <v>0</v>
      </c>
      <c r="E66" s="46">
        <f t="shared" si="13"/>
        <v>0</v>
      </c>
      <c r="F66" s="67">
        <f t="shared" si="7"/>
        <v>0</v>
      </c>
      <c r="G66" s="68">
        <f t="shared" si="8"/>
        <v>0</v>
      </c>
      <c r="H66" s="46">
        <f t="shared" si="9"/>
        <v>0</v>
      </c>
    </row>
    <row r="67" spans="1:8" ht="12" thickBot="1">
      <c r="A67" s="64" t="str">
        <f t="shared" si="10"/>
        <v>-</v>
      </c>
      <c r="B67" s="41" t="str">
        <f t="shared" si="11"/>
        <v>-</v>
      </c>
      <c r="C67" s="65">
        <v>60</v>
      </c>
      <c r="D67" s="66">
        <f t="shared" si="12"/>
        <v>0</v>
      </c>
      <c r="E67" s="46">
        <f t="shared" si="13"/>
        <v>0</v>
      </c>
      <c r="F67" s="67">
        <f t="shared" si="7"/>
        <v>0</v>
      </c>
      <c r="G67" s="68">
        <f t="shared" si="8"/>
        <v>0</v>
      </c>
      <c r="H67" s="46">
        <f t="shared" si="9"/>
        <v>0</v>
      </c>
    </row>
    <row r="68" spans="1:8" ht="12" thickBot="1">
      <c r="A68" s="70"/>
      <c r="B68" s="71"/>
      <c r="C68" s="72"/>
      <c r="D68" s="73" t="s">
        <v>116</v>
      </c>
      <c r="E68" s="74">
        <f>SUM(E8:E67)</f>
        <v>1272</v>
      </c>
      <c r="F68" s="75">
        <f>SUM(F8:F67)</f>
        <v>0</v>
      </c>
      <c r="G68" s="75">
        <f>SUM(G8:G67)</f>
        <v>1272</v>
      </c>
      <c r="H68" s="75">
        <f>SUM(H8:H67)</f>
        <v>1272</v>
      </c>
    </row>
    <row r="69" spans="1:8">
      <c r="G69" s="45"/>
    </row>
    <row r="70" spans="1:8">
      <c r="G70" s="45"/>
    </row>
    <row r="71" spans="1:8">
      <c r="G71" s="45"/>
    </row>
    <row r="72" spans="1:8">
      <c r="G72" s="45"/>
    </row>
    <row r="73" spans="1:8">
      <c r="G73" s="45"/>
    </row>
    <row r="74" spans="1:8">
      <c r="G74" s="45"/>
    </row>
  </sheetData>
  <sheetProtection sheet="1" objects="1" scenarios="1"/>
  <mergeCells count="11">
    <mergeCell ref="C1:D1"/>
    <mergeCell ref="C2:D2"/>
    <mergeCell ref="E6:G6"/>
    <mergeCell ref="A1:B1"/>
    <mergeCell ref="A2:B2"/>
    <mergeCell ref="C4:D4"/>
    <mergeCell ref="A6:C6"/>
    <mergeCell ref="A4:B4"/>
    <mergeCell ref="C5:D5"/>
    <mergeCell ref="A3:B3"/>
    <mergeCell ref="C3:D3"/>
  </mergeCells>
  <phoneticPr fontId="13" type="noConversion"/>
  <conditionalFormatting sqref="G3">
    <cfRule type="cellIs" dxfId="2" priority="2" stopIfTrue="1" operator="equal">
      <formula>$G$68</formula>
    </cfRule>
  </conditionalFormatting>
  <conditionalFormatting sqref="G68">
    <cfRule type="cellIs" dxfId="1" priority="1" stopIfTrue="1" operator="equal">
      <formula>$G$3</formula>
    </cfRule>
  </conditionalFormatting>
  <printOptions horizontalCentered="1"/>
  <pageMargins left="0.74803149606299213" right="0.74803149606299213" top="0.59055118110236227" bottom="0.19685039370078741" header="0.51181102362204722" footer="0.51181102362204722"/>
  <pageSetup paperSize="9" orientation="portrait" r:id="rId1"/>
  <headerFooter alignWithMargins="0"/>
  <legacy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codeName="Sheet18"/>
  <dimension ref="A1:P64"/>
  <sheetViews>
    <sheetView workbookViewId="0"/>
  </sheetViews>
  <sheetFormatPr defaultRowHeight="12.75"/>
  <cols>
    <col min="1" max="1" width="35" style="6" customWidth="1"/>
    <col min="2" max="2" width="11.140625" style="6" customWidth="1"/>
    <col min="3" max="3" width="13.28515625" style="6" customWidth="1"/>
    <col min="4" max="4" width="13.5703125" style="6" customWidth="1"/>
    <col min="5" max="5" width="12.42578125" style="6" customWidth="1"/>
    <col min="6" max="6" width="12.7109375" style="6" customWidth="1"/>
    <col min="7" max="7" width="10.28515625" style="6" customWidth="1"/>
    <col min="8" max="8" width="13.28515625" style="6" customWidth="1"/>
    <col min="9" max="9" width="10.5703125" style="6" customWidth="1"/>
    <col min="10" max="11" width="7.5703125" style="6" customWidth="1"/>
    <col min="12" max="12" width="6.7109375" style="6" customWidth="1"/>
    <col min="13" max="13" width="18.140625" style="6" customWidth="1"/>
    <col min="14" max="14" width="8.42578125" style="6" customWidth="1"/>
    <col min="15" max="15" width="9.140625" style="6"/>
    <col min="16" max="16" width="8.42578125" style="6" customWidth="1"/>
    <col min="17" max="16384" width="9.140625" style="6"/>
  </cols>
  <sheetData>
    <row r="1" spans="1:16" ht="13.5" thickBot="1">
      <c r="A1" s="2">
        <f>M8</f>
        <v>106</v>
      </c>
      <c r="B1" s="3"/>
      <c r="C1" s="3"/>
      <c r="D1" s="3"/>
      <c r="E1" s="3"/>
      <c r="F1" s="3"/>
      <c r="G1" s="3"/>
      <c r="H1" s="3"/>
      <c r="I1" s="3"/>
      <c r="J1" s="4"/>
      <c r="K1" s="5"/>
      <c r="L1" s="4"/>
    </row>
    <row r="2" spans="1:16">
      <c r="A2" s="7">
        <f>(MOD(A1,1000000000)-MOD(A1,100000000))/100000000</f>
        <v>0</v>
      </c>
      <c r="B2" s="7">
        <f>(MOD(A1,100000000)-MOD(A1,10000000))/10000000</f>
        <v>0</v>
      </c>
      <c r="C2" s="7">
        <f>(MOD(A1,10000000)-MOD(A1,1000000))/1000000</f>
        <v>0</v>
      </c>
      <c r="D2" s="7">
        <f>(MOD(A1,1000000)-MOD(A1,100000))/100000</f>
        <v>0</v>
      </c>
      <c r="E2" s="7">
        <f>(MOD(A1,100000)-MOD(A1,10000))/10000</f>
        <v>0</v>
      </c>
      <c r="F2" s="7">
        <f>(MOD(A1,10000)-MOD(A1,1000))/1000</f>
        <v>0</v>
      </c>
      <c r="G2" s="7">
        <f>(MOD(A1,1000)-MOD(A1,100))/100</f>
        <v>1</v>
      </c>
      <c r="H2" s="7">
        <f>(MOD(A1,100)-MOD(A1,10))/10</f>
        <v>0</v>
      </c>
      <c r="I2" s="7">
        <f>MOD(A1,10)</f>
        <v>6</v>
      </c>
      <c r="J2" s="4"/>
      <c r="K2" s="5"/>
      <c r="L2" s="4"/>
      <c r="M2" s="6" t="str">
        <f>IF(H2=1," ",IF(I2=1," ",IF(N2=TRUE," "," ")))</f>
        <v xml:space="preserve"> </v>
      </c>
      <c r="N2" s="6" t="b">
        <f>OR(I2=2,I2=3,I2=4)</f>
        <v>0</v>
      </c>
      <c r="P2" s="6" t="b">
        <f>OR(K2=2,K2=3,K2=4)</f>
        <v>0</v>
      </c>
    </row>
    <row r="3" spans="1:16">
      <c r="A3" s="8">
        <f>IF(A2=0,0,A5)</f>
        <v>0</v>
      </c>
      <c r="B3" s="8">
        <f t="shared" ref="B3:I3" si="0">IF(B2=0,0,B4)</f>
        <v>0</v>
      </c>
      <c r="C3" s="9">
        <f t="shared" si="0"/>
        <v>0</v>
      </c>
      <c r="D3" s="8">
        <f t="shared" si="0"/>
        <v>0</v>
      </c>
      <c r="E3" s="8">
        <f t="shared" si="0"/>
        <v>0</v>
      </c>
      <c r="F3" s="9">
        <f t="shared" si="0"/>
        <v>0</v>
      </c>
      <c r="G3" s="8" t="str">
        <f t="shared" si="0"/>
        <v xml:space="preserve"> Yüz</v>
      </c>
      <c r="H3" s="8">
        <f t="shared" si="0"/>
        <v>0</v>
      </c>
      <c r="I3" s="9" t="str">
        <f t="shared" si="0"/>
        <v xml:space="preserve"> altı</v>
      </c>
      <c r="J3" s="4"/>
      <c r="K3" s="5"/>
      <c r="L3" s="4"/>
      <c r="M3" s="6" t="str">
        <f>IF(E2=1," min",IF(F2=1," min",IF(N3=TRUE," min"," min")))</f>
        <v xml:space="preserve"> min</v>
      </c>
      <c r="N3" s="6" t="b">
        <f>OR(F2=2,F2=3,F2=4)</f>
        <v>0</v>
      </c>
      <c r="P3" s="6" t="b">
        <f>OR(H2=2,H2=3,H2=4)</f>
        <v>0</v>
      </c>
    </row>
    <row r="4" spans="1:16">
      <c r="A4" s="10"/>
      <c r="B4" s="10" t="b">
        <f>IF(A1&gt;99999999,B5,B6)</f>
        <v>0</v>
      </c>
      <c r="C4" s="10" t="b">
        <f>IF(B2=1,0,C5)</f>
        <v>0</v>
      </c>
      <c r="D4" s="10" t="b">
        <f>IF(A1&gt;999999,D5,D7)</f>
        <v>0</v>
      </c>
      <c r="E4" s="10" t="b">
        <f>IF(A1&gt;99999,E5,E6)</f>
        <v>0</v>
      </c>
      <c r="F4" s="10" t="b">
        <f>IF(E2=1,0,F5)</f>
        <v>0</v>
      </c>
      <c r="G4" s="10" t="str">
        <f>IF(A1&gt;999,G5,G7)</f>
        <v xml:space="preserve"> Yüz</v>
      </c>
      <c r="H4" s="10" t="b">
        <f>IF(A1&gt;99,H5,H6)</f>
        <v>0</v>
      </c>
      <c r="I4" s="10" t="str">
        <f>IF(H2=1,0,I5)</f>
        <v xml:space="preserve"> altı</v>
      </c>
      <c r="J4" s="4"/>
      <c r="K4" s="5"/>
      <c r="L4" s="4"/>
      <c r="M4" s="6" t="str">
        <f>IF(B2=1," milyon",IF(C2=1," milyon",IF(N4=TRUE," milyon"," milyon")))</f>
        <v xml:space="preserve"> milyon</v>
      </c>
      <c r="N4" s="6" t="b">
        <f>OR(C2=2,C2=3,C2=4)</f>
        <v>0</v>
      </c>
      <c r="P4" s="6" t="b">
        <f>OR(E2=2,E2=3,E2=4)</f>
        <v>0</v>
      </c>
    </row>
    <row r="5" spans="1:16">
      <c r="A5" s="11" t="b">
        <f>IF(A2=1,H20,IF(A2=2,H21,IF(A2=3,H22,IF(A2=4,H23,IF(A2=5,H24,IF(A2=6,H25,IF(A2=7,H26,IF(A2&gt;7,A6))))))))</f>
        <v>0</v>
      </c>
      <c r="B5" s="10" t="b">
        <f>IF(B2=1,B7,B11)</f>
        <v>0</v>
      </c>
      <c r="C5" s="10" t="b">
        <f>IF(A1&gt;9999999,C6,C7)</f>
        <v>0</v>
      </c>
      <c r="D5" s="11" t="b">
        <f>IF(D2=1,I20,IF(D2=2,I21,IF(D2=3,I22,IF(D2=4,I23,IF(D2=5,I24,IF(D2=6,I25,IF(D2=7,I26,IF(D2&gt;7,D6))))))))</f>
        <v>0</v>
      </c>
      <c r="E5" s="10" t="b">
        <f>IF(E2=1,E7,E11)</f>
        <v>0</v>
      </c>
      <c r="F5" s="10" t="b">
        <f>IF(A1&gt;9999,F6,F7)</f>
        <v>0</v>
      </c>
      <c r="G5" s="11" t="str">
        <f>IF(G2=1,I20,IF(G2=2,I21,IF(G2=3,I22,IF(G2=4,I23,IF(G2=5,I24,IF(G2=6,I25,IF(G2=7,I26,IF(G2&gt;7,G6))))))))</f>
        <v>yüz</v>
      </c>
      <c r="H5" s="10" t="b">
        <f>IF(H2=1,H7,H11)</f>
        <v>0</v>
      </c>
      <c r="I5" s="10" t="str">
        <f>IF(A1&gt;9,I6,I7)</f>
        <v xml:space="preserve"> altı</v>
      </c>
      <c r="J5" s="4"/>
      <c r="K5" s="5"/>
      <c r="L5" s="4"/>
      <c r="M5" s="12">
        <f>Data!C82</f>
        <v>106</v>
      </c>
    </row>
    <row r="6" spans="1:16">
      <c r="A6" s="11" t="b">
        <f>IF(A2=8,H27,IF(A2=9,H28))</f>
        <v>0</v>
      </c>
      <c r="B6" s="10" t="b">
        <f>IF(B2=1,B9,B12)</f>
        <v>0</v>
      </c>
      <c r="C6" s="10" t="b">
        <f>IF(C2=1,B20,IF(C2=2,B21,IF(C2=3,B22,IF(C2=4,B23,IF(C2=5,B24,IF(C2=6,B25,IF(C2=7,B26,IF(C2&gt;7,C8))))))))</f>
        <v>0</v>
      </c>
      <c r="D6" s="11" t="b">
        <f>IF(D2=8,I27,IF(D2=9,I28))</f>
        <v>0</v>
      </c>
      <c r="E6" s="10" t="b">
        <f>IF(E2=1,E9,E12)</f>
        <v>0</v>
      </c>
      <c r="F6" s="10" t="b">
        <f>IF(F2=1,G22,IF(F2=2,G23,IF(F2=3,B22,IF(F2=4,B23,IF(F2=5,B24,IF(F2=6,B25,IF(F2=7,B26,IF(F2&gt;7,F8))))))))</f>
        <v>0</v>
      </c>
      <c r="G6" s="11" t="b">
        <f>IF(G2=8,I27,IF(G2=9,I28))</f>
        <v>0</v>
      </c>
      <c r="H6" s="10" t="b">
        <f>IF(H2=1,H9,H12)</f>
        <v>0</v>
      </c>
      <c r="I6" s="10" t="str">
        <f>IF(I2=1,B20,IF(I2=2,B21,IF(I2=3,B22,IF(I2=4,B23,IF(I2=5,B24,IF(I2=6,B25,IF(I2=7,B26,IF(I2&gt;7,I8))))))))</f>
        <v xml:space="preserve"> altı</v>
      </c>
      <c r="J6" s="4"/>
      <c r="K6" s="5"/>
      <c r="L6" s="4"/>
      <c r="M6" s="13" t="str">
        <f>CONCATENATE(M8,M9,M11)</f>
        <v>106-</v>
      </c>
    </row>
    <row r="7" spans="1:16">
      <c r="A7" s="4"/>
      <c r="B7" s="11" t="str">
        <f>IF(C2=0,F20,IF(C2=1,D20,IF(C2=2,D21,IF(C2=3,D22,IF(C2=4,D23,IF(C2=5,D24,IF(C2=6,D25,IF(C2&gt;6,B8))))))))</f>
        <v xml:space="preserve"> on</v>
      </c>
      <c r="C7" s="10" t="b">
        <f>IF(C2=1,A20,IF(C2=2,A21,IF(C2=3,A22,IF(C2=4,A23,IF(C2=5,A24,IF(C2=6,A25,IF(C2=7,A26,IF(C2&gt;7,C9))))))))</f>
        <v>0</v>
      </c>
      <c r="D7" s="14" t="b">
        <f>IF(D2=1,H20,IF(D2=2,H21,IF(D2=3,H22,IF(D2=4,H23,IF(D2=5,H24,IF(D2=6,H25,IF(D2=7,H26,IF(D2&gt;7,D8))))))))</f>
        <v>0</v>
      </c>
      <c r="E7" s="11" t="str">
        <f>IF(F2=0,F20,IF(F2=1,D20,IF(F2=2,D21,IF(F2=3,D22,IF(F2=4,D23,IF(F2=5,D24,IF(F2=6,D25,IF(F2&gt;6,E8))))))))</f>
        <v xml:space="preserve"> on</v>
      </c>
      <c r="F7" s="10" t="b">
        <f>IF(F2=1,G20,IF(F2=2,G21,IF(F2=3,A22,IF(F2=4,A23,IF(F2=5,A24,IF(F2=6,A25,IF(F2=7,A26,IF(F2&gt;7,F9))))))))</f>
        <v>0</v>
      </c>
      <c r="G7" s="14" t="str">
        <f>IF(G2=1,H20,IF(G2=2,H21,IF(G2=3,H22,IF(G2=4,H23,IF(G2=5,H24,IF(G2=6,H25,IF(G2=7,H26,IF(G2&gt;7,G8))))))))</f>
        <v xml:space="preserve"> Yüz</v>
      </c>
      <c r="H7" s="11" t="str">
        <f>IF(I2=0,F20,IF(I2=1,D20,IF(I2=2,D21,IF(I2=3,D22,IF(I2=4,D23,IF(I2=5,D24,IF(I2=6,D25,IF(I2&gt;6,H8))))))))</f>
        <v xml:space="preserve"> on altı</v>
      </c>
      <c r="I7" s="10" t="str">
        <f>IF(I2=1,A20,IF(I2=2,A21,IF(I2=3,A22,IF(I2=4,A23,IF(I2=5,A24,IF(I2=6,A25,IF(I2=7,A26,IF(I2&gt;7,I9))))))))</f>
        <v xml:space="preserve"> Altı</v>
      </c>
      <c r="J7" s="4"/>
      <c r="K7" s="5"/>
      <c r="L7" s="4"/>
      <c r="M7" s="15"/>
    </row>
    <row r="8" spans="1:16">
      <c r="A8" s="4"/>
      <c r="B8" s="11" t="b">
        <f>IF(C2=7,D26,IF(C2=8,D27,IF(C2=9,D28)))</f>
        <v>0</v>
      </c>
      <c r="C8" s="10" t="b">
        <f>IF(C2=8,B27,IF(C2=9,B28))</f>
        <v>0</v>
      </c>
      <c r="D8" s="14" t="b">
        <f>IF(D2=8,H27,IF(D2=9,H28))</f>
        <v>0</v>
      </c>
      <c r="E8" s="11" t="b">
        <f>IF(F2=7,D26,IF(F2=8,D27,IF(F2=9,D28)))</f>
        <v>0</v>
      </c>
      <c r="F8" s="10" t="b">
        <f>IF(F2=8,B27,IF(F2=9,B28))</f>
        <v>0</v>
      </c>
      <c r="G8" s="14" t="b">
        <f>IF(G2=8,H27,IF(G2=9,H28))</f>
        <v>0</v>
      </c>
      <c r="H8" s="11" t="b">
        <f>IF(I2=7,D26,IF(I2=8,D27,IF(I2=9,D28)))</f>
        <v>0</v>
      </c>
      <c r="I8" s="10" t="b">
        <f>IF(I2=8,B27,IF(I2=9,B28))</f>
        <v>0</v>
      </c>
      <c r="J8" s="4"/>
      <c r="K8" s="5"/>
      <c r="L8" s="4"/>
      <c r="M8" s="16">
        <f>TRUNC(M5,0)</f>
        <v>106</v>
      </c>
    </row>
    <row r="9" spans="1:16">
      <c r="A9" s="4"/>
      <c r="B9" s="14" t="str">
        <f>IF(C2=0,E20,IF(C2=1,C20,IF(C2=2,C21,IF(C2=3,C22,IF(C2=4,C23,IF(C2=5,C24,IF(C2=6,C25,IF(C2&gt;6,B10))))))))</f>
        <v xml:space="preserve"> On</v>
      </c>
      <c r="C9" s="10" t="b">
        <f>IF(C2=8,A27,IF(C2=9,A28))</f>
        <v>0</v>
      </c>
      <c r="D9" s="4"/>
      <c r="E9" s="14" t="str">
        <f>IF(F2=0,E20,IF(F2=1,C20,IF(F2=2,C21,IF(F2=3,C22,IF(F2=4,C23,IF(F2=5,C24,IF(F2=6,C25,IF(F2&gt;6,E10))))))))</f>
        <v xml:space="preserve"> On</v>
      </c>
      <c r="F9" s="10" t="b">
        <f>IF(F2=8,A27,IF(F2=9,A28))</f>
        <v>0</v>
      </c>
      <c r="G9" s="4"/>
      <c r="H9" s="14" t="str">
        <f>IF(I2=0,E20,IF(I2=1,C20,IF(I2=2,C21,IF(I2=3,C22,IF(I2=4,C23,IF(I2=5,C24,IF(I2=6,C25,IF(I2&gt;6,H10))))))))</f>
        <v xml:space="preserve"> On altı</v>
      </c>
      <c r="I9" s="10" t="b">
        <f>IF(I2=8,A27,IF(I2=9,A28))</f>
        <v>0</v>
      </c>
      <c r="J9" s="4"/>
      <c r="K9" s="5"/>
      <c r="L9" s="4"/>
      <c r="M9" s="17" t="s">
        <v>9</v>
      </c>
    </row>
    <row r="10" spans="1:16">
      <c r="A10" s="4"/>
      <c r="B10" s="14" t="b">
        <f>IF(C2=7,C26,IF(C2=8,C27,IF(C2=9,C28)))</f>
        <v>0</v>
      </c>
      <c r="C10" s="4"/>
      <c r="D10" s="4"/>
      <c r="E10" s="14" t="b">
        <f>IF(F2=7,C26,IF(F2=8,C27,IF(F2=9,C28)))</f>
        <v>0</v>
      </c>
      <c r="F10" s="4"/>
      <c r="G10" s="4"/>
      <c r="H10" s="14" t="b">
        <f>IF(I2=7,C26,IF(I2=8,C27,IF(I2=9,C28)))</f>
        <v>0</v>
      </c>
      <c r="I10" s="4"/>
      <c r="J10" s="4"/>
      <c r="K10" s="5"/>
      <c r="L10" s="4"/>
      <c r="M10" s="18">
        <f>(M5-M8)*100</f>
        <v>0</v>
      </c>
    </row>
    <row r="11" spans="1:16">
      <c r="A11" s="4"/>
      <c r="B11" s="11" t="b">
        <f>IF(B2=2,F21,IF(B2=3,F22,IF(B2=4,F23,IF(B2=5,F24,IF(B2=6,F25,IF(B2=7,F26,IF(B2=8,F27,IF(B2=9,F28))))))))</f>
        <v>0</v>
      </c>
      <c r="C11" s="4"/>
      <c r="D11" s="4"/>
      <c r="E11" s="11" t="b">
        <f>IF(E2=2,F21,IF(E2=3,F22,IF(E2=4,F23,IF(E2=5,F24,IF(E2=6,F25,IF(E2=7,F26,IF(E2=8,F27,IF(E2=9,F28))))))))</f>
        <v>0</v>
      </c>
      <c r="F11" s="4"/>
      <c r="G11" s="4"/>
      <c r="H11" s="11" t="b">
        <f>IF(H2=2,F21,IF(H2=3,F22,IF(H2=4,F23,IF(H2=5,F24,IF(H2=6,F25,IF(H2=7,F26,IF(H2=8,F27,IF(H2=9,F28))))))))</f>
        <v>0</v>
      </c>
      <c r="I11" s="4"/>
      <c r="J11" s="4"/>
      <c r="K11" s="5"/>
      <c r="L11" s="4"/>
      <c r="M11" s="19"/>
    </row>
    <row r="12" spans="1:16">
      <c r="A12" s="4"/>
      <c r="B12" s="14" t="b">
        <f>IF(B2=2,E21,IF(B2=3,E22,IF(B2=4,E23,IF(B2=5,E24,IF(B2=6,E25,IF(B2=7,E26,IF(B2=8,E27,IF(B2=9,E28))))))))</f>
        <v>0</v>
      </c>
      <c r="C12" s="4"/>
      <c r="D12" s="4"/>
      <c r="E12" s="14" t="b">
        <f>IF(E2=2,E21,IF(E2=3,E22,IF(E2=4,E23,IF(E2=5,E24,IF(E2=6,E25,IF(E2=7,E26,IF(E2=8,E27,IF(E2=9,E28))))))))</f>
        <v>0</v>
      </c>
      <c r="F12" s="4"/>
      <c r="G12" s="4"/>
      <c r="H12" s="14" t="b">
        <f>IF(H2=2,E21,IF(H2=3,E22,IF(H2=4,E23,IF(H2=5,E24,IF(H2=6,E25,IF(H2=7,E26,IF(H2=8,E27,IF(H2=9,E28))))))))</f>
        <v>0</v>
      </c>
      <c r="I12" s="4"/>
      <c r="J12" s="4"/>
      <c r="K12" s="5"/>
      <c r="L12" s="4"/>
      <c r="M12" s="12"/>
    </row>
    <row r="13" spans="1:16">
      <c r="A13" s="4"/>
      <c r="B13" s="4"/>
      <c r="C13" s="4"/>
      <c r="D13" s="4"/>
      <c r="E13" s="4"/>
      <c r="F13" s="4"/>
      <c r="G13" s="4"/>
      <c r="H13" s="4"/>
      <c r="I13" s="4"/>
      <c r="J13" s="4"/>
      <c r="K13" s="5"/>
      <c r="L13" s="4"/>
      <c r="M13" s="6">
        <f>M5+M11/100</f>
        <v>106</v>
      </c>
    </row>
    <row r="14" spans="1:16">
      <c r="A14" s="4"/>
      <c r="B14" s="4"/>
      <c r="C14" s="4"/>
      <c r="D14" s="4"/>
      <c r="E14" s="4"/>
      <c r="F14" s="4"/>
      <c r="G14" s="4"/>
      <c r="H14" s="4"/>
      <c r="I14" s="4"/>
      <c r="J14" s="4"/>
      <c r="K14" s="5"/>
      <c r="L14" s="4"/>
      <c r="M14" s="20">
        <f>M13/6</f>
        <v>17.666666666666668</v>
      </c>
    </row>
    <row r="15" spans="1:16">
      <c r="A15" s="4"/>
      <c r="B15" s="4"/>
      <c r="C15" s="4"/>
      <c r="D15" s="4"/>
      <c r="E15" s="4"/>
      <c r="F15" s="4"/>
      <c r="G15" s="4"/>
      <c r="H15" s="4"/>
      <c r="I15" s="4"/>
      <c r="J15" s="4"/>
      <c r="K15" s="5"/>
      <c r="L15" s="4"/>
      <c r="M15" s="21">
        <f>M13/6</f>
        <v>17.666666666666668</v>
      </c>
    </row>
    <row r="16" spans="1:16">
      <c r="A16" s="4"/>
      <c r="B16" s="4"/>
      <c r="C16" s="4"/>
      <c r="D16" s="4"/>
      <c r="E16" s="4"/>
      <c r="F16" s="4"/>
      <c r="G16" s="4"/>
      <c r="H16" s="4"/>
      <c r="I16" s="4"/>
      <c r="J16" s="4"/>
      <c r="K16" s="5"/>
      <c r="L16" s="4"/>
      <c r="M16" s="22">
        <f>TRUNC(M15,0)</f>
        <v>17</v>
      </c>
    </row>
    <row r="17" spans="1:13">
      <c r="A17" s="4"/>
      <c r="B17" s="4"/>
      <c r="C17" s="4"/>
      <c r="D17" s="4"/>
      <c r="E17" s="4"/>
      <c r="F17" s="4"/>
      <c r="G17" s="4"/>
      <c r="H17" s="4"/>
      <c r="I17" s="4"/>
      <c r="J17" s="4"/>
      <c r="K17" s="5"/>
      <c r="L17" s="4"/>
      <c r="M17" s="23">
        <f>M16</f>
        <v>17</v>
      </c>
    </row>
    <row r="18" spans="1:13">
      <c r="A18" s="4"/>
      <c r="B18" s="4"/>
      <c r="C18" s="4"/>
      <c r="D18" s="4"/>
      <c r="E18" s="4"/>
      <c r="F18" s="4"/>
      <c r="G18" s="4"/>
      <c r="H18" s="4"/>
      <c r="I18" s="4"/>
      <c r="J18" s="4"/>
      <c r="K18" s="5"/>
      <c r="L18" s="4"/>
      <c r="M18" s="19">
        <f>(M15-M17)*100</f>
        <v>66.666666666666785</v>
      </c>
    </row>
    <row r="19" spans="1:13">
      <c r="A19" s="4"/>
      <c r="B19" s="4"/>
      <c r="C19" s="4"/>
      <c r="D19" s="4"/>
      <c r="E19" s="4"/>
      <c r="F19" s="4"/>
      <c r="G19" s="4"/>
      <c r="H19" s="4"/>
      <c r="I19" s="4"/>
      <c r="J19" s="4"/>
      <c r="K19" s="5"/>
      <c r="L19" s="4"/>
      <c r="M19" s="24" t="str">
        <f>CONCATENATE(M17,M9,M18)</f>
        <v>17-66,6666666666668</v>
      </c>
    </row>
    <row r="20" spans="1:13">
      <c r="A20" s="25" t="s">
        <v>10</v>
      </c>
      <c r="B20" s="25" t="s">
        <v>11</v>
      </c>
      <c r="C20" s="25" t="s">
        <v>12</v>
      </c>
      <c r="D20" s="25" t="s">
        <v>13</v>
      </c>
      <c r="E20" s="25" t="s">
        <v>14</v>
      </c>
      <c r="F20" s="25" t="s">
        <v>15</v>
      </c>
      <c r="G20" s="25" t="s">
        <v>10</v>
      </c>
      <c r="H20" s="25" t="s">
        <v>16</v>
      </c>
      <c r="I20" s="25" t="s">
        <v>17</v>
      </c>
      <c r="J20" s="4"/>
      <c r="K20" s="5"/>
      <c r="L20" s="4"/>
    </row>
    <row r="21" spans="1:13">
      <c r="A21" s="25" t="s">
        <v>18</v>
      </c>
      <c r="B21" s="25" t="s">
        <v>19</v>
      </c>
      <c r="C21" s="25" t="s">
        <v>20</v>
      </c>
      <c r="D21" s="25" t="s">
        <v>21</v>
      </c>
      <c r="E21" s="25" t="s">
        <v>22</v>
      </c>
      <c r="F21" s="25" t="s">
        <v>23</v>
      </c>
      <c r="G21" s="25" t="s">
        <v>18</v>
      </c>
      <c r="H21" s="25" t="s">
        <v>24</v>
      </c>
      <c r="I21" s="25" t="s">
        <v>25</v>
      </c>
      <c r="J21" s="4"/>
      <c r="K21" s="5"/>
      <c r="L21" s="4"/>
      <c r="M21" s="19">
        <v>1.9999999999996021</v>
      </c>
    </row>
    <row r="22" spans="1:13">
      <c r="A22" s="25" t="s">
        <v>26</v>
      </c>
      <c r="B22" s="25" t="s">
        <v>27</v>
      </c>
      <c r="C22" s="25" t="s">
        <v>28</v>
      </c>
      <c r="D22" s="25" t="s">
        <v>29</v>
      </c>
      <c r="E22" s="25" t="s">
        <v>30</v>
      </c>
      <c r="F22" s="25" t="s">
        <v>31</v>
      </c>
      <c r="G22" s="25" t="s">
        <v>11</v>
      </c>
      <c r="H22" s="25" t="s">
        <v>32</v>
      </c>
      <c r="I22" s="25" t="s">
        <v>33</v>
      </c>
      <c r="J22" s="4"/>
      <c r="K22" s="5"/>
      <c r="L22" s="4"/>
    </row>
    <row r="23" spans="1:13">
      <c r="A23" s="25" t="s">
        <v>34</v>
      </c>
      <c r="B23" s="25" t="s">
        <v>35</v>
      </c>
      <c r="C23" s="25" t="s">
        <v>36</v>
      </c>
      <c r="D23" s="25" t="s">
        <v>37</v>
      </c>
      <c r="E23" s="26" t="s">
        <v>38</v>
      </c>
      <c r="F23" s="25" t="s">
        <v>39</v>
      </c>
      <c r="G23" s="25" t="s">
        <v>19</v>
      </c>
      <c r="H23" s="27" t="s">
        <v>40</v>
      </c>
      <c r="I23" s="25" t="s">
        <v>41</v>
      </c>
      <c r="J23" s="4"/>
      <c r="K23" s="5"/>
      <c r="L23" s="4"/>
    </row>
    <row r="24" spans="1:13">
      <c r="A24" s="25" t="s">
        <v>42</v>
      </c>
      <c r="B24" s="25" t="s">
        <v>43</v>
      </c>
      <c r="C24" s="25" t="s">
        <v>44</v>
      </c>
      <c r="D24" s="25" t="s">
        <v>45</v>
      </c>
      <c r="E24" s="25" t="s">
        <v>46</v>
      </c>
      <c r="F24" s="25" t="s">
        <v>47</v>
      </c>
      <c r="G24" s="25"/>
      <c r="H24" s="25" t="s">
        <v>48</v>
      </c>
      <c r="I24" s="25" t="s">
        <v>49</v>
      </c>
      <c r="J24" s="4"/>
      <c r="K24" s="5"/>
      <c r="L24" s="4"/>
    </row>
    <row r="25" spans="1:13">
      <c r="A25" s="25" t="s">
        <v>50</v>
      </c>
      <c r="B25" s="25" t="s">
        <v>51</v>
      </c>
      <c r="C25" s="25" t="s">
        <v>52</v>
      </c>
      <c r="D25" s="25" t="s">
        <v>53</v>
      </c>
      <c r="E25" s="25" t="s">
        <v>54</v>
      </c>
      <c r="F25" s="25" t="s">
        <v>55</v>
      </c>
      <c r="G25" s="25"/>
      <c r="H25" s="25" t="s">
        <v>56</v>
      </c>
      <c r="I25" s="25" t="s">
        <v>57</v>
      </c>
      <c r="J25" s="4"/>
      <c r="K25" s="5"/>
      <c r="L25" s="4"/>
    </row>
    <row r="26" spans="1:13">
      <c r="A26" s="25" t="s">
        <v>58</v>
      </c>
      <c r="B26" s="25" t="s">
        <v>59</v>
      </c>
      <c r="C26" s="25" t="s">
        <v>60</v>
      </c>
      <c r="D26" s="25" t="s">
        <v>61</v>
      </c>
      <c r="E26" s="25" t="s">
        <v>62</v>
      </c>
      <c r="F26" s="25" t="s">
        <v>63</v>
      </c>
      <c r="G26" s="25"/>
      <c r="H26" s="25" t="s">
        <v>64</v>
      </c>
      <c r="I26" s="25" t="s">
        <v>65</v>
      </c>
      <c r="J26" s="4"/>
      <c r="K26" s="5"/>
      <c r="L26" s="4"/>
    </row>
    <row r="27" spans="1:13">
      <c r="A27" s="25" t="s">
        <v>66</v>
      </c>
      <c r="B27" s="25" t="s">
        <v>67</v>
      </c>
      <c r="C27" s="25" t="s">
        <v>68</v>
      </c>
      <c r="D27" s="25" t="s">
        <v>69</v>
      </c>
      <c r="E27" s="25" t="s">
        <v>70</v>
      </c>
      <c r="F27" s="25" t="s">
        <v>71</v>
      </c>
      <c r="G27" s="25"/>
      <c r="H27" s="25" t="s">
        <v>72</v>
      </c>
      <c r="I27" s="25" t="s">
        <v>73</v>
      </c>
      <c r="J27" s="4"/>
      <c r="K27" s="5"/>
      <c r="L27" s="4"/>
    </row>
    <row r="28" spans="1:13">
      <c r="A28" s="25" t="s">
        <v>74</v>
      </c>
      <c r="B28" s="25" t="s">
        <v>75</v>
      </c>
      <c r="C28" s="25" t="s">
        <v>76</v>
      </c>
      <c r="D28" s="25" t="s">
        <v>77</v>
      </c>
      <c r="E28" s="25" t="s">
        <v>78</v>
      </c>
      <c r="F28" s="25" t="s">
        <v>79</v>
      </c>
      <c r="G28" s="25"/>
      <c r="H28" s="25" t="s">
        <v>80</v>
      </c>
      <c r="I28" s="25" t="s">
        <v>81</v>
      </c>
      <c r="J28" s="4"/>
      <c r="K28" s="5"/>
      <c r="L28" s="4"/>
    </row>
    <row r="29" spans="1:13">
      <c r="A29" s="4"/>
      <c r="B29" s="4"/>
      <c r="C29" s="4"/>
      <c r="D29" s="4"/>
      <c r="E29" s="4"/>
      <c r="F29" s="4"/>
      <c r="G29" s="4"/>
      <c r="H29" s="4"/>
      <c r="I29" s="4"/>
      <c r="J29" s="4"/>
      <c r="K29" s="5"/>
      <c r="L29" s="4"/>
    </row>
    <row r="30" spans="1:13">
      <c r="A30" s="28">
        <f t="shared" ref="A30:I30" si="1">A3</f>
        <v>0</v>
      </c>
      <c r="B30" s="28">
        <f t="shared" si="1"/>
        <v>0</v>
      </c>
      <c r="C30" s="28">
        <f t="shared" si="1"/>
        <v>0</v>
      </c>
      <c r="D30" s="28">
        <f t="shared" si="1"/>
        <v>0</v>
      </c>
      <c r="E30" s="28">
        <f t="shared" si="1"/>
        <v>0</v>
      </c>
      <c r="F30" s="28">
        <f t="shared" si="1"/>
        <v>0</v>
      </c>
      <c r="G30" s="28" t="str">
        <f t="shared" si="1"/>
        <v xml:space="preserve"> Yüz</v>
      </c>
      <c r="H30" s="28">
        <f t="shared" si="1"/>
        <v>0</v>
      </c>
      <c r="I30" s="28" t="str">
        <f t="shared" si="1"/>
        <v xml:space="preserve"> altı</v>
      </c>
      <c r="J30" s="3"/>
      <c r="K30" s="4"/>
      <c r="L30" s="4"/>
    </row>
    <row r="31" spans="1:13">
      <c r="A31" s="29">
        <f>A30</f>
        <v>0</v>
      </c>
      <c r="B31" s="29">
        <f>B30</f>
        <v>0</v>
      </c>
      <c r="C31" s="29">
        <f>C30</f>
        <v>0</v>
      </c>
      <c r="D31" s="14" t="str">
        <f>M4</f>
        <v xml:space="preserve"> milyon</v>
      </c>
      <c r="E31" s="29">
        <f>D30</f>
        <v>0</v>
      </c>
      <c r="F31" s="29">
        <f>E30</f>
        <v>0</v>
      </c>
      <c r="G31" s="29">
        <f>F30</f>
        <v>0</v>
      </c>
      <c r="H31" s="14" t="str">
        <f>M3</f>
        <v xml:space="preserve"> min</v>
      </c>
      <c r="I31" s="29" t="str">
        <f>G30</f>
        <v xml:space="preserve"> Yüz</v>
      </c>
      <c r="J31" s="29">
        <f>H30</f>
        <v>0</v>
      </c>
      <c r="K31" s="29" t="str">
        <f>I30</f>
        <v xml:space="preserve"> altı</v>
      </c>
      <c r="L31" s="14" t="str">
        <f>M2</f>
        <v xml:space="preserve"> </v>
      </c>
    </row>
    <row r="32" spans="1:13">
      <c r="A32" s="30">
        <f>IF(A31=0,0,1)</f>
        <v>0</v>
      </c>
      <c r="B32" s="30">
        <f>IF(B31=0,0,1)</f>
        <v>0</v>
      </c>
      <c r="C32" s="30">
        <f>IF(C31=0,0,1)</f>
        <v>0</v>
      </c>
      <c r="D32" s="30">
        <v>1</v>
      </c>
      <c r="E32" s="30">
        <f>IF(E31=0,0,1)</f>
        <v>0</v>
      </c>
      <c r="F32" s="30">
        <f>IF(F31=0,0,1)</f>
        <v>0</v>
      </c>
      <c r="G32" s="30">
        <f>IF(G31=0,0,1)</f>
        <v>0</v>
      </c>
      <c r="H32" s="30">
        <v>1</v>
      </c>
      <c r="I32" s="30">
        <f>IF(I31=0,0,1)</f>
        <v>1</v>
      </c>
      <c r="J32" s="30">
        <f>IF(J31=0,0,1)</f>
        <v>0</v>
      </c>
      <c r="K32" s="30">
        <f>IF(K31=0,0,1)</f>
        <v>1</v>
      </c>
      <c r="L32" s="30">
        <v>1</v>
      </c>
    </row>
    <row r="33" spans="1:12">
      <c r="A33" s="31" t="str">
        <f>IF(L45=1,A31,A34)</f>
        <v xml:space="preserve"> Yüz</v>
      </c>
      <c r="B33" s="31" t="str">
        <f>IF(L44=2,B31,IF(L44=1,B34,IF(L44=0,B35)))</f>
        <v xml:space="preserve"> altı</v>
      </c>
      <c r="C33" s="31" t="str">
        <f>IF(L43=3,C31,IF(L43=2,D31,IF(L43=1,D35,IF(L43=0,C34))))</f>
        <v xml:space="preserve"> </v>
      </c>
      <c r="D33" s="31">
        <f>IF(L42=4,D31,IF(L42=3,D35,IF(L42=2,D34,IF(L42=1,D43))))</f>
        <v>0</v>
      </c>
      <c r="E33" s="31">
        <f>IF(L41=5,E31,IF(L41=4,E34,IF(L41=3,E39,IF(L41=2,E52,E49))))</f>
        <v>0</v>
      </c>
      <c r="F33" s="31">
        <f>IF(L40=6,F31,IF(L40=5,F34,IF(L40=4,F35,IF(L40=3,F37,IF(L40=2,F41,IF(L40=1,F44))))))</f>
        <v>0</v>
      </c>
      <c r="G33" s="31">
        <f>IF(L39=7,G31,IF(L39=6,H31,IF(L39=5,H34,IF(L39=4,G34,IF(L39=3,G38,IF(L39=2,G36,0))))))</f>
        <v>0</v>
      </c>
      <c r="H33" s="31">
        <f>IF(L38=8,H31,IF(L38=7,H34,IF(L38=6,H38,IF(L38=5,H43,IF(L38=4,H44,0)))))</f>
        <v>0</v>
      </c>
      <c r="I33" s="31">
        <f>IF(L37=9,I31,IF(L37=8,I34,IF(L37=7,I36,IF(L37=6,I37,0))))</f>
        <v>0</v>
      </c>
      <c r="J33" s="31">
        <f>IF(L36=10,J31,IF(L36=9,J34,IF(L36=8,J35,0)))</f>
        <v>0</v>
      </c>
      <c r="K33" s="31">
        <f>IF(L35=11,K31,IF(L35=10,L31,))</f>
        <v>0</v>
      </c>
      <c r="L33" s="31">
        <f>IF(L34=12,L31,0)</f>
        <v>0</v>
      </c>
    </row>
    <row r="34" spans="1:12">
      <c r="A34" s="11" t="str">
        <f>IF(B32=0,A35,B31)</f>
        <v xml:space="preserve"> Yüz</v>
      </c>
      <c r="B34" s="11" t="str">
        <f>IF(C32=0,D31,C31)</f>
        <v xml:space="preserve"> milyon</v>
      </c>
      <c r="C34" s="11" t="str">
        <f>IF(L48=3,G31,IF(L48=2,H31,IF(L48=1,H34,H41)))</f>
        <v xml:space="preserve"> </v>
      </c>
      <c r="D34" s="32" t="str">
        <f>IF(E31=0,D38,D40)</f>
        <v xml:space="preserve"> altı</v>
      </c>
      <c r="E34" s="33" t="str">
        <f>IF(L49=3,E35,E37)</f>
        <v xml:space="preserve"> min</v>
      </c>
      <c r="F34" s="11" t="str">
        <f>IF(G31=0,H31,G31)</f>
        <v xml:space="preserve"> min</v>
      </c>
      <c r="G34" s="33" t="str">
        <f>IF(L48=0,H41,G37)</f>
        <v xml:space="preserve"> </v>
      </c>
      <c r="H34" s="33" t="str">
        <f>IF(L47=0,L31,IF(L47=1,H35,IF(L47=2,H37,IF(L47=3,I31))))</f>
        <v xml:space="preserve"> Yüz</v>
      </c>
      <c r="I34" s="33" t="str">
        <f>IF(L46=1,L31,IF(L46=2,I35,IF(L46=3,J31)))</f>
        <v xml:space="preserve"> altı</v>
      </c>
      <c r="J34" s="11" t="str">
        <f>IF(K32=0,L31,K31)</f>
        <v xml:space="preserve"> altı</v>
      </c>
      <c r="K34" s="4"/>
      <c r="L34" s="34">
        <f>SUM(A32:L32)</f>
        <v>5</v>
      </c>
    </row>
    <row r="35" spans="1:12">
      <c r="A35" s="11" t="str">
        <f>IF(C31=0,A36,C31)</f>
        <v xml:space="preserve"> Yüz</v>
      </c>
      <c r="B35" s="11" t="str">
        <f>IF(C31=0,D34,D31)</f>
        <v xml:space="preserve"> altı</v>
      </c>
      <c r="C35" s="4"/>
      <c r="D35" s="11" t="str">
        <f>IF(E32=0,D36,E31)</f>
        <v xml:space="preserve"> Yüz</v>
      </c>
      <c r="E35" s="33" t="str">
        <f>IF(F32=0,E36,F31)</f>
        <v xml:space="preserve"> Yüz</v>
      </c>
      <c r="F35" s="35" t="str">
        <f>IF(L48=0,H38,F36)</f>
        <v xml:space="preserve"> altı</v>
      </c>
      <c r="G35" s="11">
        <f>IF(L48=0,H42,H41)</f>
        <v>0</v>
      </c>
      <c r="H35" s="14" t="str">
        <f>IF(I32=0,H36,I31)</f>
        <v xml:space="preserve"> Yüz</v>
      </c>
      <c r="I35" s="33" t="str">
        <f>IF(J32=0,K31,J31)</f>
        <v xml:space="preserve"> altı</v>
      </c>
      <c r="J35" s="11" t="str">
        <f>IF(K32=0,0,L31)</f>
        <v xml:space="preserve"> </v>
      </c>
      <c r="K35" s="4"/>
      <c r="L35" s="14">
        <f>SUM(A32:K32)</f>
        <v>4</v>
      </c>
    </row>
    <row r="36" spans="1:12">
      <c r="A36" s="11" t="str">
        <f>IF(E32=0,A37,E31)</f>
        <v xml:space="preserve"> Yüz</v>
      </c>
      <c r="B36" s="4"/>
      <c r="C36" s="4"/>
      <c r="D36" s="11" t="str">
        <f>IF(F32=0,D37,F31)</f>
        <v xml:space="preserve"> Yüz</v>
      </c>
      <c r="E36" s="33" t="str">
        <f>IF(G32=0,H34,G31)</f>
        <v xml:space="preserve"> Yüz</v>
      </c>
      <c r="F36" s="33" t="str">
        <f>IF(G32=0,H34,H31)</f>
        <v xml:space="preserve"> Yüz</v>
      </c>
      <c r="G36" s="11">
        <f>IF(L48=0,0,G39)</f>
        <v>0</v>
      </c>
      <c r="H36" s="14" t="str">
        <f>IF(J32=0,K31,J31)</f>
        <v xml:space="preserve"> altı</v>
      </c>
      <c r="I36" s="11" t="str">
        <f>IF(L46=3,K31,IF(L46=2,L31,IF(L46=1,0)))</f>
        <v xml:space="preserve"> </v>
      </c>
      <c r="J36" s="4"/>
      <c r="K36" s="4"/>
      <c r="L36" s="14">
        <f>SUM(A32:J32)</f>
        <v>3</v>
      </c>
    </row>
    <row r="37" spans="1:12">
      <c r="A37" s="11" t="str">
        <f>IF(F32=0,A38,F31)</f>
        <v xml:space="preserve"> Yüz</v>
      </c>
      <c r="B37" s="4"/>
      <c r="C37" s="4"/>
      <c r="D37" s="11" t="str">
        <f>IF(G32=0,H34,G31)</f>
        <v xml:space="preserve"> Yüz</v>
      </c>
      <c r="E37" s="33" t="str">
        <f>IF(F32=0,E38,F31)</f>
        <v xml:space="preserve"> min</v>
      </c>
      <c r="F37" s="11" t="str">
        <f>IF(L49=0,F38,F39)</f>
        <v xml:space="preserve"> </v>
      </c>
      <c r="G37" s="11" t="str">
        <f>IF(L49=0,H41,H38)</f>
        <v xml:space="preserve"> </v>
      </c>
      <c r="H37" s="11" t="str">
        <f>IF(I32=0,J31,I31)</f>
        <v xml:space="preserve"> Yüz</v>
      </c>
      <c r="I37" s="11">
        <f>IF(L49=0,0,I38)</f>
        <v>0</v>
      </c>
      <c r="J37" s="4"/>
      <c r="K37" s="4"/>
      <c r="L37" s="14">
        <f>SUM(A32:I32)</f>
        <v>3</v>
      </c>
    </row>
    <row r="38" spans="1:12">
      <c r="A38" s="11" t="str">
        <f>IF(G32=0,A39,G31)</f>
        <v xml:space="preserve"> Yüz</v>
      </c>
      <c r="B38" s="4"/>
      <c r="C38" s="4"/>
      <c r="D38" s="32" t="str">
        <f>IF(F31=0,D39,D42)</f>
        <v xml:space="preserve"> altı</v>
      </c>
      <c r="E38" s="33" t="str">
        <f>IF(G32=0,H31,G31)</f>
        <v xml:space="preserve"> min</v>
      </c>
      <c r="F38" s="11" t="str">
        <f>IF(G31=0,H41,H38)</f>
        <v xml:space="preserve"> </v>
      </c>
      <c r="G38" s="14">
        <f>IF(L49=0,H42,G35)</f>
        <v>0</v>
      </c>
      <c r="H38" s="32" t="str">
        <f>IF(L47=0,0,IF(L47=1,L31,IF(L47=2,H39,IF(L47=3,J31))))</f>
        <v xml:space="preserve"> altı</v>
      </c>
      <c r="I38" s="11">
        <f>IF(L48=0,0,I39)</f>
        <v>0</v>
      </c>
      <c r="J38" s="4"/>
      <c r="K38" s="4"/>
      <c r="L38" s="33">
        <f>SUM(A32:H32)</f>
        <v>2</v>
      </c>
    </row>
    <row r="39" spans="1:12">
      <c r="A39" s="11" t="str">
        <f>IF(I32=0,A40,I31)</f>
        <v xml:space="preserve"> Yüz</v>
      </c>
      <c r="B39" s="4"/>
      <c r="C39" s="4"/>
      <c r="D39" s="32" t="str">
        <f>IF(G31=0,H38,H31)</f>
        <v xml:space="preserve"> altı</v>
      </c>
      <c r="E39" s="14" t="str">
        <f>IF(L49=2,E40,E43)</f>
        <v xml:space="preserve"> Yüz</v>
      </c>
      <c r="F39" s="32" t="str">
        <f>IF(L48=0,H41,F40)</f>
        <v xml:space="preserve"> </v>
      </c>
      <c r="G39" s="11">
        <f>IF(L49=0,0,H42)</f>
        <v>0</v>
      </c>
      <c r="H39" s="11" t="str">
        <f>IF(I32=0,K31,H40)</f>
        <v xml:space="preserve"> altı</v>
      </c>
      <c r="I39" s="11" t="str">
        <f>IF(L47=3,L31,I40)</f>
        <v xml:space="preserve"> </v>
      </c>
      <c r="J39" s="4"/>
      <c r="K39" s="4"/>
      <c r="L39" s="11">
        <f>SUM(A32:G32)</f>
        <v>1</v>
      </c>
    </row>
    <row r="40" spans="1:12">
      <c r="A40" s="11" t="str">
        <f>IF(J32=0,A41,J31)</f>
        <v xml:space="preserve"> altı</v>
      </c>
      <c r="B40" s="4"/>
      <c r="C40" s="4"/>
      <c r="D40" s="32" t="str">
        <f>IF(F32=0,D41,F31)</f>
        <v xml:space="preserve"> min</v>
      </c>
      <c r="E40" s="11" t="str">
        <f>IF(F32=0,E41,E42)</f>
        <v xml:space="preserve"> altı</v>
      </c>
      <c r="F40" s="32" t="str">
        <f>IF(G32=0,H38,H34)</f>
        <v xml:space="preserve"> altı</v>
      </c>
      <c r="G40" s="4"/>
      <c r="H40" s="11" t="str">
        <f>IF(J32=0,K31,J31)</f>
        <v xml:space="preserve"> altı</v>
      </c>
      <c r="I40" s="11" t="str">
        <f>IF(L47=2,L31,0)</f>
        <v xml:space="preserve"> </v>
      </c>
      <c r="J40" s="4"/>
      <c r="K40" s="4"/>
      <c r="L40" s="11">
        <f>SUM(A32:F32)</f>
        <v>1</v>
      </c>
    </row>
    <row r="41" spans="1:12">
      <c r="A41" s="11" t="str">
        <f>IF(K32=0,0,K31)</f>
        <v xml:space="preserve"> altı</v>
      </c>
      <c r="B41" s="4"/>
      <c r="C41" s="4"/>
      <c r="D41" s="32" t="str">
        <f>IF(G32=0,H31,G31)</f>
        <v xml:space="preserve"> min</v>
      </c>
      <c r="E41" s="11" t="str">
        <f>IF(G32=0,H38,H31)</f>
        <v xml:space="preserve"> altı</v>
      </c>
      <c r="F41" s="14">
        <f>IF(L49=0,F43,F42)</f>
        <v>0</v>
      </c>
      <c r="G41" s="4"/>
      <c r="H41" s="32" t="str">
        <f>IF(L47=3,K31,IF(L47=2,L31,0))</f>
        <v xml:space="preserve"> </v>
      </c>
      <c r="I41" s="4"/>
      <c r="J41" s="4"/>
      <c r="K41" s="4"/>
      <c r="L41" s="33">
        <f>SUM(A32:E32)</f>
        <v>1</v>
      </c>
    </row>
    <row r="42" spans="1:12">
      <c r="A42" s="4"/>
      <c r="B42" s="4"/>
      <c r="C42" s="4"/>
      <c r="D42" s="32" t="str">
        <f>IF(G32=0,H31,G31)</f>
        <v xml:space="preserve"> min</v>
      </c>
      <c r="E42" s="11" t="str">
        <f>IF(G32=0,H31,G31)</f>
        <v xml:space="preserve"> min</v>
      </c>
      <c r="F42" s="14" t="str">
        <f>IF(G32=0,H41,H38)</f>
        <v xml:space="preserve"> </v>
      </c>
      <c r="G42" s="4"/>
      <c r="H42" s="33">
        <f>IF(L47=3,L31,0)</f>
        <v>0</v>
      </c>
      <c r="I42" s="4"/>
      <c r="J42" s="4"/>
      <c r="K42" s="4"/>
      <c r="L42" s="10">
        <f>SUM(A32:D32)</f>
        <v>1</v>
      </c>
    </row>
    <row r="43" spans="1:12">
      <c r="A43" s="4"/>
      <c r="B43" s="4"/>
      <c r="C43" s="4"/>
      <c r="D43" s="11">
        <f>IF(L48=3,H31,IF(L48=2,H34,IF(L48=1,H38,IF(L48=0,H42))))</f>
        <v>0</v>
      </c>
      <c r="E43" s="14" t="str">
        <f>IF(F32=0,E44,E45)</f>
        <v xml:space="preserve"> Yüz</v>
      </c>
      <c r="F43" s="14">
        <f>IF(G31=0,H42,H41)</f>
        <v>0</v>
      </c>
      <c r="G43" s="4"/>
      <c r="H43" s="14">
        <f>IF(L49=0,H42,H41)</f>
        <v>0</v>
      </c>
      <c r="I43" s="4"/>
      <c r="J43" s="4"/>
      <c r="K43" s="4"/>
      <c r="L43" s="10">
        <f>SUM(A32:C32)</f>
        <v>0</v>
      </c>
    </row>
    <row r="44" spans="1:12">
      <c r="A44" s="4"/>
      <c r="B44" s="4"/>
      <c r="C44" s="4"/>
      <c r="D44" s="4"/>
      <c r="E44" s="14" t="str">
        <f>IF(G32=0,H34,H31)</f>
        <v xml:space="preserve"> Yüz</v>
      </c>
      <c r="F44" s="14">
        <f>IF(G31=0,0,H42)</f>
        <v>0</v>
      </c>
      <c r="G44" s="4"/>
      <c r="H44" s="11">
        <f>IF(L49=0,0,H42)</f>
        <v>0</v>
      </c>
      <c r="I44" s="4"/>
      <c r="J44" s="4"/>
      <c r="K44" s="4"/>
      <c r="L44" s="10">
        <f>SUM(A32:B32)</f>
        <v>0</v>
      </c>
    </row>
    <row r="45" spans="1:12">
      <c r="A45" s="4"/>
      <c r="B45" s="4"/>
      <c r="C45" s="4"/>
      <c r="D45" s="4"/>
      <c r="E45" s="14" t="str">
        <f>IF(G32=0,H31,G31)</f>
        <v xml:space="preserve"> min</v>
      </c>
      <c r="F45" s="4"/>
      <c r="G45" s="4"/>
      <c r="H45" s="4"/>
      <c r="I45" s="4"/>
      <c r="J45" s="4"/>
      <c r="K45" s="4"/>
      <c r="L45" s="10">
        <f>SUM(A32)</f>
        <v>0</v>
      </c>
    </row>
    <row r="46" spans="1:12">
      <c r="A46" s="4"/>
      <c r="B46" s="4"/>
      <c r="C46" s="4"/>
      <c r="D46" s="4"/>
      <c r="E46" s="33" t="str">
        <f>IF(F32=0,E47,E48)</f>
        <v xml:space="preserve"> </v>
      </c>
      <c r="F46" s="4"/>
      <c r="G46" s="4"/>
      <c r="H46" s="4"/>
      <c r="I46" s="4"/>
      <c r="J46" s="4"/>
      <c r="K46" s="4"/>
      <c r="L46" s="11">
        <f>SUM(J32:L32)</f>
        <v>2</v>
      </c>
    </row>
    <row r="47" spans="1:12">
      <c r="A47" s="4"/>
      <c r="B47" s="4"/>
      <c r="C47" s="4"/>
      <c r="D47" s="4"/>
      <c r="E47" s="33" t="str">
        <f>IF(G32=0,H41,H34)</f>
        <v xml:space="preserve"> </v>
      </c>
      <c r="F47" s="4"/>
      <c r="G47" s="4"/>
      <c r="H47" s="4"/>
      <c r="I47" s="4"/>
      <c r="J47" s="4"/>
      <c r="K47" s="4"/>
      <c r="L47" s="33">
        <f>SUM(I32:K32)</f>
        <v>2</v>
      </c>
    </row>
    <row r="48" spans="1:12">
      <c r="A48" s="4"/>
      <c r="B48" s="4"/>
      <c r="C48" s="4"/>
      <c r="D48" s="4"/>
      <c r="E48" s="33" t="str">
        <f>IF(G31=0,H34,H31)</f>
        <v xml:space="preserve"> Yüz</v>
      </c>
      <c r="F48" s="4"/>
      <c r="G48" s="4"/>
      <c r="H48" s="4"/>
      <c r="I48" s="4"/>
      <c r="J48" s="4"/>
      <c r="K48" s="4"/>
      <c r="L48" s="10">
        <f>SUM(E32:G32)</f>
        <v>0</v>
      </c>
    </row>
    <row r="49" spans="1:12">
      <c r="A49" s="4"/>
      <c r="B49" s="4"/>
      <c r="C49" s="4"/>
      <c r="D49" s="4"/>
      <c r="E49" s="32">
        <f>IF(F31=0,E50,E51)</f>
        <v>0</v>
      </c>
      <c r="F49" s="4"/>
      <c r="G49" s="4"/>
      <c r="H49" s="4"/>
      <c r="I49" s="4"/>
      <c r="J49" s="4"/>
      <c r="K49" s="4"/>
      <c r="L49" s="33">
        <f>SUM(A32:C32)</f>
        <v>0</v>
      </c>
    </row>
    <row r="50" spans="1:12">
      <c r="A50" s="4"/>
      <c r="B50" s="4"/>
      <c r="C50" s="4"/>
      <c r="D50" s="4"/>
      <c r="E50" s="32">
        <f>IF(G31=0,0,H41)</f>
        <v>0</v>
      </c>
      <c r="F50" s="4"/>
      <c r="G50" s="4"/>
      <c r="H50" s="4"/>
      <c r="I50" s="4"/>
      <c r="J50" s="4"/>
      <c r="K50" s="4"/>
      <c r="L50" s="4"/>
    </row>
    <row r="51" spans="1:12">
      <c r="A51" s="4"/>
      <c r="B51" s="4"/>
      <c r="C51" s="4"/>
      <c r="D51" s="4"/>
      <c r="E51" s="32" t="str">
        <f>IF(G32=0,H41,H38)</f>
        <v xml:space="preserve"> </v>
      </c>
      <c r="F51" s="4"/>
      <c r="G51" s="4"/>
      <c r="H51" s="4"/>
      <c r="I51" s="4"/>
      <c r="J51" s="4"/>
      <c r="K51" s="4"/>
      <c r="L51" s="4"/>
    </row>
    <row r="52" spans="1:12">
      <c r="A52" s="4"/>
      <c r="B52" s="4"/>
      <c r="C52" s="4"/>
      <c r="D52" s="4"/>
      <c r="E52" s="33">
        <f>IF(L49=0,E53,E46)</f>
        <v>0</v>
      </c>
      <c r="F52" s="4"/>
      <c r="G52" s="4"/>
      <c r="H52" s="4"/>
      <c r="I52" s="4"/>
      <c r="J52" s="4"/>
      <c r="K52" s="4"/>
      <c r="L52" s="4"/>
    </row>
    <row r="53" spans="1:12">
      <c r="A53" s="4"/>
      <c r="B53" s="4"/>
      <c r="C53" s="4"/>
      <c r="D53" s="4"/>
      <c r="E53" s="33">
        <f>IF(L48=3,H34,IF(L48=2,H38,IF(L48=1,H41,0)))</f>
        <v>0</v>
      </c>
      <c r="F53" s="4"/>
      <c r="G53" s="4"/>
      <c r="H53" s="4"/>
      <c r="I53" s="4"/>
      <c r="J53" s="4"/>
      <c r="K53" s="4"/>
      <c r="L53" s="4"/>
    </row>
    <row r="54" spans="1:12">
      <c r="A54" s="8">
        <f t="shared" ref="A54:L54" si="2">LEN(A33)</f>
        <v>4</v>
      </c>
      <c r="B54" s="8">
        <f t="shared" si="2"/>
        <v>5</v>
      </c>
      <c r="C54" s="8">
        <f t="shared" si="2"/>
        <v>1</v>
      </c>
      <c r="D54" s="8">
        <f t="shared" si="2"/>
        <v>1</v>
      </c>
      <c r="E54" s="8">
        <f t="shared" si="2"/>
        <v>1</v>
      </c>
      <c r="F54" s="8">
        <f t="shared" si="2"/>
        <v>1</v>
      </c>
      <c r="G54" s="8">
        <f t="shared" si="2"/>
        <v>1</v>
      </c>
      <c r="H54" s="8">
        <f t="shared" si="2"/>
        <v>1</v>
      </c>
      <c r="I54" s="8">
        <f t="shared" si="2"/>
        <v>1</v>
      </c>
      <c r="J54" s="8">
        <f t="shared" si="2"/>
        <v>1</v>
      </c>
      <c r="K54" s="8">
        <f t="shared" si="2"/>
        <v>1</v>
      </c>
      <c r="L54" s="8">
        <f t="shared" si="2"/>
        <v>1</v>
      </c>
    </row>
    <row r="55" spans="1:12">
      <c r="A55" s="11"/>
      <c r="B55" s="11"/>
      <c r="C55" s="11"/>
      <c r="D55" s="11"/>
      <c r="E55" s="11">
        <f>SUM(A54:E54)</f>
        <v>12</v>
      </c>
      <c r="F55" s="11">
        <f>SUM(A54:F54)</f>
        <v>13</v>
      </c>
      <c r="G55" s="11">
        <f>SUM(A54:G54)</f>
        <v>14</v>
      </c>
      <c r="H55" s="11">
        <f>SUM(A54:H54)</f>
        <v>15</v>
      </c>
      <c r="I55" s="11">
        <f>SUM(A54:I54)</f>
        <v>16</v>
      </c>
      <c r="J55" s="11">
        <f>SUM(A54:J54)</f>
        <v>17</v>
      </c>
      <c r="K55" s="11">
        <f>SUM(A54:K54)</f>
        <v>18</v>
      </c>
      <c r="L55" s="11">
        <f>SUM(A54:L54)</f>
        <v>19</v>
      </c>
    </row>
    <row r="56" spans="1:12">
      <c r="A56" s="10" t="str">
        <f>IF(A33=0,"    ",A33)</f>
        <v xml:space="preserve"> Yüz</v>
      </c>
      <c r="B56" s="10" t="str">
        <f>IF(B33=0,"    ",B33)</f>
        <v xml:space="preserve"> altı</v>
      </c>
      <c r="C56" s="10" t="str">
        <f t="shared" ref="C56:K56" si="3">IF(C33=0," ",C33)</f>
        <v xml:space="preserve"> </v>
      </c>
      <c r="D56" s="10" t="str">
        <f t="shared" si="3"/>
        <v xml:space="preserve"> </v>
      </c>
      <c r="E56" s="10" t="str">
        <f t="shared" si="3"/>
        <v xml:space="preserve"> </v>
      </c>
      <c r="F56" s="10" t="str">
        <f t="shared" si="3"/>
        <v xml:space="preserve"> </v>
      </c>
      <c r="G56" s="10" t="str">
        <f t="shared" si="3"/>
        <v xml:space="preserve"> </v>
      </c>
      <c r="H56" s="10" t="str">
        <f t="shared" si="3"/>
        <v xml:space="preserve"> </v>
      </c>
      <c r="I56" s="10" t="str">
        <f t="shared" si="3"/>
        <v xml:space="preserve"> </v>
      </c>
      <c r="J56" s="10" t="str">
        <f t="shared" si="3"/>
        <v xml:space="preserve"> </v>
      </c>
      <c r="K56" s="10" t="str">
        <f t="shared" si="3"/>
        <v xml:space="preserve"> </v>
      </c>
      <c r="L56" s="10" t="str">
        <f>IF(B61=0,"    ",B61)</f>
        <v>qəp.</v>
      </c>
    </row>
    <row r="57" spans="1:12">
      <c r="A57" s="10" t="str">
        <f>CONCATENATE(D57,A56,B56,C56,D56,E56,F56,G56,H56,I56,J56,L56,K56)</f>
        <v xml:space="preserve">Man.   Yüz altı        qəp. </v>
      </c>
      <c r="B57" s="10"/>
      <c r="C57" s="10"/>
      <c r="D57" s="10" t="s">
        <v>82</v>
      </c>
      <c r="E57" s="10"/>
      <c r="F57" s="10"/>
      <c r="G57" s="10"/>
      <c r="H57" s="10"/>
      <c r="I57" s="10"/>
      <c r="J57" s="10"/>
      <c r="K57" s="10"/>
      <c r="L57" s="10"/>
    </row>
    <row r="58" spans="1:12">
      <c r="A58" s="36"/>
      <c r="B58" s="37">
        <f>ROUND(A58,0)</f>
        <v>0</v>
      </c>
    </row>
    <row r="59" spans="1:12">
      <c r="A59" s="6" t="s">
        <v>83</v>
      </c>
      <c r="B59" s="38">
        <f>M13/6</f>
        <v>17.666666666666668</v>
      </c>
      <c r="C59" s="6" t="s">
        <v>84</v>
      </c>
      <c r="D59" s="39"/>
    </row>
    <row r="60" spans="1:12">
      <c r="A60" s="13" t="str">
        <f>CONCATENATE(A59,B59,C59)</f>
        <v>в том числе НДС17,6666666666667ман.</v>
      </c>
      <c r="D60" s="39"/>
    </row>
    <row r="61" spans="1:12">
      <c r="A61" s="6">
        <f>(M5-M8)*100</f>
        <v>0</v>
      </c>
      <c r="B61" s="6" t="s">
        <v>85</v>
      </c>
      <c r="D61" s="39"/>
    </row>
    <row r="62" spans="1:12">
      <c r="A62" s="19">
        <f>M11</f>
        <v>0</v>
      </c>
      <c r="B62" s="12">
        <f>M12/6</f>
        <v>0</v>
      </c>
      <c r="D62" s="39"/>
    </row>
    <row r="63" spans="1:12">
      <c r="A63" s="40" t="str">
        <f>CONCATENATE(B62,C59)</f>
        <v>0ман.</v>
      </c>
    </row>
    <row r="64" spans="1:12">
      <c r="A64" s="6" t="str">
        <f>CONCATENATE(A56,B56,C56,D56,E56,F56,G56,H56,I56,J56,K56)</f>
        <v xml:space="preserve"> Yüz altı         </v>
      </c>
      <c r="L64" s="6" t="str">
        <f>IF(L33=0,"    ",L33)</f>
        <v xml:space="preserve">    </v>
      </c>
    </row>
  </sheetData>
  <sheetProtection sheet="1" objects="1" scenarios="1"/>
  <phoneticPr fontId="5" type="noConversion"/>
  <pageMargins left="0.75" right="0.75" top="1" bottom="1" header="0.5" footer="0.5"/>
  <pageSetup paperSize="9" orientation="portrait" r:id="rId1"/>
  <headerFooter alignWithMargin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codeName="Sheet17"/>
  <dimension ref="A1:P64"/>
  <sheetViews>
    <sheetView topLeftCell="F1" workbookViewId="0"/>
  </sheetViews>
  <sheetFormatPr defaultRowHeight="12.75"/>
  <cols>
    <col min="1" max="1" width="35" style="6" customWidth="1"/>
    <col min="2" max="2" width="11.140625" style="6" customWidth="1"/>
    <col min="3" max="3" width="13.28515625" style="6" customWidth="1"/>
    <col min="4" max="4" width="13.5703125" style="6" customWidth="1"/>
    <col min="5" max="5" width="12.42578125" style="6" customWidth="1"/>
    <col min="6" max="6" width="12.7109375" style="6" customWidth="1"/>
    <col min="7" max="7" width="10.28515625" style="6" customWidth="1"/>
    <col min="8" max="8" width="13.28515625" style="6" customWidth="1"/>
    <col min="9" max="9" width="10.5703125" style="6" customWidth="1"/>
    <col min="10" max="11" width="7.5703125" style="6" customWidth="1"/>
    <col min="12" max="12" width="6.7109375" style="6" customWidth="1"/>
    <col min="13" max="13" width="18.140625" style="6" customWidth="1"/>
    <col min="14" max="14" width="8.42578125" style="6" customWidth="1"/>
    <col min="15" max="15" width="9.140625" style="6"/>
    <col min="16" max="16" width="8.42578125" style="6" customWidth="1"/>
    <col min="17" max="16384" width="9.140625" style="6"/>
  </cols>
  <sheetData>
    <row r="1" spans="1:16" ht="13.5" thickBot="1">
      <c r="A1" s="2">
        <f>M8</f>
        <v>0</v>
      </c>
      <c r="B1" s="3"/>
      <c r="C1" s="3"/>
      <c r="D1" s="3"/>
      <c r="E1" s="3"/>
      <c r="F1" s="3"/>
      <c r="G1" s="3"/>
      <c r="H1" s="3"/>
      <c r="I1" s="3"/>
      <c r="J1" s="4"/>
      <c r="K1" s="5"/>
      <c r="L1" s="4"/>
    </row>
    <row r="2" spans="1:16">
      <c r="A2" s="7">
        <f>(MOD(A1,1000000000)-MOD(A1,100000000))/100000000</f>
        <v>0</v>
      </c>
      <c r="B2" s="7">
        <f>(MOD(A1,100000000)-MOD(A1,10000000))/10000000</f>
        <v>0</v>
      </c>
      <c r="C2" s="7">
        <f>(MOD(A1,10000000)-MOD(A1,1000000))/1000000</f>
        <v>0</v>
      </c>
      <c r="D2" s="7">
        <f>(MOD(A1,1000000)-MOD(A1,100000))/100000</f>
        <v>0</v>
      </c>
      <c r="E2" s="7">
        <f>(MOD(A1,100000)-MOD(A1,10000))/10000</f>
        <v>0</v>
      </c>
      <c r="F2" s="7">
        <f>(MOD(A1,10000)-MOD(A1,1000))/1000</f>
        <v>0</v>
      </c>
      <c r="G2" s="7">
        <f>(MOD(A1,1000)-MOD(A1,100))/100</f>
        <v>0</v>
      </c>
      <c r="H2" s="7">
        <f>(MOD(A1,100)-MOD(A1,10))/10</f>
        <v>0</v>
      </c>
      <c r="I2" s="7">
        <f>MOD(A1,10)</f>
        <v>0</v>
      </c>
      <c r="J2" s="4"/>
      <c r="K2" s="5"/>
      <c r="L2" s="4"/>
      <c r="M2" s="6" t="str">
        <f>IF(H2=1," ",IF(I2=1," ",IF(N2=TRUE," "," ")))</f>
        <v xml:space="preserve"> </v>
      </c>
      <c r="N2" s="6" t="b">
        <f>OR(I2=2,I2=3,I2=4)</f>
        <v>0</v>
      </c>
      <c r="P2" s="6" t="b">
        <f>OR(K2=2,K2=3,K2=4)</f>
        <v>0</v>
      </c>
    </row>
    <row r="3" spans="1:16">
      <c r="A3" s="8">
        <f>IF(A2=0,0,A5)</f>
        <v>0</v>
      </c>
      <c r="B3" s="8">
        <f t="shared" ref="B3:I3" si="0">IF(B2=0,0,B4)</f>
        <v>0</v>
      </c>
      <c r="C3" s="9">
        <f t="shared" si="0"/>
        <v>0</v>
      </c>
      <c r="D3" s="8">
        <f t="shared" si="0"/>
        <v>0</v>
      </c>
      <c r="E3" s="8">
        <f t="shared" si="0"/>
        <v>0</v>
      </c>
      <c r="F3" s="9">
        <f t="shared" si="0"/>
        <v>0</v>
      </c>
      <c r="G3" s="8">
        <f t="shared" si="0"/>
        <v>0</v>
      </c>
      <c r="H3" s="8">
        <f t="shared" si="0"/>
        <v>0</v>
      </c>
      <c r="I3" s="9">
        <f t="shared" si="0"/>
        <v>0</v>
      </c>
      <c r="J3" s="4"/>
      <c r="K3" s="5"/>
      <c r="L3" s="4"/>
      <c r="M3" s="6" t="str">
        <f>IF(E2=1," min",IF(F2=1," min",IF(N3=TRUE," min"," min")))</f>
        <v xml:space="preserve"> min</v>
      </c>
      <c r="N3" s="6" t="b">
        <f>OR(F2=2,F2=3,F2=4)</f>
        <v>0</v>
      </c>
      <c r="P3" s="6" t="b">
        <f>OR(H2=2,H2=3,H2=4)</f>
        <v>0</v>
      </c>
    </row>
    <row r="4" spans="1:16">
      <c r="A4" s="10"/>
      <c r="B4" s="10" t="b">
        <f>IF(A1&gt;99999999,B5,B6)</f>
        <v>0</v>
      </c>
      <c r="C4" s="10" t="b">
        <f>IF(B2=1,0,C5)</f>
        <v>0</v>
      </c>
      <c r="D4" s="10" t="b">
        <f>IF(A1&gt;999999,D5,D7)</f>
        <v>0</v>
      </c>
      <c r="E4" s="10" t="b">
        <f>IF(A1&gt;99999,E5,E6)</f>
        <v>0</v>
      </c>
      <c r="F4" s="10" t="b">
        <f>IF(E2=1,0,F5)</f>
        <v>0</v>
      </c>
      <c r="G4" s="10" t="b">
        <f>IF(A1&gt;999,G5,G7)</f>
        <v>0</v>
      </c>
      <c r="H4" s="10" t="b">
        <f>IF(A1&gt;99,H5,H6)</f>
        <v>0</v>
      </c>
      <c r="I4" s="10" t="b">
        <f>IF(H2=1,0,I5)</f>
        <v>0</v>
      </c>
      <c r="J4" s="4"/>
      <c r="K4" s="5"/>
      <c r="L4" s="4"/>
      <c r="M4" s="6" t="str">
        <f>IF(B2=1," milyon",IF(C2=1," milyon",IF(N4=TRUE," milyon"," milyon")))</f>
        <v xml:space="preserve"> milyon</v>
      </c>
      <c r="N4" s="6" t="b">
        <f>OR(C2=2,C2=3,C2=4)</f>
        <v>0</v>
      </c>
      <c r="P4" s="6" t="b">
        <f>OR(E2=2,E2=3,E2=4)</f>
        <v>0</v>
      </c>
    </row>
    <row r="5" spans="1:16">
      <c r="A5" s="11" t="b">
        <f>IF(A2=1,H20,IF(A2=2,H21,IF(A2=3,H22,IF(A2=4,H23,IF(A2=5,H24,IF(A2=6,H25,IF(A2=7,H26,IF(A2&gt;7,A6))))))))</f>
        <v>0</v>
      </c>
      <c r="B5" s="10" t="b">
        <f>IF(B2=1,B7,B11)</f>
        <v>0</v>
      </c>
      <c r="C5" s="10" t="b">
        <f>IF(A1&gt;9999999,C6,C7)</f>
        <v>0</v>
      </c>
      <c r="D5" s="11" t="b">
        <f>IF(D2=1,I20,IF(D2=2,I21,IF(D2=3,I22,IF(D2=4,I23,IF(D2=5,I24,IF(D2=6,I25,IF(D2=7,I26,IF(D2&gt;7,D6))))))))</f>
        <v>0</v>
      </c>
      <c r="E5" s="10" t="b">
        <f>IF(E2=1,E7,E11)</f>
        <v>0</v>
      </c>
      <c r="F5" s="10" t="b">
        <f>IF(A1&gt;9999,F6,F7)</f>
        <v>0</v>
      </c>
      <c r="G5" s="11" t="b">
        <f>IF(G2=1,I20,IF(G2=2,I21,IF(G2=3,I22,IF(G2=4,I23,IF(G2=5,I24,IF(G2=6,I25,IF(G2=7,I26,IF(G2&gt;7,G6))))))))</f>
        <v>0</v>
      </c>
      <c r="H5" s="10" t="b">
        <f>IF(H2=1,H7,H11)</f>
        <v>0</v>
      </c>
      <c r="I5" s="10" t="b">
        <f>IF(A1&gt;9,I6,I7)</f>
        <v>0</v>
      </c>
      <c r="J5" s="4"/>
      <c r="K5" s="5"/>
      <c r="L5" s="4"/>
      <c r="M5" s="12">
        <f>Data!C80</f>
        <v>0</v>
      </c>
    </row>
    <row r="6" spans="1:16">
      <c r="A6" s="11" t="b">
        <f>IF(A2=8,H27,IF(A2=9,H28))</f>
        <v>0</v>
      </c>
      <c r="B6" s="10" t="b">
        <f>IF(B2=1,B9,B12)</f>
        <v>0</v>
      </c>
      <c r="C6" s="10" t="b">
        <f>IF(C2=1,B20,IF(C2=2,B21,IF(C2=3,B22,IF(C2=4,B23,IF(C2=5,B24,IF(C2=6,B25,IF(C2=7,B26,IF(C2&gt;7,C8))))))))</f>
        <v>0</v>
      </c>
      <c r="D6" s="11" t="b">
        <f>IF(D2=8,I27,IF(D2=9,I28))</f>
        <v>0</v>
      </c>
      <c r="E6" s="10" t="b">
        <f>IF(E2=1,E9,E12)</f>
        <v>0</v>
      </c>
      <c r="F6" s="10" t="b">
        <f>IF(F2=1,G22,IF(F2=2,G23,IF(F2=3,B22,IF(F2=4,B23,IF(F2=5,B24,IF(F2=6,B25,IF(F2=7,B26,IF(F2&gt;7,F8))))))))</f>
        <v>0</v>
      </c>
      <c r="G6" s="11" t="b">
        <f>IF(G2=8,I27,IF(G2=9,I28))</f>
        <v>0</v>
      </c>
      <c r="H6" s="10" t="b">
        <f>IF(H2=1,H9,H12)</f>
        <v>0</v>
      </c>
      <c r="I6" s="10" t="b">
        <f>IF(I2=1,B20,IF(I2=2,B21,IF(I2=3,B22,IF(I2=4,B23,IF(I2=5,B24,IF(I2=6,B25,IF(I2=7,B26,IF(I2&gt;7,I8))))))))</f>
        <v>0</v>
      </c>
      <c r="J6" s="4"/>
      <c r="K6" s="5"/>
      <c r="L6" s="4"/>
      <c r="M6" s="13" t="str">
        <f>CONCATENATE(M8,M9,M11)</f>
        <v>0-</v>
      </c>
    </row>
    <row r="7" spans="1:16">
      <c r="A7" s="4"/>
      <c r="B7" s="11" t="str">
        <f>IF(C2=0,F20,IF(C2=1,D20,IF(C2=2,D21,IF(C2=3,D22,IF(C2=4,D23,IF(C2=5,D24,IF(C2=6,D25,IF(C2&gt;6,B8))))))))</f>
        <v xml:space="preserve"> on</v>
      </c>
      <c r="C7" s="10" t="b">
        <f>IF(C2=1,A20,IF(C2=2,A21,IF(C2=3,A22,IF(C2=4,A23,IF(C2=5,A24,IF(C2=6,A25,IF(C2=7,A26,IF(C2&gt;7,C9))))))))</f>
        <v>0</v>
      </c>
      <c r="D7" s="14" t="b">
        <f>IF(D2=1,H20,IF(D2=2,H21,IF(D2=3,H22,IF(D2=4,H23,IF(D2=5,H24,IF(D2=6,H25,IF(D2=7,H26,IF(D2&gt;7,D8))))))))</f>
        <v>0</v>
      </c>
      <c r="E7" s="11" t="str">
        <f>IF(F2=0,F20,IF(F2=1,D20,IF(F2=2,D21,IF(F2=3,D22,IF(F2=4,D23,IF(F2=5,D24,IF(F2=6,D25,IF(F2&gt;6,E8))))))))</f>
        <v xml:space="preserve"> on</v>
      </c>
      <c r="F7" s="10" t="b">
        <f>IF(F2=1,G20,IF(F2=2,G21,IF(F2=3,A22,IF(F2=4,A23,IF(F2=5,A24,IF(F2=6,A25,IF(F2=7,A26,IF(F2&gt;7,F9))))))))</f>
        <v>0</v>
      </c>
      <c r="G7" s="14" t="b">
        <f>IF(G2=1,H20,IF(G2=2,H21,IF(G2=3,H22,IF(G2=4,H23,IF(G2=5,H24,IF(G2=6,H25,IF(G2=7,H26,IF(G2&gt;7,G8))))))))</f>
        <v>0</v>
      </c>
      <c r="H7" s="11" t="str">
        <f>IF(I2=0,F20,IF(I2=1,D20,IF(I2=2,D21,IF(I2=3,D22,IF(I2=4,D23,IF(I2=5,D24,IF(I2=6,D25,IF(I2&gt;6,H8))))))))</f>
        <v xml:space="preserve"> on</v>
      </c>
      <c r="I7" s="10" t="b">
        <f>IF(I2=1,A20,IF(I2=2,A21,IF(I2=3,A22,IF(I2=4,A23,IF(I2=5,A24,IF(I2=6,A25,IF(I2=7,A26,IF(I2&gt;7,I9))))))))</f>
        <v>0</v>
      </c>
      <c r="J7" s="4"/>
      <c r="K7" s="5"/>
      <c r="L7" s="4"/>
      <c r="M7" s="15"/>
    </row>
    <row r="8" spans="1:16">
      <c r="A8" s="4"/>
      <c r="B8" s="11" t="b">
        <f>IF(C2=7,D26,IF(C2=8,D27,IF(C2=9,D28)))</f>
        <v>0</v>
      </c>
      <c r="C8" s="10" t="b">
        <f>IF(C2=8,B27,IF(C2=9,B28))</f>
        <v>0</v>
      </c>
      <c r="D8" s="14" t="b">
        <f>IF(D2=8,H27,IF(D2=9,H28))</f>
        <v>0</v>
      </c>
      <c r="E8" s="11" t="b">
        <f>IF(F2=7,D26,IF(F2=8,D27,IF(F2=9,D28)))</f>
        <v>0</v>
      </c>
      <c r="F8" s="10" t="b">
        <f>IF(F2=8,B27,IF(F2=9,B28))</f>
        <v>0</v>
      </c>
      <c r="G8" s="14" t="b">
        <f>IF(G2=8,H27,IF(G2=9,H28))</f>
        <v>0</v>
      </c>
      <c r="H8" s="11" t="b">
        <f>IF(I2=7,D26,IF(I2=8,D27,IF(I2=9,D28)))</f>
        <v>0</v>
      </c>
      <c r="I8" s="10" t="b">
        <f>IF(I2=8,B27,IF(I2=9,B28))</f>
        <v>0</v>
      </c>
      <c r="J8" s="4"/>
      <c r="K8" s="5"/>
      <c r="L8" s="4"/>
      <c r="M8" s="16">
        <f>TRUNC(M5,0)</f>
        <v>0</v>
      </c>
    </row>
    <row r="9" spans="1:16">
      <c r="A9" s="4"/>
      <c r="B9" s="14" t="str">
        <f>IF(C2=0,E20,IF(C2=1,C20,IF(C2=2,C21,IF(C2=3,C22,IF(C2=4,C23,IF(C2=5,C24,IF(C2=6,C25,IF(C2&gt;6,B10))))))))</f>
        <v xml:space="preserve"> On</v>
      </c>
      <c r="C9" s="10" t="b">
        <f>IF(C2=8,A27,IF(C2=9,A28))</f>
        <v>0</v>
      </c>
      <c r="D9" s="4"/>
      <c r="E9" s="14" t="str">
        <f>IF(F2=0,E20,IF(F2=1,C20,IF(F2=2,C21,IF(F2=3,C22,IF(F2=4,C23,IF(F2=5,C24,IF(F2=6,C25,IF(F2&gt;6,E10))))))))</f>
        <v xml:space="preserve"> On</v>
      </c>
      <c r="F9" s="10" t="b">
        <f>IF(F2=8,A27,IF(F2=9,A28))</f>
        <v>0</v>
      </c>
      <c r="G9" s="4"/>
      <c r="H9" s="14" t="str">
        <f>IF(I2=0,E20,IF(I2=1,C20,IF(I2=2,C21,IF(I2=3,C22,IF(I2=4,C23,IF(I2=5,C24,IF(I2=6,C25,IF(I2&gt;6,H10))))))))</f>
        <v xml:space="preserve"> On</v>
      </c>
      <c r="I9" s="10" t="b">
        <f>IF(I2=8,A27,IF(I2=9,A28))</f>
        <v>0</v>
      </c>
      <c r="J9" s="4"/>
      <c r="K9" s="5"/>
      <c r="L9" s="4"/>
      <c r="M9" s="17" t="s">
        <v>9</v>
      </c>
    </row>
    <row r="10" spans="1:16">
      <c r="A10" s="4"/>
      <c r="B10" s="14" t="b">
        <f>IF(C2=7,C26,IF(C2=8,C27,IF(C2=9,C28)))</f>
        <v>0</v>
      </c>
      <c r="C10" s="4"/>
      <c r="D10" s="4"/>
      <c r="E10" s="14" t="b">
        <f>IF(F2=7,C26,IF(F2=8,C27,IF(F2=9,C28)))</f>
        <v>0</v>
      </c>
      <c r="F10" s="4"/>
      <c r="G10" s="4"/>
      <c r="H10" s="14" t="b">
        <f>IF(I2=7,C26,IF(I2=8,C27,IF(I2=9,C28)))</f>
        <v>0</v>
      </c>
      <c r="I10" s="4"/>
      <c r="J10" s="4"/>
      <c r="K10" s="5"/>
      <c r="L10" s="4"/>
      <c r="M10" s="18">
        <f>(M5-M8)*100</f>
        <v>0</v>
      </c>
    </row>
    <row r="11" spans="1:16">
      <c r="A11" s="4"/>
      <c r="B11" s="11" t="b">
        <f>IF(B2=2,F21,IF(B2=3,F22,IF(B2=4,F23,IF(B2=5,F24,IF(B2=6,F25,IF(B2=7,F26,IF(B2=8,F27,IF(B2=9,F28))))))))</f>
        <v>0</v>
      </c>
      <c r="C11" s="4"/>
      <c r="D11" s="4"/>
      <c r="E11" s="11" t="b">
        <f>IF(E2=2,F21,IF(E2=3,F22,IF(E2=4,F23,IF(E2=5,F24,IF(E2=6,F25,IF(E2=7,F26,IF(E2=8,F27,IF(E2=9,F28))))))))</f>
        <v>0</v>
      </c>
      <c r="F11" s="4"/>
      <c r="G11" s="4"/>
      <c r="H11" s="11" t="b">
        <f>IF(H2=2,F21,IF(H2=3,F22,IF(H2=4,F23,IF(H2=5,F24,IF(H2=6,F25,IF(H2=7,F26,IF(H2=8,F27,IF(H2=9,F28))))))))</f>
        <v>0</v>
      </c>
      <c r="I11" s="4"/>
      <c r="J11" s="4"/>
      <c r="K11" s="5"/>
      <c r="L11" s="4"/>
      <c r="M11" s="19"/>
    </row>
    <row r="12" spans="1:16">
      <c r="A12" s="4"/>
      <c r="B12" s="14" t="b">
        <f>IF(B2=2,E21,IF(B2=3,E22,IF(B2=4,E23,IF(B2=5,E24,IF(B2=6,E25,IF(B2=7,E26,IF(B2=8,E27,IF(B2=9,E28))))))))</f>
        <v>0</v>
      </c>
      <c r="C12" s="4"/>
      <c r="D12" s="4"/>
      <c r="E12" s="14" t="b">
        <f>IF(E2=2,E21,IF(E2=3,E22,IF(E2=4,E23,IF(E2=5,E24,IF(E2=6,E25,IF(E2=7,E26,IF(E2=8,E27,IF(E2=9,E28))))))))</f>
        <v>0</v>
      </c>
      <c r="F12" s="4"/>
      <c r="G12" s="4"/>
      <c r="H12" s="14" t="b">
        <f>IF(H2=2,E21,IF(H2=3,E22,IF(H2=4,E23,IF(H2=5,E24,IF(H2=6,E25,IF(H2=7,E26,IF(H2=8,E27,IF(H2=9,E28))))))))</f>
        <v>0</v>
      </c>
      <c r="I12" s="4"/>
      <c r="J12" s="4"/>
      <c r="K12" s="5"/>
      <c r="L12" s="4"/>
      <c r="M12" s="12"/>
    </row>
    <row r="13" spans="1:16">
      <c r="A13" s="4"/>
      <c r="B13" s="4"/>
      <c r="C13" s="4"/>
      <c r="D13" s="4"/>
      <c r="E13" s="4"/>
      <c r="F13" s="4"/>
      <c r="G13" s="4"/>
      <c r="H13" s="4"/>
      <c r="I13" s="4"/>
      <c r="J13" s="4"/>
      <c r="K13" s="5"/>
      <c r="L13" s="4"/>
      <c r="M13" s="6">
        <f>M5+M11/100</f>
        <v>0</v>
      </c>
    </row>
    <row r="14" spans="1:16">
      <c r="A14" s="4"/>
      <c r="B14" s="4"/>
      <c r="C14" s="4"/>
      <c r="D14" s="4"/>
      <c r="E14" s="4"/>
      <c r="F14" s="4"/>
      <c r="G14" s="4"/>
      <c r="H14" s="4"/>
      <c r="I14" s="4"/>
      <c r="J14" s="4"/>
      <c r="K14" s="5"/>
      <c r="L14" s="4"/>
      <c r="M14" s="20">
        <f>M13/6</f>
        <v>0</v>
      </c>
    </row>
    <row r="15" spans="1:16">
      <c r="A15" s="4"/>
      <c r="B15" s="4"/>
      <c r="C15" s="4"/>
      <c r="D15" s="4"/>
      <c r="E15" s="4"/>
      <c r="F15" s="4"/>
      <c r="G15" s="4"/>
      <c r="H15" s="4"/>
      <c r="I15" s="4"/>
      <c r="J15" s="4"/>
      <c r="K15" s="5"/>
      <c r="L15" s="4"/>
      <c r="M15" s="21">
        <f>M13/6</f>
        <v>0</v>
      </c>
    </row>
    <row r="16" spans="1:16">
      <c r="A16" s="4"/>
      <c r="B16" s="4"/>
      <c r="C16" s="4"/>
      <c r="D16" s="4"/>
      <c r="E16" s="4"/>
      <c r="F16" s="4"/>
      <c r="G16" s="4"/>
      <c r="H16" s="4"/>
      <c r="I16" s="4"/>
      <c r="J16" s="4"/>
      <c r="K16" s="5"/>
      <c r="L16" s="4"/>
      <c r="M16" s="22">
        <f>TRUNC(M15,0)</f>
        <v>0</v>
      </c>
    </row>
    <row r="17" spans="1:13">
      <c r="A17" s="4"/>
      <c r="B17" s="4"/>
      <c r="C17" s="4"/>
      <c r="D17" s="4"/>
      <c r="E17" s="4"/>
      <c r="F17" s="4"/>
      <c r="G17" s="4"/>
      <c r="H17" s="4"/>
      <c r="I17" s="4"/>
      <c r="J17" s="4"/>
      <c r="K17" s="5"/>
      <c r="L17" s="4"/>
      <c r="M17" s="23">
        <f>M16</f>
        <v>0</v>
      </c>
    </row>
    <row r="18" spans="1:13">
      <c r="A18" s="4"/>
      <c r="B18" s="4"/>
      <c r="C18" s="4"/>
      <c r="D18" s="4"/>
      <c r="E18" s="4"/>
      <c r="F18" s="4"/>
      <c r="G18" s="4"/>
      <c r="H18" s="4"/>
      <c r="I18" s="4"/>
      <c r="J18" s="4"/>
      <c r="K18" s="5"/>
      <c r="L18" s="4"/>
      <c r="M18" s="19">
        <f>(M15-M17)*100</f>
        <v>0</v>
      </c>
    </row>
    <row r="19" spans="1:13">
      <c r="A19" s="4"/>
      <c r="B19" s="4"/>
      <c r="C19" s="4"/>
      <c r="D19" s="4"/>
      <c r="E19" s="4"/>
      <c r="F19" s="4"/>
      <c r="G19" s="4"/>
      <c r="H19" s="4"/>
      <c r="I19" s="4"/>
      <c r="J19" s="4"/>
      <c r="K19" s="5"/>
      <c r="L19" s="4"/>
      <c r="M19" s="24" t="str">
        <f>CONCATENATE(M17,M9,M18)</f>
        <v>0-0</v>
      </c>
    </row>
    <row r="20" spans="1:13">
      <c r="A20" s="25" t="s">
        <v>10</v>
      </c>
      <c r="B20" s="25" t="s">
        <v>11</v>
      </c>
      <c r="C20" s="25" t="s">
        <v>12</v>
      </c>
      <c r="D20" s="25" t="s">
        <v>13</v>
      </c>
      <c r="E20" s="25" t="s">
        <v>14</v>
      </c>
      <c r="F20" s="25" t="s">
        <v>15</v>
      </c>
      <c r="G20" s="25" t="s">
        <v>10</v>
      </c>
      <c r="H20" s="25" t="s">
        <v>16</v>
      </c>
      <c r="I20" s="25" t="s">
        <v>17</v>
      </c>
      <c r="J20" s="4"/>
      <c r="K20" s="5"/>
      <c r="L20" s="4"/>
    </row>
    <row r="21" spans="1:13">
      <c r="A21" s="25" t="s">
        <v>18</v>
      </c>
      <c r="B21" s="25" t="s">
        <v>19</v>
      </c>
      <c r="C21" s="25" t="s">
        <v>20</v>
      </c>
      <c r="D21" s="25" t="s">
        <v>21</v>
      </c>
      <c r="E21" s="25" t="s">
        <v>22</v>
      </c>
      <c r="F21" s="25" t="s">
        <v>23</v>
      </c>
      <c r="G21" s="25" t="s">
        <v>18</v>
      </c>
      <c r="H21" s="25" t="s">
        <v>24</v>
      </c>
      <c r="I21" s="25" t="s">
        <v>25</v>
      </c>
      <c r="J21" s="4"/>
      <c r="K21" s="5"/>
      <c r="L21" s="4"/>
      <c r="M21" s="19">
        <v>1.9999999999996021</v>
      </c>
    </row>
    <row r="22" spans="1:13">
      <c r="A22" s="25" t="s">
        <v>26</v>
      </c>
      <c r="B22" s="25" t="s">
        <v>27</v>
      </c>
      <c r="C22" s="25" t="s">
        <v>28</v>
      </c>
      <c r="D22" s="25" t="s">
        <v>29</v>
      </c>
      <c r="E22" s="25" t="s">
        <v>30</v>
      </c>
      <c r="F22" s="25" t="s">
        <v>31</v>
      </c>
      <c r="G22" s="25" t="s">
        <v>11</v>
      </c>
      <c r="H22" s="25" t="s">
        <v>32</v>
      </c>
      <c r="I22" s="25" t="s">
        <v>33</v>
      </c>
      <c r="J22" s="4"/>
      <c r="K22" s="5"/>
      <c r="L22" s="4"/>
    </row>
    <row r="23" spans="1:13">
      <c r="A23" s="25" t="s">
        <v>34</v>
      </c>
      <c r="B23" s="25" t="s">
        <v>35</v>
      </c>
      <c r="C23" s="25" t="s">
        <v>36</v>
      </c>
      <c r="D23" s="25" t="s">
        <v>37</v>
      </c>
      <c r="E23" s="26" t="s">
        <v>38</v>
      </c>
      <c r="F23" s="25" t="s">
        <v>39</v>
      </c>
      <c r="G23" s="25" t="s">
        <v>19</v>
      </c>
      <c r="H23" s="27" t="s">
        <v>40</v>
      </c>
      <c r="I23" s="25" t="s">
        <v>41</v>
      </c>
      <c r="J23" s="4"/>
      <c r="K23" s="5"/>
      <c r="L23" s="4"/>
    </row>
    <row r="24" spans="1:13">
      <c r="A24" s="25" t="s">
        <v>42</v>
      </c>
      <c r="B24" s="25" t="s">
        <v>43</v>
      </c>
      <c r="C24" s="25" t="s">
        <v>44</v>
      </c>
      <c r="D24" s="25" t="s">
        <v>45</v>
      </c>
      <c r="E24" s="25" t="s">
        <v>46</v>
      </c>
      <c r="F24" s="25" t="s">
        <v>47</v>
      </c>
      <c r="G24" s="25"/>
      <c r="H24" s="25" t="s">
        <v>48</v>
      </c>
      <c r="I24" s="25" t="s">
        <v>49</v>
      </c>
      <c r="J24" s="4"/>
      <c r="K24" s="5"/>
      <c r="L24" s="4"/>
    </row>
    <row r="25" spans="1:13">
      <c r="A25" s="25" t="s">
        <v>50</v>
      </c>
      <c r="B25" s="25" t="s">
        <v>51</v>
      </c>
      <c r="C25" s="25" t="s">
        <v>52</v>
      </c>
      <c r="D25" s="25" t="s">
        <v>53</v>
      </c>
      <c r="E25" s="25" t="s">
        <v>54</v>
      </c>
      <c r="F25" s="25" t="s">
        <v>55</v>
      </c>
      <c r="G25" s="25"/>
      <c r="H25" s="25" t="s">
        <v>56</v>
      </c>
      <c r="I25" s="25" t="s">
        <v>57</v>
      </c>
      <c r="J25" s="4"/>
      <c r="K25" s="5"/>
      <c r="L25" s="4"/>
    </row>
    <row r="26" spans="1:13">
      <c r="A26" s="25" t="s">
        <v>58</v>
      </c>
      <c r="B26" s="25" t="s">
        <v>59</v>
      </c>
      <c r="C26" s="25" t="s">
        <v>60</v>
      </c>
      <c r="D26" s="25" t="s">
        <v>61</v>
      </c>
      <c r="E26" s="25" t="s">
        <v>62</v>
      </c>
      <c r="F26" s="25" t="s">
        <v>63</v>
      </c>
      <c r="G26" s="25"/>
      <c r="H26" s="25" t="s">
        <v>64</v>
      </c>
      <c r="I26" s="25" t="s">
        <v>65</v>
      </c>
      <c r="J26" s="4"/>
      <c r="K26" s="5"/>
      <c r="L26" s="4"/>
    </row>
    <row r="27" spans="1:13">
      <c r="A27" s="25" t="s">
        <v>66</v>
      </c>
      <c r="B27" s="25" t="s">
        <v>67</v>
      </c>
      <c r="C27" s="25" t="s">
        <v>68</v>
      </c>
      <c r="D27" s="25" t="s">
        <v>69</v>
      </c>
      <c r="E27" s="25" t="s">
        <v>70</v>
      </c>
      <c r="F27" s="25" t="s">
        <v>71</v>
      </c>
      <c r="G27" s="25"/>
      <c r="H27" s="25" t="s">
        <v>72</v>
      </c>
      <c r="I27" s="25" t="s">
        <v>73</v>
      </c>
      <c r="J27" s="4"/>
      <c r="K27" s="5"/>
      <c r="L27" s="4"/>
    </row>
    <row r="28" spans="1:13">
      <c r="A28" s="25" t="s">
        <v>74</v>
      </c>
      <c r="B28" s="25" t="s">
        <v>75</v>
      </c>
      <c r="C28" s="25" t="s">
        <v>76</v>
      </c>
      <c r="D28" s="25" t="s">
        <v>77</v>
      </c>
      <c r="E28" s="25" t="s">
        <v>78</v>
      </c>
      <c r="F28" s="25" t="s">
        <v>79</v>
      </c>
      <c r="G28" s="25"/>
      <c r="H28" s="25" t="s">
        <v>80</v>
      </c>
      <c r="I28" s="25" t="s">
        <v>81</v>
      </c>
      <c r="J28" s="4"/>
      <c r="K28" s="5"/>
      <c r="L28" s="4"/>
    </row>
    <row r="29" spans="1:13">
      <c r="A29" s="4"/>
      <c r="B29" s="4"/>
      <c r="C29" s="4"/>
      <c r="D29" s="4"/>
      <c r="E29" s="4"/>
      <c r="F29" s="4"/>
      <c r="G29" s="4"/>
      <c r="H29" s="4"/>
      <c r="I29" s="4"/>
      <c r="J29" s="4"/>
      <c r="K29" s="5"/>
      <c r="L29" s="4"/>
    </row>
    <row r="30" spans="1:13">
      <c r="A30" s="28">
        <f t="shared" ref="A30:I30" si="1">A3</f>
        <v>0</v>
      </c>
      <c r="B30" s="28">
        <f t="shared" si="1"/>
        <v>0</v>
      </c>
      <c r="C30" s="28">
        <f t="shared" si="1"/>
        <v>0</v>
      </c>
      <c r="D30" s="28">
        <f t="shared" si="1"/>
        <v>0</v>
      </c>
      <c r="E30" s="28">
        <f t="shared" si="1"/>
        <v>0</v>
      </c>
      <c r="F30" s="28">
        <f t="shared" si="1"/>
        <v>0</v>
      </c>
      <c r="G30" s="28">
        <f t="shared" si="1"/>
        <v>0</v>
      </c>
      <c r="H30" s="28">
        <f t="shared" si="1"/>
        <v>0</v>
      </c>
      <c r="I30" s="28">
        <f t="shared" si="1"/>
        <v>0</v>
      </c>
      <c r="J30" s="3"/>
      <c r="K30" s="4"/>
      <c r="L30" s="4"/>
    </row>
    <row r="31" spans="1:13">
      <c r="A31" s="29">
        <f>A30</f>
        <v>0</v>
      </c>
      <c r="B31" s="29">
        <f>B30</f>
        <v>0</v>
      </c>
      <c r="C31" s="29">
        <f>C30</f>
        <v>0</v>
      </c>
      <c r="D31" s="14" t="str">
        <f>M4</f>
        <v xml:space="preserve"> milyon</v>
      </c>
      <c r="E31" s="29">
        <f>D30</f>
        <v>0</v>
      </c>
      <c r="F31" s="29">
        <f>E30</f>
        <v>0</v>
      </c>
      <c r="G31" s="29">
        <f>F30</f>
        <v>0</v>
      </c>
      <c r="H31" s="14" t="str">
        <f>M3</f>
        <v xml:space="preserve"> min</v>
      </c>
      <c r="I31" s="29">
        <f>G30</f>
        <v>0</v>
      </c>
      <c r="J31" s="29">
        <f>H30</f>
        <v>0</v>
      </c>
      <c r="K31" s="29">
        <f>I30</f>
        <v>0</v>
      </c>
      <c r="L31" s="14" t="str">
        <f>M2</f>
        <v xml:space="preserve"> </v>
      </c>
    </row>
    <row r="32" spans="1:13">
      <c r="A32" s="30">
        <f>IF(A31=0,0,1)</f>
        <v>0</v>
      </c>
      <c r="B32" s="30">
        <f>IF(B31=0,0,1)</f>
        <v>0</v>
      </c>
      <c r="C32" s="30">
        <f>IF(C31=0,0,1)</f>
        <v>0</v>
      </c>
      <c r="D32" s="30">
        <v>1</v>
      </c>
      <c r="E32" s="30">
        <f>IF(E31=0,0,1)</f>
        <v>0</v>
      </c>
      <c r="F32" s="30">
        <f>IF(F31=0,0,1)</f>
        <v>0</v>
      </c>
      <c r="G32" s="30">
        <f>IF(G31=0,0,1)</f>
        <v>0</v>
      </c>
      <c r="H32" s="30">
        <v>1</v>
      </c>
      <c r="I32" s="30">
        <f>IF(I31=0,0,1)</f>
        <v>0</v>
      </c>
      <c r="J32" s="30">
        <f>IF(J31=0,0,1)</f>
        <v>0</v>
      </c>
      <c r="K32" s="30">
        <f>IF(K31=0,0,1)</f>
        <v>0</v>
      </c>
      <c r="L32" s="30">
        <v>1</v>
      </c>
    </row>
    <row r="33" spans="1:12">
      <c r="A33" s="31">
        <f>IF(L45=1,A31,A34)</f>
        <v>0</v>
      </c>
      <c r="B33" s="31">
        <f>IF(L44=2,B31,IF(L44=1,B34,IF(L44=0,B35)))</f>
        <v>0</v>
      </c>
      <c r="C33" s="31">
        <f>IF(L43=3,C31,IF(L43=2,D31,IF(L43=1,D35,IF(L43=0,C34))))</f>
        <v>0</v>
      </c>
      <c r="D33" s="31">
        <f>IF(L42=4,D31,IF(L42=3,D35,IF(L42=2,D34,IF(L42=1,D43))))</f>
        <v>0</v>
      </c>
      <c r="E33" s="31">
        <f>IF(L41=5,E31,IF(L41=4,E34,IF(L41=3,E39,IF(L41=2,E52,E49))))</f>
        <v>0</v>
      </c>
      <c r="F33" s="31">
        <f>IF(L40=6,F31,IF(L40=5,F34,IF(L40=4,F35,IF(L40=3,F37,IF(L40=2,F41,IF(L40=1,F44))))))</f>
        <v>0</v>
      </c>
      <c r="G33" s="31">
        <f>IF(L39=7,G31,IF(L39=6,H31,IF(L39=5,H34,IF(L39=4,G34,IF(L39=3,G38,IF(L39=2,G36,0))))))</f>
        <v>0</v>
      </c>
      <c r="H33" s="31">
        <f>IF(L38=8,H31,IF(L38=7,H34,IF(L38=6,H38,IF(L38=5,H43,IF(L38=4,H44,0)))))</f>
        <v>0</v>
      </c>
      <c r="I33" s="31">
        <f>IF(L37=9,I31,IF(L37=8,I34,IF(L37=7,I36,IF(L37=6,I37,0))))</f>
        <v>0</v>
      </c>
      <c r="J33" s="31">
        <f>IF(L36=10,J31,IF(L36=9,J34,IF(L36=8,J35,0)))</f>
        <v>0</v>
      </c>
      <c r="K33" s="31">
        <f>IF(L35=11,K31,IF(L35=10,L31,))</f>
        <v>0</v>
      </c>
      <c r="L33" s="31">
        <f>IF(L34=12,L31,0)</f>
        <v>0</v>
      </c>
    </row>
    <row r="34" spans="1:12">
      <c r="A34" s="11">
        <f>IF(B32=0,A35,B31)</f>
        <v>0</v>
      </c>
      <c r="B34" s="11" t="str">
        <f>IF(C32=0,D31,C31)</f>
        <v xml:space="preserve"> milyon</v>
      </c>
      <c r="C34" s="11">
        <f>IF(L48=3,G31,IF(L48=2,H31,IF(L48=1,H34,H41)))</f>
        <v>0</v>
      </c>
      <c r="D34" s="32">
        <f>IF(E31=0,D38,D40)</f>
        <v>0</v>
      </c>
      <c r="E34" s="33" t="str">
        <f>IF(L49=3,E35,E37)</f>
        <v xml:space="preserve"> min</v>
      </c>
      <c r="F34" s="11" t="str">
        <f>IF(G31=0,H31,G31)</f>
        <v xml:space="preserve"> min</v>
      </c>
      <c r="G34" s="33">
        <f>IF(L48=0,H41,G37)</f>
        <v>0</v>
      </c>
      <c r="H34" s="33" t="str">
        <f>IF(L47=0,L31,IF(L47=1,H35,IF(L47=2,H37,IF(L47=3,I31))))</f>
        <v xml:space="preserve"> </v>
      </c>
      <c r="I34" s="33" t="str">
        <f>IF(L46=1,L31,IF(L46=2,I35,IF(L46=3,J31)))</f>
        <v xml:space="preserve"> </v>
      </c>
      <c r="J34" s="11" t="str">
        <f>IF(K32=0,L31,K31)</f>
        <v xml:space="preserve"> </v>
      </c>
      <c r="K34" s="4"/>
      <c r="L34" s="34">
        <f>SUM(A32:L32)</f>
        <v>3</v>
      </c>
    </row>
    <row r="35" spans="1:12">
      <c r="A35" s="11">
        <f>IF(C31=0,A36,C31)</f>
        <v>0</v>
      </c>
      <c r="B35" s="11">
        <f>IF(C31=0,D34,D31)</f>
        <v>0</v>
      </c>
      <c r="C35" s="4"/>
      <c r="D35" s="11" t="str">
        <f>IF(E32=0,D36,E31)</f>
        <v xml:space="preserve"> </v>
      </c>
      <c r="E35" s="33" t="str">
        <f>IF(F32=0,E36,F31)</f>
        <v xml:space="preserve"> </v>
      </c>
      <c r="F35" s="35">
        <f>IF(L48=0,H38,F36)</f>
        <v>0</v>
      </c>
      <c r="G35" s="11">
        <f>IF(L48=0,H42,H41)</f>
        <v>0</v>
      </c>
      <c r="H35" s="14">
        <f>IF(I32=0,H36,I31)</f>
        <v>0</v>
      </c>
      <c r="I35" s="33">
        <f>IF(J32=0,K31,J31)</f>
        <v>0</v>
      </c>
      <c r="J35" s="11">
        <f>IF(K32=0,0,L31)</f>
        <v>0</v>
      </c>
      <c r="K35" s="4"/>
      <c r="L35" s="14">
        <f>SUM(A32:K32)</f>
        <v>2</v>
      </c>
    </row>
    <row r="36" spans="1:12">
      <c r="A36" s="11">
        <f>IF(E32=0,A37,E31)</f>
        <v>0</v>
      </c>
      <c r="B36" s="4"/>
      <c r="C36" s="4"/>
      <c r="D36" s="11" t="str">
        <f>IF(F32=0,D37,F31)</f>
        <v xml:space="preserve"> </v>
      </c>
      <c r="E36" s="33" t="str">
        <f>IF(G32=0,H34,G31)</f>
        <v xml:space="preserve"> </v>
      </c>
      <c r="F36" s="33" t="str">
        <f>IF(G32=0,H34,H31)</f>
        <v xml:space="preserve"> </v>
      </c>
      <c r="G36" s="11">
        <f>IF(L48=0,0,G39)</f>
        <v>0</v>
      </c>
      <c r="H36" s="14">
        <f>IF(J32=0,K31,J31)</f>
        <v>0</v>
      </c>
      <c r="I36" s="11">
        <f>IF(L46=3,K31,IF(L46=2,L31,IF(L46=1,0)))</f>
        <v>0</v>
      </c>
      <c r="J36" s="4"/>
      <c r="K36" s="4"/>
      <c r="L36" s="14">
        <f>SUM(A32:J32)</f>
        <v>2</v>
      </c>
    </row>
    <row r="37" spans="1:12">
      <c r="A37" s="11">
        <f>IF(F32=0,A38,F31)</f>
        <v>0</v>
      </c>
      <c r="B37" s="4"/>
      <c r="C37" s="4"/>
      <c r="D37" s="11" t="str">
        <f>IF(G32=0,H34,G31)</f>
        <v xml:space="preserve"> </v>
      </c>
      <c r="E37" s="33" t="str">
        <f>IF(F32=0,E38,F31)</f>
        <v xml:space="preserve"> min</v>
      </c>
      <c r="F37" s="11">
        <f>IF(L49=0,F38,F39)</f>
        <v>0</v>
      </c>
      <c r="G37" s="11">
        <f>IF(L49=0,H41,H38)</f>
        <v>0</v>
      </c>
      <c r="H37" s="11">
        <f>IF(I32=0,J31,I31)</f>
        <v>0</v>
      </c>
      <c r="I37" s="11">
        <f>IF(L49=0,0,I38)</f>
        <v>0</v>
      </c>
      <c r="J37" s="4"/>
      <c r="K37" s="4"/>
      <c r="L37" s="14">
        <f>SUM(A32:I32)</f>
        <v>2</v>
      </c>
    </row>
    <row r="38" spans="1:12">
      <c r="A38" s="11">
        <f>IF(G32=0,A39,G31)</f>
        <v>0</v>
      </c>
      <c r="B38" s="4"/>
      <c r="C38" s="4"/>
      <c r="D38" s="32">
        <f>IF(F31=0,D39,D42)</f>
        <v>0</v>
      </c>
      <c r="E38" s="33" t="str">
        <f>IF(G32=0,H31,G31)</f>
        <v xml:space="preserve"> min</v>
      </c>
      <c r="F38" s="11">
        <f>IF(G31=0,H41,H38)</f>
        <v>0</v>
      </c>
      <c r="G38" s="14">
        <f>IF(L49=0,H42,G35)</f>
        <v>0</v>
      </c>
      <c r="H38" s="32">
        <f>IF(L47=0,0,IF(L47=1,L31,IF(L47=2,H39,IF(L47=3,J31))))</f>
        <v>0</v>
      </c>
      <c r="I38" s="11">
        <f>IF(L48=0,0,I39)</f>
        <v>0</v>
      </c>
      <c r="J38" s="4"/>
      <c r="K38" s="4"/>
      <c r="L38" s="33">
        <f>SUM(A32:H32)</f>
        <v>2</v>
      </c>
    </row>
    <row r="39" spans="1:12">
      <c r="A39" s="11">
        <f>IF(I32=0,A40,I31)</f>
        <v>0</v>
      </c>
      <c r="B39" s="4"/>
      <c r="C39" s="4"/>
      <c r="D39" s="32">
        <f>IF(G31=0,H38,H31)</f>
        <v>0</v>
      </c>
      <c r="E39" s="14" t="str">
        <f>IF(L49=2,E40,E43)</f>
        <v xml:space="preserve"> </v>
      </c>
      <c r="F39" s="32">
        <f>IF(L48=0,H41,F40)</f>
        <v>0</v>
      </c>
      <c r="G39" s="11">
        <f>IF(L49=0,0,H42)</f>
        <v>0</v>
      </c>
      <c r="H39" s="11">
        <f>IF(I32=0,K31,H40)</f>
        <v>0</v>
      </c>
      <c r="I39" s="11">
        <f>IF(L47=3,L31,I40)</f>
        <v>0</v>
      </c>
      <c r="J39" s="4"/>
      <c r="K39" s="4"/>
      <c r="L39" s="11">
        <f>SUM(A32:G32)</f>
        <v>1</v>
      </c>
    </row>
    <row r="40" spans="1:12">
      <c r="A40" s="11">
        <f>IF(J32=0,A41,J31)</f>
        <v>0</v>
      </c>
      <c r="B40" s="4"/>
      <c r="C40" s="4"/>
      <c r="D40" s="32" t="str">
        <f>IF(F32=0,D41,F31)</f>
        <v xml:space="preserve"> min</v>
      </c>
      <c r="E40" s="11">
        <f>IF(F32=0,E41,E42)</f>
        <v>0</v>
      </c>
      <c r="F40" s="32">
        <f>IF(G32=0,H38,H34)</f>
        <v>0</v>
      </c>
      <c r="G40" s="4"/>
      <c r="H40" s="11">
        <f>IF(J32=0,K31,J31)</f>
        <v>0</v>
      </c>
      <c r="I40" s="11">
        <f>IF(L47=2,L31,0)</f>
        <v>0</v>
      </c>
      <c r="J40" s="4"/>
      <c r="K40" s="4"/>
      <c r="L40" s="11">
        <f>SUM(A32:F32)</f>
        <v>1</v>
      </c>
    </row>
    <row r="41" spans="1:12">
      <c r="A41" s="11">
        <f>IF(K32=0,0,K31)</f>
        <v>0</v>
      </c>
      <c r="B41" s="4"/>
      <c r="C41" s="4"/>
      <c r="D41" s="32" t="str">
        <f>IF(G32=0,H31,G31)</f>
        <v xml:space="preserve"> min</v>
      </c>
      <c r="E41" s="11">
        <f>IF(G32=0,H38,H31)</f>
        <v>0</v>
      </c>
      <c r="F41" s="14">
        <f>IF(L49=0,F43,F42)</f>
        <v>0</v>
      </c>
      <c r="G41" s="4"/>
      <c r="H41" s="32">
        <f>IF(L47=3,K31,IF(L47=2,L31,0))</f>
        <v>0</v>
      </c>
      <c r="I41" s="4"/>
      <c r="J41" s="4"/>
      <c r="K41" s="4"/>
      <c r="L41" s="33">
        <f>SUM(A32:E32)</f>
        <v>1</v>
      </c>
    </row>
    <row r="42" spans="1:12">
      <c r="A42" s="4"/>
      <c r="B42" s="4"/>
      <c r="C42" s="4"/>
      <c r="D42" s="32" t="str">
        <f>IF(G32=0,H31,G31)</f>
        <v xml:space="preserve"> min</v>
      </c>
      <c r="E42" s="11" t="str">
        <f>IF(G32=0,H31,G31)</f>
        <v xml:space="preserve"> min</v>
      </c>
      <c r="F42" s="14">
        <f>IF(G32=0,H41,H38)</f>
        <v>0</v>
      </c>
      <c r="G42" s="4"/>
      <c r="H42" s="33">
        <f>IF(L47=3,L31,0)</f>
        <v>0</v>
      </c>
      <c r="I42" s="4"/>
      <c r="J42" s="4"/>
      <c r="K42" s="4"/>
      <c r="L42" s="10">
        <f>SUM(A32:D32)</f>
        <v>1</v>
      </c>
    </row>
    <row r="43" spans="1:12">
      <c r="A43" s="4"/>
      <c r="B43" s="4"/>
      <c r="C43" s="4"/>
      <c r="D43" s="11">
        <f>IF(L48=3,H31,IF(L48=2,H34,IF(L48=1,H38,IF(L48=0,H42))))</f>
        <v>0</v>
      </c>
      <c r="E43" s="14" t="str">
        <f>IF(F32=0,E44,E45)</f>
        <v xml:space="preserve"> </v>
      </c>
      <c r="F43" s="14">
        <f>IF(G31=0,H42,H41)</f>
        <v>0</v>
      </c>
      <c r="G43" s="4"/>
      <c r="H43" s="14">
        <f>IF(L49=0,H42,H41)</f>
        <v>0</v>
      </c>
      <c r="I43" s="4"/>
      <c r="J43" s="4"/>
      <c r="K43" s="4"/>
      <c r="L43" s="10">
        <f>SUM(A32:C32)</f>
        <v>0</v>
      </c>
    </row>
    <row r="44" spans="1:12">
      <c r="A44" s="4"/>
      <c r="B44" s="4"/>
      <c r="C44" s="4"/>
      <c r="D44" s="4"/>
      <c r="E44" s="14" t="str">
        <f>IF(G32=0,H34,H31)</f>
        <v xml:space="preserve"> </v>
      </c>
      <c r="F44" s="14">
        <f>IF(G31=0,0,H42)</f>
        <v>0</v>
      </c>
      <c r="G44" s="4"/>
      <c r="H44" s="11">
        <f>IF(L49=0,0,H42)</f>
        <v>0</v>
      </c>
      <c r="I44" s="4"/>
      <c r="J44" s="4"/>
      <c r="K44" s="4"/>
      <c r="L44" s="10">
        <f>SUM(A32:B32)</f>
        <v>0</v>
      </c>
    </row>
    <row r="45" spans="1:12">
      <c r="A45" s="4"/>
      <c r="B45" s="4"/>
      <c r="C45" s="4"/>
      <c r="D45" s="4"/>
      <c r="E45" s="14" t="str">
        <f>IF(G32=0,H31,G31)</f>
        <v xml:space="preserve"> min</v>
      </c>
      <c r="F45" s="4"/>
      <c r="G45" s="4"/>
      <c r="H45" s="4"/>
      <c r="I45" s="4"/>
      <c r="J45" s="4"/>
      <c r="K45" s="4"/>
      <c r="L45" s="10">
        <f>SUM(A32)</f>
        <v>0</v>
      </c>
    </row>
    <row r="46" spans="1:12">
      <c r="A46" s="4"/>
      <c r="B46" s="4"/>
      <c r="C46" s="4"/>
      <c r="D46" s="4"/>
      <c r="E46" s="33">
        <f>IF(F32=0,E47,E48)</f>
        <v>0</v>
      </c>
      <c r="F46" s="4"/>
      <c r="G46" s="4"/>
      <c r="H46" s="4"/>
      <c r="I46" s="4"/>
      <c r="J46" s="4"/>
      <c r="K46" s="4"/>
      <c r="L46" s="11">
        <f>SUM(J32:L32)</f>
        <v>1</v>
      </c>
    </row>
    <row r="47" spans="1:12">
      <c r="A47" s="4"/>
      <c r="B47" s="4"/>
      <c r="C47" s="4"/>
      <c r="D47" s="4"/>
      <c r="E47" s="33">
        <f>IF(G32=0,H41,H34)</f>
        <v>0</v>
      </c>
      <c r="F47" s="4"/>
      <c r="G47" s="4"/>
      <c r="H47" s="4"/>
      <c r="I47" s="4"/>
      <c r="J47" s="4"/>
      <c r="K47" s="4"/>
      <c r="L47" s="33">
        <f>SUM(I32:K32)</f>
        <v>0</v>
      </c>
    </row>
    <row r="48" spans="1:12">
      <c r="A48" s="4"/>
      <c r="B48" s="4"/>
      <c r="C48" s="4"/>
      <c r="D48" s="4"/>
      <c r="E48" s="33" t="str">
        <f>IF(G31=0,H34,H31)</f>
        <v xml:space="preserve"> </v>
      </c>
      <c r="F48" s="4"/>
      <c r="G48" s="4"/>
      <c r="H48" s="4"/>
      <c r="I48" s="4"/>
      <c r="J48" s="4"/>
      <c r="K48" s="4"/>
      <c r="L48" s="10">
        <f>SUM(E32:G32)</f>
        <v>0</v>
      </c>
    </row>
    <row r="49" spans="1:12">
      <c r="A49" s="4"/>
      <c r="B49" s="4"/>
      <c r="C49" s="4"/>
      <c r="D49" s="4"/>
      <c r="E49" s="32">
        <f>IF(F31=0,E50,E51)</f>
        <v>0</v>
      </c>
      <c r="F49" s="4"/>
      <c r="G49" s="4"/>
      <c r="H49" s="4"/>
      <c r="I49" s="4"/>
      <c r="J49" s="4"/>
      <c r="K49" s="4"/>
      <c r="L49" s="33">
        <f>SUM(A32:C32)</f>
        <v>0</v>
      </c>
    </row>
    <row r="50" spans="1:12">
      <c r="A50" s="4"/>
      <c r="B50" s="4"/>
      <c r="C50" s="4"/>
      <c r="D50" s="4"/>
      <c r="E50" s="32">
        <f>IF(G31=0,0,H41)</f>
        <v>0</v>
      </c>
      <c r="F50" s="4"/>
      <c r="G50" s="4"/>
      <c r="H50" s="4"/>
      <c r="I50" s="4"/>
      <c r="J50" s="4"/>
      <c r="K50" s="4"/>
      <c r="L50" s="4"/>
    </row>
    <row r="51" spans="1:12">
      <c r="A51" s="4"/>
      <c r="B51" s="4"/>
      <c r="C51" s="4"/>
      <c r="D51" s="4"/>
      <c r="E51" s="32">
        <f>IF(G32=0,H41,H38)</f>
        <v>0</v>
      </c>
      <c r="F51" s="4"/>
      <c r="G51" s="4"/>
      <c r="H51" s="4"/>
      <c r="I51" s="4"/>
      <c r="J51" s="4"/>
      <c r="K51" s="4"/>
      <c r="L51" s="4"/>
    </row>
    <row r="52" spans="1:12">
      <c r="A52" s="4"/>
      <c r="B52" s="4"/>
      <c r="C52" s="4"/>
      <c r="D52" s="4"/>
      <c r="E52" s="33">
        <f>IF(L49=0,E53,E46)</f>
        <v>0</v>
      </c>
      <c r="F52" s="4"/>
      <c r="G52" s="4"/>
      <c r="H52" s="4"/>
      <c r="I52" s="4"/>
      <c r="J52" s="4"/>
      <c r="K52" s="4"/>
      <c r="L52" s="4"/>
    </row>
    <row r="53" spans="1:12">
      <c r="A53" s="4"/>
      <c r="B53" s="4"/>
      <c r="C53" s="4"/>
      <c r="D53" s="4"/>
      <c r="E53" s="33">
        <f>IF(L48=3,H34,IF(L48=2,H38,IF(L48=1,H41,0)))</f>
        <v>0</v>
      </c>
      <c r="F53" s="4"/>
      <c r="G53" s="4"/>
      <c r="H53" s="4"/>
      <c r="I53" s="4"/>
      <c r="J53" s="4"/>
      <c r="K53" s="4"/>
      <c r="L53" s="4"/>
    </row>
    <row r="54" spans="1:12">
      <c r="A54" s="8">
        <f t="shared" ref="A54:L54" si="2">LEN(A33)</f>
        <v>1</v>
      </c>
      <c r="B54" s="8">
        <f t="shared" si="2"/>
        <v>1</v>
      </c>
      <c r="C54" s="8">
        <f t="shared" si="2"/>
        <v>1</v>
      </c>
      <c r="D54" s="8">
        <f t="shared" si="2"/>
        <v>1</v>
      </c>
      <c r="E54" s="8">
        <f t="shared" si="2"/>
        <v>1</v>
      </c>
      <c r="F54" s="8">
        <f t="shared" si="2"/>
        <v>1</v>
      </c>
      <c r="G54" s="8">
        <f t="shared" si="2"/>
        <v>1</v>
      </c>
      <c r="H54" s="8">
        <f t="shared" si="2"/>
        <v>1</v>
      </c>
      <c r="I54" s="8">
        <f t="shared" si="2"/>
        <v>1</v>
      </c>
      <c r="J54" s="8">
        <f t="shared" si="2"/>
        <v>1</v>
      </c>
      <c r="K54" s="8">
        <f t="shared" si="2"/>
        <v>1</v>
      </c>
      <c r="L54" s="8">
        <f t="shared" si="2"/>
        <v>1</v>
      </c>
    </row>
    <row r="55" spans="1:12">
      <c r="A55" s="11"/>
      <c r="B55" s="11"/>
      <c r="C55" s="11"/>
      <c r="D55" s="11"/>
      <c r="E55" s="11">
        <f>SUM(A54:E54)</f>
        <v>5</v>
      </c>
      <c r="F55" s="11">
        <f>SUM(A54:F54)</f>
        <v>6</v>
      </c>
      <c r="G55" s="11">
        <f>SUM(A54:G54)</f>
        <v>7</v>
      </c>
      <c r="H55" s="11">
        <f>SUM(A54:H54)</f>
        <v>8</v>
      </c>
      <c r="I55" s="11">
        <f>SUM(A54:I54)</f>
        <v>9</v>
      </c>
      <c r="J55" s="11">
        <f>SUM(A54:J54)</f>
        <v>10</v>
      </c>
      <c r="K55" s="11">
        <f>SUM(A54:K54)</f>
        <v>11</v>
      </c>
      <c r="L55" s="11">
        <f>SUM(A54:L54)</f>
        <v>12</v>
      </c>
    </row>
    <row r="56" spans="1:12">
      <c r="A56" s="10" t="str">
        <f>IF(A33=0,"    ",A33)</f>
        <v xml:space="preserve">    </v>
      </c>
      <c r="B56" s="10" t="str">
        <f>IF(B33=0,"    ",B33)</f>
        <v xml:space="preserve">    </v>
      </c>
      <c r="C56" s="10" t="str">
        <f t="shared" ref="C56:K56" si="3">IF(C33=0," ",C33)</f>
        <v xml:space="preserve"> </v>
      </c>
      <c r="D56" s="10" t="str">
        <f t="shared" si="3"/>
        <v xml:space="preserve"> </v>
      </c>
      <c r="E56" s="10" t="str">
        <f t="shared" si="3"/>
        <v xml:space="preserve"> </v>
      </c>
      <c r="F56" s="10" t="str">
        <f t="shared" si="3"/>
        <v xml:space="preserve"> </v>
      </c>
      <c r="G56" s="10" t="str">
        <f t="shared" si="3"/>
        <v xml:space="preserve"> </v>
      </c>
      <c r="H56" s="10" t="str">
        <f t="shared" si="3"/>
        <v xml:space="preserve"> </v>
      </c>
      <c r="I56" s="10" t="str">
        <f t="shared" si="3"/>
        <v xml:space="preserve"> </v>
      </c>
      <c r="J56" s="10" t="str">
        <f t="shared" si="3"/>
        <v xml:space="preserve"> </v>
      </c>
      <c r="K56" s="10" t="str">
        <f t="shared" si="3"/>
        <v xml:space="preserve"> </v>
      </c>
      <c r="L56" s="10" t="str">
        <f>IF(B61=0,"    ",B61)</f>
        <v>qəp.</v>
      </c>
    </row>
    <row r="57" spans="1:12">
      <c r="A57" s="10" t="str">
        <f>CONCATENATE(D57,A56,B56,C56,D56,E56,F56,G56,H56,I56,J56,L56,K56)</f>
        <v xml:space="preserve">Man.                  qəp. </v>
      </c>
      <c r="B57" s="10"/>
      <c r="C57" s="10"/>
      <c r="D57" s="10" t="s">
        <v>82</v>
      </c>
      <c r="E57" s="10"/>
      <c r="F57" s="10"/>
      <c r="G57" s="10"/>
      <c r="H57" s="10"/>
      <c r="I57" s="10"/>
      <c r="J57" s="10"/>
      <c r="K57" s="10"/>
      <c r="L57" s="10"/>
    </row>
    <row r="58" spans="1:12">
      <c r="A58" s="36"/>
      <c r="B58" s="37">
        <f>ROUND(A58,0)</f>
        <v>0</v>
      </c>
    </row>
    <row r="59" spans="1:12">
      <c r="A59" s="6" t="s">
        <v>83</v>
      </c>
      <c r="B59" s="38">
        <f>M13/6</f>
        <v>0</v>
      </c>
      <c r="C59" s="6" t="s">
        <v>84</v>
      </c>
      <c r="D59" s="39"/>
    </row>
    <row r="60" spans="1:12">
      <c r="A60" s="13" t="str">
        <f>CONCATENATE(A59,B59,C59)</f>
        <v>в том числе НДС0ман.</v>
      </c>
      <c r="D60" s="39"/>
    </row>
    <row r="61" spans="1:12">
      <c r="A61" s="6">
        <f>(M5-M8)*100</f>
        <v>0</v>
      </c>
      <c r="B61" s="6" t="s">
        <v>85</v>
      </c>
      <c r="D61" s="39"/>
    </row>
    <row r="62" spans="1:12">
      <c r="A62" s="19">
        <f>M11</f>
        <v>0</v>
      </c>
      <c r="B62" s="12">
        <f>M12/6</f>
        <v>0</v>
      </c>
      <c r="D62" s="39"/>
    </row>
    <row r="63" spans="1:12">
      <c r="A63" s="40" t="str">
        <f>CONCATENATE(B62,C59)</f>
        <v>0ман.</v>
      </c>
    </row>
    <row r="64" spans="1:12">
      <c r="A64" s="6" t="str">
        <f>CONCATENATE(A56,B56)</f>
        <v xml:space="preserve">        </v>
      </c>
      <c r="L64" s="6" t="str">
        <f>IF(L33=0,"    ",L33)</f>
        <v xml:space="preserve">    </v>
      </c>
    </row>
  </sheetData>
  <sheetProtection sheet="1" objects="1" scenarios="1"/>
  <phoneticPr fontId="5" type="noConversion"/>
  <pageMargins left="0.75" right="0.75" top="1" bottom="1" header="0.5" footer="0.5"/>
  <pageSetup paperSize="9" orientation="portrait" r:id="rId1"/>
  <headerFooter alignWithMargin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codeName="Sheet8"/>
  <dimension ref="A1:P64"/>
  <sheetViews>
    <sheetView topLeftCell="A43" workbookViewId="0"/>
  </sheetViews>
  <sheetFormatPr defaultRowHeight="12.75"/>
  <cols>
    <col min="1" max="1" width="35" style="6" customWidth="1"/>
    <col min="2" max="2" width="11.140625" style="6" customWidth="1"/>
    <col min="3" max="3" width="13.28515625" style="6" customWidth="1"/>
    <col min="4" max="4" width="13.5703125" style="6" customWidth="1"/>
    <col min="5" max="5" width="12.42578125" style="6" customWidth="1"/>
    <col min="6" max="6" width="12.7109375" style="6" customWidth="1"/>
    <col min="7" max="7" width="10.28515625" style="6" customWidth="1"/>
    <col min="8" max="8" width="13.28515625" style="6" customWidth="1"/>
    <col min="9" max="9" width="10.5703125" style="6" customWidth="1"/>
    <col min="10" max="11" width="7.5703125" style="6" customWidth="1"/>
    <col min="12" max="12" width="6.7109375" style="6" customWidth="1"/>
    <col min="13" max="13" width="18.140625" style="6" customWidth="1"/>
    <col min="14" max="14" width="8.42578125" style="6" customWidth="1"/>
    <col min="15" max="15" width="9.140625" style="6"/>
    <col min="16" max="16" width="8.42578125" style="6" customWidth="1"/>
    <col min="17" max="16384" width="9.140625" style="6"/>
  </cols>
  <sheetData>
    <row r="1" spans="1:16" ht="13.5" thickBot="1">
      <c r="A1" s="2" t="e">
        <f>M8</f>
        <v>#REF!</v>
      </c>
      <c r="B1" s="3"/>
      <c r="C1" s="3"/>
      <c r="D1" s="3"/>
      <c r="E1" s="3"/>
      <c r="F1" s="3"/>
      <c r="G1" s="3"/>
      <c r="H1" s="3"/>
      <c r="I1" s="3"/>
      <c r="J1" s="4"/>
      <c r="K1" s="5"/>
      <c r="L1" s="4"/>
    </row>
    <row r="2" spans="1:16">
      <c r="A2" s="7" t="e">
        <f>(MOD(A1,1000000000)-MOD(A1,100000000))/100000000</f>
        <v>#REF!</v>
      </c>
      <c r="B2" s="7" t="e">
        <f>(MOD(A1,100000000)-MOD(A1,10000000))/10000000</f>
        <v>#REF!</v>
      </c>
      <c r="C2" s="7" t="e">
        <f>(MOD(A1,10000000)-MOD(A1,1000000))/1000000</f>
        <v>#REF!</v>
      </c>
      <c r="D2" s="7" t="e">
        <f>(MOD(A1,1000000)-MOD(A1,100000))/100000</f>
        <v>#REF!</v>
      </c>
      <c r="E2" s="7" t="e">
        <f>(MOD(A1,100000)-MOD(A1,10000))/10000</f>
        <v>#REF!</v>
      </c>
      <c r="F2" s="7" t="e">
        <f>(MOD(A1,10000)-MOD(A1,1000))/1000</f>
        <v>#REF!</v>
      </c>
      <c r="G2" s="7" t="e">
        <f>(MOD(A1,1000)-MOD(A1,100))/100</f>
        <v>#REF!</v>
      </c>
      <c r="H2" s="7" t="e">
        <f>(MOD(A1,100)-MOD(A1,10))/10</f>
        <v>#REF!</v>
      </c>
      <c r="I2" s="7" t="e">
        <f>MOD(A1,10)</f>
        <v>#REF!</v>
      </c>
      <c r="J2" s="4"/>
      <c r="K2" s="5"/>
      <c r="L2" s="4"/>
      <c r="M2" s="6" t="e">
        <f>IF(H2=1," ",IF(I2=1," ",IF(N2=TRUE," "," ")))</f>
        <v>#REF!</v>
      </c>
      <c r="N2" s="6" t="e">
        <f>OR(I2=2,I2=3,I2=4)</f>
        <v>#REF!</v>
      </c>
      <c r="P2" s="6" t="b">
        <f>OR(K2=2,K2=3,K2=4)</f>
        <v>0</v>
      </c>
    </row>
    <row r="3" spans="1:16">
      <c r="A3" s="8" t="e">
        <f>IF(A2=0,0,A5)</f>
        <v>#REF!</v>
      </c>
      <c r="B3" s="8" t="e">
        <f t="shared" ref="B3:I3" si="0">IF(B2=0,0,B4)</f>
        <v>#REF!</v>
      </c>
      <c r="C3" s="9" t="e">
        <f t="shared" si="0"/>
        <v>#REF!</v>
      </c>
      <c r="D3" s="8" t="e">
        <f t="shared" si="0"/>
        <v>#REF!</v>
      </c>
      <c r="E3" s="8" t="e">
        <f t="shared" si="0"/>
        <v>#REF!</v>
      </c>
      <c r="F3" s="9" t="e">
        <f t="shared" si="0"/>
        <v>#REF!</v>
      </c>
      <c r="G3" s="8" t="e">
        <f t="shared" si="0"/>
        <v>#REF!</v>
      </c>
      <c r="H3" s="8" t="e">
        <f t="shared" si="0"/>
        <v>#REF!</v>
      </c>
      <c r="I3" s="9" t="e">
        <f t="shared" si="0"/>
        <v>#REF!</v>
      </c>
      <c r="J3" s="4"/>
      <c r="K3" s="5"/>
      <c r="L3" s="4"/>
      <c r="M3" s="6" t="e">
        <f>IF(E2=1," min",IF(F2=1," min",IF(N3=TRUE," min"," min")))</f>
        <v>#REF!</v>
      </c>
      <c r="N3" s="6" t="e">
        <f>OR(F2=2,F2=3,F2=4)</f>
        <v>#REF!</v>
      </c>
      <c r="P3" s="6" t="e">
        <f>OR(H2=2,H2=3,H2=4)</f>
        <v>#REF!</v>
      </c>
    </row>
    <row r="4" spans="1:16">
      <c r="A4" s="10"/>
      <c r="B4" s="10" t="e">
        <f>IF(A1&gt;99999999,B5,B6)</f>
        <v>#REF!</v>
      </c>
      <c r="C4" s="10" t="e">
        <f>IF(B2=1,0,C5)</f>
        <v>#REF!</v>
      </c>
      <c r="D4" s="10" t="e">
        <f>IF(A1&gt;999999,D5,D7)</f>
        <v>#REF!</v>
      </c>
      <c r="E4" s="10" t="e">
        <f>IF(A1&gt;99999,E5,E6)</f>
        <v>#REF!</v>
      </c>
      <c r="F4" s="10" t="e">
        <f>IF(E2=1,0,F5)</f>
        <v>#REF!</v>
      </c>
      <c r="G4" s="10" t="e">
        <f>IF(A1&gt;999,G5,G7)</f>
        <v>#REF!</v>
      </c>
      <c r="H4" s="10" t="e">
        <f>IF(A1&gt;99,H5,H6)</f>
        <v>#REF!</v>
      </c>
      <c r="I4" s="10" t="e">
        <f>IF(H2=1,0,I5)</f>
        <v>#REF!</v>
      </c>
      <c r="J4" s="4"/>
      <c r="K4" s="5"/>
      <c r="L4" s="4"/>
      <c r="M4" s="6" t="e">
        <f>IF(B2=1," milyon",IF(C2=1," milyon",IF(N4=TRUE," milyon"," milyon")))</f>
        <v>#REF!</v>
      </c>
      <c r="N4" s="6" t="e">
        <f>OR(C2=2,C2=3,C2=4)</f>
        <v>#REF!</v>
      </c>
      <c r="P4" s="6" t="e">
        <f>OR(E2=2,E2=3,E2=4)</f>
        <v>#REF!</v>
      </c>
    </row>
    <row r="5" spans="1:16">
      <c r="A5" s="11" t="e">
        <f>IF(A2=1,H20,IF(A2=2,H21,IF(A2=3,H22,IF(A2=4,H23,IF(A2=5,H24,IF(A2=6,H25,IF(A2=7,H26,IF(A2&gt;7,A6))))))))</f>
        <v>#REF!</v>
      </c>
      <c r="B5" s="10" t="e">
        <f>IF(B2=1,B7,B11)</f>
        <v>#REF!</v>
      </c>
      <c r="C5" s="10" t="e">
        <f>IF(A1&gt;9999999,C6,C7)</f>
        <v>#REF!</v>
      </c>
      <c r="D5" s="11" t="e">
        <f>IF(D2=1,I20,IF(D2=2,I21,IF(D2=3,I22,IF(D2=4,I23,IF(D2=5,I24,IF(D2=6,I25,IF(D2=7,I26,IF(D2&gt;7,D6))))))))</f>
        <v>#REF!</v>
      </c>
      <c r="E5" s="10" t="e">
        <f>IF(E2=1,E7,E11)</f>
        <v>#REF!</v>
      </c>
      <c r="F5" s="10" t="e">
        <f>IF(A1&gt;9999,F6,F7)</f>
        <v>#REF!</v>
      </c>
      <c r="G5" s="11" t="e">
        <f>IF(G2=1,I20,IF(G2=2,I21,IF(G2=3,I22,IF(G2=4,I23,IF(G2=5,I24,IF(G2=6,I25,IF(G2=7,I26,IF(G2&gt;7,G6))))))))</f>
        <v>#REF!</v>
      </c>
      <c r="H5" s="10" t="e">
        <f>IF(H2=1,H7,H11)</f>
        <v>#REF!</v>
      </c>
      <c r="I5" s="10" t="e">
        <f>IF(A1&gt;9,I6,I7)</f>
        <v>#REF!</v>
      </c>
      <c r="J5" s="4"/>
      <c r="K5" s="5"/>
      <c r="L5" s="4"/>
      <c r="M5" s="12" t="e">
        <f>#REF!</f>
        <v>#REF!</v>
      </c>
    </row>
    <row r="6" spans="1:16">
      <c r="A6" s="11" t="e">
        <f>IF(A2=8,H27,IF(A2=9,H28))</f>
        <v>#REF!</v>
      </c>
      <c r="B6" s="10" t="e">
        <f>IF(B2=1,B9,B12)</f>
        <v>#REF!</v>
      </c>
      <c r="C6" s="10" t="e">
        <f>IF(C2=1,B20,IF(C2=2,B21,IF(C2=3,B22,IF(C2=4,B23,IF(C2=5,B24,IF(C2=6,B25,IF(C2=7,B26,IF(C2&gt;7,C8))))))))</f>
        <v>#REF!</v>
      </c>
      <c r="D6" s="11" t="e">
        <f>IF(D2=8,I27,IF(D2=9,I28))</f>
        <v>#REF!</v>
      </c>
      <c r="E6" s="10" t="e">
        <f>IF(E2=1,E9,E12)</f>
        <v>#REF!</v>
      </c>
      <c r="F6" s="10" t="e">
        <f>IF(F2=1,G22,IF(F2=2,G23,IF(F2=3,B22,IF(F2=4,B23,IF(F2=5,B24,IF(F2=6,B25,IF(F2=7,B26,IF(F2&gt;7,F8))))))))</f>
        <v>#REF!</v>
      </c>
      <c r="G6" s="11" t="e">
        <f>IF(G2=8,I27,IF(G2=9,I28))</f>
        <v>#REF!</v>
      </c>
      <c r="H6" s="10" t="e">
        <f>IF(H2=1,H9,H12)</f>
        <v>#REF!</v>
      </c>
      <c r="I6" s="10" t="e">
        <f>IF(I2=1,B20,IF(I2=2,B21,IF(I2=3,B22,IF(I2=4,B23,IF(I2=5,B24,IF(I2=6,B25,IF(I2=7,B26,IF(I2&gt;7,I8))))))))</f>
        <v>#REF!</v>
      </c>
      <c r="J6" s="4"/>
      <c r="K6" s="5"/>
      <c r="L6" s="4"/>
      <c r="M6" s="13" t="e">
        <f>CONCATENATE(M8,M9,M11)</f>
        <v>#REF!</v>
      </c>
    </row>
    <row r="7" spans="1:16">
      <c r="A7" s="4"/>
      <c r="B7" s="11" t="e">
        <f>IF(C2=0,F20,IF(C2=1,D20,IF(C2=2,D21,IF(C2=3,D22,IF(C2=4,D23,IF(C2=5,D24,IF(C2=6,D25,IF(C2&gt;6,B8))))))))</f>
        <v>#REF!</v>
      </c>
      <c r="C7" s="10" t="e">
        <f>IF(C2=1,A20,IF(C2=2,A21,IF(C2=3,A22,IF(C2=4,A23,IF(C2=5,A24,IF(C2=6,A25,IF(C2=7,A26,IF(C2&gt;7,C9))))))))</f>
        <v>#REF!</v>
      </c>
      <c r="D7" s="14" t="e">
        <f>IF(D2=1,H20,IF(D2=2,H21,IF(D2=3,H22,IF(D2=4,H23,IF(D2=5,H24,IF(D2=6,H25,IF(D2=7,H26,IF(D2&gt;7,D8))))))))</f>
        <v>#REF!</v>
      </c>
      <c r="E7" s="11" t="e">
        <f>IF(F2=0,F20,IF(F2=1,D20,IF(F2=2,D21,IF(F2=3,D22,IF(F2=4,D23,IF(F2=5,D24,IF(F2=6,D25,IF(F2&gt;6,E8))))))))</f>
        <v>#REF!</v>
      </c>
      <c r="F7" s="10" t="e">
        <f>IF(F2=1,G20,IF(F2=2,G21,IF(F2=3,A22,IF(F2=4,A23,IF(F2=5,A24,IF(F2=6,A25,IF(F2=7,A26,IF(F2&gt;7,F9))))))))</f>
        <v>#REF!</v>
      </c>
      <c r="G7" s="14" t="e">
        <f>IF(G2=1,H20,IF(G2=2,H21,IF(G2=3,H22,IF(G2=4,H23,IF(G2=5,H24,IF(G2=6,H25,IF(G2=7,H26,IF(G2&gt;7,G8))))))))</f>
        <v>#REF!</v>
      </c>
      <c r="H7" s="11" t="e">
        <f>IF(I2=0,F20,IF(I2=1,D20,IF(I2=2,D21,IF(I2=3,D22,IF(I2=4,D23,IF(I2=5,D24,IF(I2=6,D25,IF(I2&gt;6,H8))))))))</f>
        <v>#REF!</v>
      </c>
      <c r="I7" s="10" t="e">
        <f>IF(I2=1,A20,IF(I2=2,A21,IF(I2=3,A22,IF(I2=4,A23,IF(I2=5,A24,IF(I2=6,A25,IF(I2=7,A26,IF(I2&gt;7,I9))))))))</f>
        <v>#REF!</v>
      </c>
      <c r="J7" s="4"/>
      <c r="K7" s="5"/>
      <c r="L7" s="4"/>
      <c r="M7" s="15"/>
    </row>
    <row r="8" spans="1:16">
      <c r="A8" s="4"/>
      <c r="B8" s="11" t="e">
        <f>IF(C2=7,D26,IF(C2=8,D27,IF(C2=9,D28)))</f>
        <v>#REF!</v>
      </c>
      <c r="C8" s="10" t="e">
        <f>IF(C2=8,B27,IF(C2=9,B28))</f>
        <v>#REF!</v>
      </c>
      <c r="D8" s="14" t="e">
        <f>IF(D2=8,H27,IF(D2=9,H28))</f>
        <v>#REF!</v>
      </c>
      <c r="E8" s="11" t="e">
        <f>IF(F2=7,D26,IF(F2=8,D27,IF(F2=9,D28)))</f>
        <v>#REF!</v>
      </c>
      <c r="F8" s="10" t="e">
        <f>IF(F2=8,B27,IF(F2=9,B28))</f>
        <v>#REF!</v>
      </c>
      <c r="G8" s="14" t="e">
        <f>IF(G2=8,H27,IF(G2=9,H28))</f>
        <v>#REF!</v>
      </c>
      <c r="H8" s="11" t="e">
        <f>IF(I2=7,D26,IF(I2=8,D27,IF(I2=9,D28)))</f>
        <v>#REF!</v>
      </c>
      <c r="I8" s="10" t="e">
        <f>IF(I2=8,B27,IF(I2=9,B28))</f>
        <v>#REF!</v>
      </c>
      <c r="J8" s="4"/>
      <c r="K8" s="5"/>
      <c r="L8" s="4"/>
      <c r="M8" s="16" t="e">
        <f>TRUNC(M5,0)</f>
        <v>#REF!</v>
      </c>
    </row>
    <row r="9" spans="1:16">
      <c r="A9" s="4"/>
      <c r="B9" s="14" t="e">
        <f>IF(C2=0,E20,IF(C2=1,C20,IF(C2=2,C21,IF(C2=3,C22,IF(C2=4,C23,IF(C2=5,C24,IF(C2=6,C25,IF(C2&gt;6,B10))))))))</f>
        <v>#REF!</v>
      </c>
      <c r="C9" s="10" t="e">
        <f>IF(C2=8,A27,IF(C2=9,A28))</f>
        <v>#REF!</v>
      </c>
      <c r="D9" s="4"/>
      <c r="E9" s="14" t="e">
        <f>IF(F2=0,E20,IF(F2=1,C20,IF(F2=2,C21,IF(F2=3,C22,IF(F2=4,C23,IF(F2=5,C24,IF(F2=6,C25,IF(F2&gt;6,E10))))))))</f>
        <v>#REF!</v>
      </c>
      <c r="F9" s="10" t="e">
        <f>IF(F2=8,A27,IF(F2=9,A28))</f>
        <v>#REF!</v>
      </c>
      <c r="G9" s="4"/>
      <c r="H9" s="14" t="e">
        <f>IF(I2=0,E20,IF(I2=1,C20,IF(I2=2,C21,IF(I2=3,C22,IF(I2=4,C23,IF(I2=5,C24,IF(I2=6,C25,IF(I2&gt;6,H10))))))))</f>
        <v>#REF!</v>
      </c>
      <c r="I9" s="10" t="e">
        <f>IF(I2=8,A27,IF(I2=9,A28))</f>
        <v>#REF!</v>
      </c>
      <c r="J9" s="4"/>
      <c r="K9" s="5"/>
      <c r="L9" s="4"/>
      <c r="M9" s="17" t="s">
        <v>9</v>
      </c>
    </row>
    <row r="10" spans="1:16">
      <c r="A10" s="4"/>
      <c r="B10" s="14" t="e">
        <f>IF(C2=7,C26,IF(C2=8,C27,IF(C2=9,C28)))</f>
        <v>#REF!</v>
      </c>
      <c r="C10" s="4"/>
      <c r="D10" s="4"/>
      <c r="E10" s="14" t="e">
        <f>IF(F2=7,C26,IF(F2=8,C27,IF(F2=9,C28)))</f>
        <v>#REF!</v>
      </c>
      <c r="F10" s="4"/>
      <c r="G10" s="4"/>
      <c r="H10" s="14" t="e">
        <f>IF(I2=7,C26,IF(I2=8,C27,IF(I2=9,C28)))</f>
        <v>#REF!</v>
      </c>
      <c r="I10" s="4"/>
      <c r="J10" s="4"/>
      <c r="K10" s="5"/>
      <c r="L10" s="4"/>
      <c r="M10" s="18" t="e">
        <f>(M5-M8)*100</f>
        <v>#REF!</v>
      </c>
    </row>
    <row r="11" spans="1:16">
      <c r="A11" s="4"/>
      <c r="B11" s="11" t="e">
        <f>IF(B2=2,F21,IF(B2=3,F22,IF(B2=4,F23,IF(B2=5,F24,IF(B2=6,F25,IF(B2=7,F26,IF(B2=8,F27,IF(B2=9,F28))))))))</f>
        <v>#REF!</v>
      </c>
      <c r="C11" s="4"/>
      <c r="D11" s="4"/>
      <c r="E11" s="11" t="e">
        <f>IF(E2=2,F21,IF(E2=3,F22,IF(E2=4,F23,IF(E2=5,F24,IF(E2=6,F25,IF(E2=7,F26,IF(E2=8,F27,IF(E2=9,F28))))))))</f>
        <v>#REF!</v>
      </c>
      <c r="F11" s="4"/>
      <c r="G11" s="4"/>
      <c r="H11" s="11" t="e">
        <f>IF(H2=2,F21,IF(H2=3,F22,IF(H2=4,F23,IF(H2=5,F24,IF(H2=6,F25,IF(H2=7,F26,IF(H2=8,F27,IF(H2=9,F28))))))))</f>
        <v>#REF!</v>
      </c>
      <c r="I11" s="4"/>
      <c r="J11" s="4"/>
      <c r="K11" s="5"/>
      <c r="L11" s="4"/>
      <c r="M11" s="19"/>
    </row>
    <row r="12" spans="1:16">
      <c r="A12" s="4"/>
      <c r="B12" s="14" t="e">
        <f>IF(B2=2,E21,IF(B2=3,E22,IF(B2=4,E23,IF(B2=5,E24,IF(B2=6,E25,IF(B2=7,E26,IF(B2=8,E27,IF(B2=9,E28))))))))</f>
        <v>#REF!</v>
      </c>
      <c r="C12" s="4"/>
      <c r="D12" s="4"/>
      <c r="E12" s="14" t="e">
        <f>IF(E2=2,E21,IF(E2=3,E22,IF(E2=4,E23,IF(E2=5,E24,IF(E2=6,E25,IF(E2=7,E26,IF(E2=8,E27,IF(E2=9,E28))))))))</f>
        <v>#REF!</v>
      </c>
      <c r="F12" s="4"/>
      <c r="G12" s="4"/>
      <c r="H12" s="14" t="e">
        <f>IF(H2=2,E21,IF(H2=3,E22,IF(H2=4,E23,IF(H2=5,E24,IF(H2=6,E25,IF(H2=7,E26,IF(H2=8,E27,IF(H2=9,E28))))))))</f>
        <v>#REF!</v>
      </c>
      <c r="I12" s="4"/>
      <c r="J12" s="4"/>
      <c r="K12" s="5"/>
      <c r="L12" s="4"/>
      <c r="M12" s="12"/>
    </row>
    <row r="13" spans="1:16">
      <c r="A13" s="4"/>
      <c r="B13" s="4"/>
      <c r="C13" s="4"/>
      <c r="D13" s="4"/>
      <c r="E13" s="4"/>
      <c r="F13" s="4"/>
      <c r="G13" s="4"/>
      <c r="H13" s="4"/>
      <c r="I13" s="4"/>
      <c r="J13" s="4"/>
      <c r="K13" s="5"/>
      <c r="L13" s="4"/>
      <c r="M13" s="6" t="e">
        <f>M5+M11/100</f>
        <v>#REF!</v>
      </c>
    </row>
    <row r="14" spans="1:16">
      <c r="A14" s="4"/>
      <c r="B14" s="4"/>
      <c r="C14" s="4"/>
      <c r="D14" s="4"/>
      <c r="E14" s="4"/>
      <c r="F14" s="4"/>
      <c r="G14" s="4"/>
      <c r="H14" s="4"/>
      <c r="I14" s="4"/>
      <c r="J14" s="4"/>
      <c r="K14" s="5"/>
      <c r="L14" s="4"/>
      <c r="M14" s="20" t="e">
        <f>M13/6</f>
        <v>#REF!</v>
      </c>
    </row>
    <row r="15" spans="1:16">
      <c r="A15" s="4"/>
      <c r="B15" s="4"/>
      <c r="C15" s="4"/>
      <c r="D15" s="4"/>
      <c r="E15" s="4"/>
      <c r="F15" s="4"/>
      <c r="G15" s="4"/>
      <c r="H15" s="4"/>
      <c r="I15" s="4"/>
      <c r="J15" s="4"/>
      <c r="K15" s="5"/>
      <c r="L15" s="4"/>
      <c r="M15" s="21" t="e">
        <f>M13/6</f>
        <v>#REF!</v>
      </c>
    </row>
    <row r="16" spans="1:16">
      <c r="A16" s="4"/>
      <c r="B16" s="4"/>
      <c r="C16" s="4"/>
      <c r="D16" s="4"/>
      <c r="E16" s="4"/>
      <c r="F16" s="4"/>
      <c r="G16" s="4"/>
      <c r="H16" s="4"/>
      <c r="I16" s="4"/>
      <c r="J16" s="4"/>
      <c r="K16" s="5"/>
      <c r="L16" s="4"/>
      <c r="M16" s="22" t="e">
        <f>TRUNC(M15,0)</f>
        <v>#REF!</v>
      </c>
    </row>
    <row r="17" spans="1:13">
      <c r="A17" s="4"/>
      <c r="B17" s="4"/>
      <c r="C17" s="4"/>
      <c r="D17" s="4"/>
      <c r="E17" s="4"/>
      <c r="F17" s="4"/>
      <c r="G17" s="4"/>
      <c r="H17" s="4"/>
      <c r="I17" s="4"/>
      <c r="J17" s="4"/>
      <c r="K17" s="5"/>
      <c r="L17" s="4"/>
      <c r="M17" s="23" t="e">
        <f>M16</f>
        <v>#REF!</v>
      </c>
    </row>
    <row r="18" spans="1:13">
      <c r="A18" s="4"/>
      <c r="B18" s="4"/>
      <c r="C18" s="4"/>
      <c r="D18" s="4"/>
      <c r="E18" s="4"/>
      <c r="F18" s="4"/>
      <c r="G18" s="4"/>
      <c r="H18" s="4"/>
      <c r="I18" s="4"/>
      <c r="J18" s="4"/>
      <c r="K18" s="5"/>
      <c r="L18" s="4"/>
      <c r="M18" s="19" t="e">
        <f>(M15-M17)*100</f>
        <v>#REF!</v>
      </c>
    </row>
    <row r="19" spans="1:13">
      <c r="A19" s="4"/>
      <c r="B19" s="4"/>
      <c r="C19" s="4"/>
      <c r="D19" s="4"/>
      <c r="E19" s="4"/>
      <c r="F19" s="4"/>
      <c r="G19" s="4"/>
      <c r="H19" s="4"/>
      <c r="I19" s="4"/>
      <c r="J19" s="4"/>
      <c r="K19" s="5"/>
      <c r="L19" s="4"/>
      <c r="M19" s="24" t="e">
        <f>CONCATENATE(M17,M9,M18)</f>
        <v>#REF!</v>
      </c>
    </row>
    <row r="20" spans="1:13">
      <c r="A20" s="25" t="s">
        <v>10</v>
      </c>
      <c r="B20" s="25" t="s">
        <v>11</v>
      </c>
      <c r="C20" s="25" t="s">
        <v>12</v>
      </c>
      <c r="D20" s="25" t="s">
        <v>13</v>
      </c>
      <c r="E20" s="25" t="s">
        <v>14</v>
      </c>
      <c r="F20" s="25" t="s">
        <v>15</v>
      </c>
      <c r="G20" s="25" t="s">
        <v>10</v>
      </c>
      <c r="H20" s="25" t="s">
        <v>16</v>
      </c>
      <c r="I20" s="25" t="s">
        <v>17</v>
      </c>
      <c r="J20" s="4"/>
      <c r="K20" s="5"/>
      <c r="L20" s="4"/>
    </row>
    <row r="21" spans="1:13">
      <c r="A21" s="25" t="s">
        <v>18</v>
      </c>
      <c r="B21" s="25" t="s">
        <v>19</v>
      </c>
      <c r="C21" s="25" t="s">
        <v>20</v>
      </c>
      <c r="D21" s="25" t="s">
        <v>21</v>
      </c>
      <c r="E21" s="25" t="s">
        <v>22</v>
      </c>
      <c r="F21" s="25" t="s">
        <v>23</v>
      </c>
      <c r="G21" s="25" t="s">
        <v>18</v>
      </c>
      <c r="H21" s="25" t="s">
        <v>24</v>
      </c>
      <c r="I21" s="25" t="s">
        <v>25</v>
      </c>
      <c r="J21" s="4"/>
      <c r="K21" s="5"/>
      <c r="L21" s="4"/>
      <c r="M21" s="19">
        <v>1.9999999999996021</v>
      </c>
    </row>
    <row r="22" spans="1:13">
      <c r="A22" s="25" t="s">
        <v>26</v>
      </c>
      <c r="B22" s="25" t="s">
        <v>27</v>
      </c>
      <c r="C22" s="25" t="s">
        <v>28</v>
      </c>
      <c r="D22" s="25" t="s">
        <v>29</v>
      </c>
      <c r="E22" s="25" t="s">
        <v>30</v>
      </c>
      <c r="F22" s="25" t="s">
        <v>31</v>
      </c>
      <c r="G22" s="25" t="s">
        <v>11</v>
      </c>
      <c r="H22" s="25" t="s">
        <v>32</v>
      </c>
      <c r="I22" s="25" t="s">
        <v>33</v>
      </c>
      <c r="J22" s="4"/>
      <c r="K22" s="5"/>
      <c r="L22" s="4"/>
    </row>
    <row r="23" spans="1:13">
      <c r="A23" s="25" t="s">
        <v>34</v>
      </c>
      <c r="B23" s="25" t="s">
        <v>35</v>
      </c>
      <c r="C23" s="25" t="s">
        <v>36</v>
      </c>
      <c r="D23" s="25" t="s">
        <v>37</v>
      </c>
      <c r="E23" s="26" t="s">
        <v>38</v>
      </c>
      <c r="F23" s="25" t="s">
        <v>39</v>
      </c>
      <c r="G23" s="25" t="s">
        <v>19</v>
      </c>
      <c r="H23" s="27" t="s">
        <v>40</v>
      </c>
      <c r="I23" s="25" t="s">
        <v>41</v>
      </c>
      <c r="J23" s="4"/>
      <c r="K23" s="5"/>
      <c r="L23" s="4"/>
    </row>
    <row r="24" spans="1:13">
      <c r="A24" s="25" t="s">
        <v>42</v>
      </c>
      <c r="B24" s="25" t="s">
        <v>43</v>
      </c>
      <c r="C24" s="25" t="s">
        <v>44</v>
      </c>
      <c r="D24" s="25" t="s">
        <v>45</v>
      </c>
      <c r="E24" s="25" t="s">
        <v>46</v>
      </c>
      <c r="F24" s="25" t="s">
        <v>47</v>
      </c>
      <c r="G24" s="25"/>
      <c r="H24" s="25" t="s">
        <v>48</v>
      </c>
      <c r="I24" s="25" t="s">
        <v>49</v>
      </c>
      <c r="J24" s="4"/>
      <c r="K24" s="5"/>
      <c r="L24" s="4"/>
    </row>
    <row r="25" spans="1:13">
      <c r="A25" s="25" t="s">
        <v>50</v>
      </c>
      <c r="B25" s="25" t="s">
        <v>51</v>
      </c>
      <c r="C25" s="25" t="s">
        <v>52</v>
      </c>
      <c r="D25" s="25" t="s">
        <v>53</v>
      </c>
      <c r="E25" s="25" t="s">
        <v>54</v>
      </c>
      <c r="F25" s="25" t="s">
        <v>55</v>
      </c>
      <c r="G25" s="25"/>
      <c r="H25" s="25" t="s">
        <v>56</v>
      </c>
      <c r="I25" s="25" t="s">
        <v>57</v>
      </c>
      <c r="J25" s="4"/>
      <c r="K25" s="5"/>
      <c r="L25" s="4"/>
    </row>
    <row r="26" spans="1:13">
      <c r="A26" s="25" t="s">
        <v>58</v>
      </c>
      <c r="B26" s="25" t="s">
        <v>59</v>
      </c>
      <c r="C26" s="25" t="s">
        <v>60</v>
      </c>
      <c r="D26" s="25" t="s">
        <v>61</v>
      </c>
      <c r="E26" s="25" t="s">
        <v>62</v>
      </c>
      <c r="F26" s="25" t="s">
        <v>63</v>
      </c>
      <c r="G26" s="25"/>
      <c r="H26" s="25" t="s">
        <v>64</v>
      </c>
      <c r="I26" s="25" t="s">
        <v>65</v>
      </c>
      <c r="J26" s="4"/>
      <c r="K26" s="5"/>
      <c r="L26" s="4"/>
    </row>
    <row r="27" spans="1:13">
      <c r="A27" s="25" t="s">
        <v>66</v>
      </c>
      <c r="B27" s="25" t="s">
        <v>67</v>
      </c>
      <c r="C27" s="25" t="s">
        <v>68</v>
      </c>
      <c r="D27" s="25" t="s">
        <v>69</v>
      </c>
      <c r="E27" s="25" t="s">
        <v>70</v>
      </c>
      <c r="F27" s="25" t="s">
        <v>71</v>
      </c>
      <c r="G27" s="25"/>
      <c r="H27" s="25" t="s">
        <v>72</v>
      </c>
      <c r="I27" s="25" t="s">
        <v>73</v>
      </c>
      <c r="J27" s="4"/>
      <c r="K27" s="5"/>
      <c r="L27" s="4"/>
    </row>
    <row r="28" spans="1:13">
      <c r="A28" s="25" t="s">
        <v>74</v>
      </c>
      <c r="B28" s="25" t="s">
        <v>75</v>
      </c>
      <c r="C28" s="25" t="s">
        <v>76</v>
      </c>
      <c r="D28" s="25" t="s">
        <v>77</v>
      </c>
      <c r="E28" s="25" t="s">
        <v>78</v>
      </c>
      <c r="F28" s="25" t="s">
        <v>79</v>
      </c>
      <c r="G28" s="25"/>
      <c r="H28" s="25" t="s">
        <v>80</v>
      </c>
      <c r="I28" s="25" t="s">
        <v>81</v>
      </c>
      <c r="J28" s="4"/>
      <c r="K28" s="5"/>
      <c r="L28" s="4"/>
    </row>
    <row r="29" spans="1:13">
      <c r="A29" s="4"/>
      <c r="B29" s="4"/>
      <c r="C29" s="4"/>
      <c r="D29" s="4"/>
      <c r="E29" s="4"/>
      <c r="F29" s="4"/>
      <c r="G29" s="4"/>
      <c r="H29" s="4"/>
      <c r="I29" s="4"/>
      <c r="J29" s="4"/>
      <c r="K29" s="5"/>
      <c r="L29" s="4"/>
    </row>
    <row r="30" spans="1:13">
      <c r="A30" s="28" t="e">
        <f t="shared" ref="A30:I30" si="1">A3</f>
        <v>#REF!</v>
      </c>
      <c r="B30" s="28" t="e">
        <f t="shared" si="1"/>
        <v>#REF!</v>
      </c>
      <c r="C30" s="28" t="e">
        <f t="shared" si="1"/>
        <v>#REF!</v>
      </c>
      <c r="D30" s="28" t="e">
        <f t="shared" si="1"/>
        <v>#REF!</v>
      </c>
      <c r="E30" s="28" t="e">
        <f t="shared" si="1"/>
        <v>#REF!</v>
      </c>
      <c r="F30" s="28" t="e">
        <f t="shared" si="1"/>
        <v>#REF!</v>
      </c>
      <c r="G30" s="28" t="e">
        <f t="shared" si="1"/>
        <v>#REF!</v>
      </c>
      <c r="H30" s="28" t="e">
        <f t="shared" si="1"/>
        <v>#REF!</v>
      </c>
      <c r="I30" s="28" t="e">
        <f t="shared" si="1"/>
        <v>#REF!</v>
      </c>
      <c r="J30" s="3"/>
      <c r="K30" s="4"/>
      <c r="L30" s="4"/>
    </row>
    <row r="31" spans="1:13">
      <c r="A31" s="29" t="e">
        <f>A30</f>
        <v>#REF!</v>
      </c>
      <c r="B31" s="29" t="e">
        <f>B30</f>
        <v>#REF!</v>
      </c>
      <c r="C31" s="29" t="e">
        <f>C30</f>
        <v>#REF!</v>
      </c>
      <c r="D31" s="14" t="e">
        <f>M4</f>
        <v>#REF!</v>
      </c>
      <c r="E31" s="29" t="e">
        <f>D30</f>
        <v>#REF!</v>
      </c>
      <c r="F31" s="29" t="e">
        <f>E30</f>
        <v>#REF!</v>
      </c>
      <c r="G31" s="29" t="e">
        <f>F30</f>
        <v>#REF!</v>
      </c>
      <c r="H31" s="14" t="e">
        <f>M3</f>
        <v>#REF!</v>
      </c>
      <c r="I31" s="29" t="e">
        <f>G30</f>
        <v>#REF!</v>
      </c>
      <c r="J31" s="29" t="e">
        <f>H30</f>
        <v>#REF!</v>
      </c>
      <c r="K31" s="29" t="e">
        <f>I30</f>
        <v>#REF!</v>
      </c>
      <c r="L31" s="14" t="e">
        <f>M2</f>
        <v>#REF!</v>
      </c>
    </row>
    <row r="32" spans="1:13">
      <c r="A32" s="30" t="e">
        <f>IF(A31=0,0,1)</f>
        <v>#REF!</v>
      </c>
      <c r="B32" s="30" t="e">
        <f>IF(B31=0,0,1)</f>
        <v>#REF!</v>
      </c>
      <c r="C32" s="30" t="e">
        <f>IF(C31=0,0,1)</f>
        <v>#REF!</v>
      </c>
      <c r="D32" s="30">
        <v>1</v>
      </c>
      <c r="E32" s="30" t="e">
        <f>IF(E31=0,0,1)</f>
        <v>#REF!</v>
      </c>
      <c r="F32" s="30" t="e">
        <f>IF(F31=0,0,1)</f>
        <v>#REF!</v>
      </c>
      <c r="G32" s="30" t="e">
        <f>IF(G31=0,0,1)</f>
        <v>#REF!</v>
      </c>
      <c r="H32" s="30">
        <v>1</v>
      </c>
      <c r="I32" s="30" t="e">
        <f>IF(I31=0,0,1)</f>
        <v>#REF!</v>
      </c>
      <c r="J32" s="30" t="e">
        <f>IF(J31=0,0,1)</f>
        <v>#REF!</v>
      </c>
      <c r="K32" s="30" t="e">
        <f>IF(K31=0,0,1)</f>
        <v>#REF!</v>
      </c>
      <c r="L32" s="30">
        <v>1</v>
      </c>
    </row>
    <row r="33" spans="1:12">
      <c r="A33" s="31" t="e">
        <f>IF(L45=1,A31,A34)</f>
        <v>#REF!</v>
      </c>
      <c r="B33" s="31" t="e">
        <f>IF(L44=2,B31,IF(L44=1,B34,IF(L44=0,B35)))</f>
        <v>#REF!</v>
      </c>
      <c r="C33" s="31" t="e">
        <f>IF(L43=3,C31,IF(L43=2,D31,IF(L43=1,D35,IF(L43=0,C34))))</f>
        <v>#REF!</v>
      </c>
      <c r="D33" s="31" t="e">
        <f>IF(L42=4,D31,IF(L42=3,D35,IF(L42=2,D34,IF(L42=1,D43))))</f>
        <v>#REF!</v>
      </c>
      <c r="E33" s="31" t="e">
        <f>IF(L41=5,E31,IF(L41=4,E34,IF(L41=3,E39,IF(L41=2,E52,E49))))</f>
        <v>#REF!</v>
      </c>
      <c r="F33" s="31" t="e">
        <f>IF(L40=6,F31,IF(L40=5,F34,IF(L40=4,F35,IF(L40=3,F37,IF(L40=2,F41,IF(L40=1,F44))))))</f>
        <v>#REF!</v>
      </c>
      <c r="G33" s="31" t="e">
        <f>IF(L39=7,G31,IF(L39=6,H31,IF(L39=5,H34,IF(L39=4,G34,IF(L39=3,G38,IF(L39=2,G36,0))))))</f>
        <v>#REF!</v>
      </c>
      <c r="H33" s="31" t="e">
        <f>IF(L38=8,H31,IF(L38=7,H34,IF(L38=6,H38,IF(L38=5,H43,IF(L38=4,H44,0)))))</f>
        <v>#REF!</v>
      </c>
      <c r="I33" s="31" t="e">
        <f>IF(L37=9,I31,IF(L37=8,I34,IF(L37=7,I36,IF(L37=6,I37,0))))</f>
        <v>#REF!</v>
      </c>
      <c r="J33" s="31" t="e">
        <f>IF(L36=10,J31,IF(L36=9,J34,IF(L36=8,J35,0)))</f>
        <v>#REF!</v>
      </c>
      <c r="K33" s="31" t="e">
        <f>IF(L35=11,K31,IF(L35=10,L31,))</f>
        <v>#REF!</v>
      </c>
      <c r="L33" s="31" t="e">
        <f>IF(L34=12,L31,0)</f>
        <v>#REF!</v>
      </c>
    </row>
    <row r="34" spans="1:12">
      <c r="A34" s="11" t="e">
        <f>IF(B32=0,A35,B31)</f>
        <v>#REF!</v>
      </c>
      <c r="B34" s="11" t="e">
        <f>IF(C32=0,D31,C31)</f>
        <v>#REF!</v>
      </c>
      <c r="C34" s="11" t="e">
        <f>IF(L48=3,G31,IF(L48=2,H31,IF(L48=1,H34,H41)))</f>
        <v>#REF!</v>
      </c>
      <c r="D34" s="32" t="e">
        <f>IF(E31=0,D38,D40)</f>
        <v>#REF!</v>
      </c>
      <c r="E34" s="33" t="e">
        <f>IF(L49=3,E35,E37)</f>
        <v>#REF!</v>
      </c>
      <c r="F34" s="11" t="e">
        <f>IF(G31=0,H31,G31)</f>
        <v>#REF!</v>
      </c>
      <c r="G34" s="33" t="e">
        <f>IF(L48=0,H41,G37)</f>
        <v>#REF!</v>
      </c>
      <c r="H34" s="33" t="e">
        <f>IF(L47=0,L31,IF(L47=1,H35,IF(L47=2,H37,IF(L47=3,I31))))</f>
        <v>#REF!</v>
      </c>
      <c r="I34" s="33" t="e">
        <f>IF(L46=1,L31,IF(L46=2,I35,IF(L46=3,J31)))</f>
        <v>#REF!</v>
      </c>
      <c r="J34" s="11" t="e">
        <f>IF(K32=0,L31,K31)</f>
        <v>#REF!</v>
      </c>
      <c r="K34" s="4"/>
      <c r="L34" s="34" t="e">
        <f>SUM(A32:L32)</f>
        <v>#REF!</v>
      </c>
    </row>
    <row r="35" spans="1:12">
      <c r="A35" s="11" t="e">
        <f>IF(C31=0,A36,C31)</f>
        <v>#REF!</v>
      </c>
      <c r="B35" s="11" t="e">
        <f>IF(C31=0,D34,D31)</f>
        <v>#REF!</v>
      </c>
      <c r="C35" s="4"/>
      <c r="D35" s="11" t="e">
        <f>IF(E32=0,D36,E31)</f>
        <v>#REF!</v>
      </c>
      <c r="E35" s="33" t="e">
        <f>IF(F32=0,E36,F31)</f>
        <v>#REF!</v>
      </c>
      <c r="F35" s="35" t="e">
        <f>IF(L48=0,H38,F36)</f>
        <v>#REF!</v>
      </c>
      <c r="G35" s="11" t="e">
        <f>IF(L48=0,H42,H41)</f>
        <v>#REF!</v>
      </c>
      <c r="H35" s="14" t="e">
        <f>IF(I32=0,H36,I31)</f>
        <v>#REF!</v>
      </c>
      <c r="I35" s="33" t="e">
        <f>IF(J32=0,K31,J31)</f>
        <v>#REF!</v>
      </c>
      <c r="J35" s="11" t="e">
        <f>IF(K32=0,0,L31)</f>
        <v>#REF!</v>
      </c>
      <c r="K35" s="4"/>
      <c r="L35" s="14" t="e">
        <f>SUM(A32:K32)</f>
        <v>#REF!</v>
      </c>
    </row>
    <row r="36" spans="1:12">
      <c r="A36" s="11" t="e">
        <f>IF(E32=0,A37,E31)</f>
        <v>#REF!</v>
      </c>
      <c r="B36" s="4"/>
      <c r="C36" s="4"/>
      <c r="D36" s="11" t="e">
        <f>IF(F32=0,D37,F31)</f>
        <v>#REF!</v>
      </c>
      <c r="E36" s="33" t="e">
        <f>IF(G32=0,H34,G31)</f>
        <v>#REF!</v>
      </c>
      <c r="F36" s="33" t="e">
        <f>IF(G32=0,H34,H31)</f>
        <v>#REF!</v>
      </c>
      <c r="G36" s="11" t="e">
        <f>IF(L48=0,0,G39)</f>
        <v>#REF!</v>
      </c>
      <c r="H36" s="14" t="e">
        <f>IF(J32=0,K31,J31)</f>
        <v>#REF!</v>
      </c>
      <c r="I36" s="11" t="e">
        <f>IF(L46=3,K31,IF(L46=2,L31,IF(L46=1,0)))</f>
        <v>#REF!</v>
      </c>
      <c r="J36" s="4"/>
      <c r="K36" s="4"/>
      <c r="L36" s="14" t="e">
        <f>SUM(A32:J32)</f>
        <v>#REF!</v>
      </c>
    </row>
    <row r="37" spans="1:12">
      <c r="A37" s="11" t="e">
        <f>IF(F32=0,A38,F31)</f>
        <v>#REF!</v>
      </c>
      <c r="B37" s="4"/>
      <c r="C37" s="4"/>
      <c r="D37" s="11" t="e">
        <f>IF(G32=0,H34,G31)</f>
        <v>#REF!</v>
      </c>
      <c r="E37" s="33" t="e">
        <f>IF(F32=0,E38,F31)</f>
        <v>#REF!</v>
      </c>
      <c r="F37" s="11" t="e">
        <f>IF(L49=0,F38,F39)</f>
        <v>#REF!</v>
      </c>
      <c r="G37" s="11" t="e">
        <f>IF(L49=0,H41,H38)</f>
        <v>#REF!</v>
      </c>
      <c r="H37" s="11" t="e">
        <f>IF(I32=0,J31,I31)</f>
        <v>#REF!</v>
      </c>
      <c r="I37" s="11" t="e">
        <f>IF(L49=0,0,I38)</f>
        <v>#REF!</v>
      </c>
      <c r="J37" s="4"/>
      <c r="K37" s="4"/>
      <c r="L37" s="14" t="e">
        <f>SUM(A32:I32)</f>
        <v>#REF!</v>
      </c>
    </row>
    <row r="38" spans="1:12">
      <c r="A38" s="11" t="e">
        <f>IF(G32=0,A39,G31)</f>
        <v>#REF!</v>
      </c>
      <c r="B38" s="4"/>
      <c r="C38" s="4"/>
      <c r="D38" s="32" t="e">
        <f>IF(F31=0,D39,D42)</f>
        <v>#REF!</v>
      </c>
      <c r="E38" s="33" t="e">
        <f>IF(G32=0,H31,G31)</f>
        <v>#REF!</v>
      </c>
      <c r="F38" s="11" t="e">
        <f>IF(G31=0,H41,H38)</f>
        <v>#REF!</v>
      </c>
      <c r="G38" s="14" t="e">
        <f>IF(L49=0,H42,G35)</f>
        <v>#REF!</v>
      </c>
      <c r="H38" s="32" t="e">
        <f>IF(L47=0,0,IF(L47=1,L31,IF(L47=2,H39,IF(L47=3,J31))))</f>
        <v>#REF!</v>
      </c>
      <c r="I38" s="11" t="e">
        <f>IF(L48=0,0,I39)</f>
        <v>#REF!</v>
      </c>
      <c r="J38" s="4"/>
      <c r="K38" s="4"/>
      <c r="L38" s="33" t="e">
        <f>SUM(A32:H32)</f>
        <v>#REF!</v>
      </c>
    </row>
    <row r="39" spans="1:12">
      <c r="A39" s="11" t="e">
        <f>IF(I32=0,A40,I31)</f>
        <v>#REF!</v>
      </c>
      <c r="B39" s="4"/>
      <c r="C39" s="4"/>
      <c r="D39" s="32" t="e">
        <f>IF(G31=0,H38,H31)</f>
        <v>#REF!</v>
      </c>
      <c r="E39" s="14" t="e">
        <f>IF(L49=2,E40,E43)</f>
        <v>#REF!</v>
      </c>
      <c r="F39" s="32" t="e">
        <f>IF(L48=0,H41,F40)</f>
        <v>#REF!</v>
      </c>
      <c r="G39" s="11" t="e">
        <f>IF(L49=0,0,H42)</f>
        <v>#REF!</v>
      </c>
      <c r="H39" s="11" t="e">
        <f>IF(I32=0,K31,H40)</f>
        <v>#REF!</v>
      </c>
      <c r="I39" s="11" t="e">
        <f>IF(L47=3,L31,I40)</f>
        <v>#REF!</v>
      </c>
      <c r="J39" s="4"/>
      <c r="K39" s="4"/>
      <c r="L39" s="11" t="e">
        <f>SUM(A32:G32)</f>
        <v>#REF!</v>
      </c>
    </row>
    <row r="40" spans="1:12">
      <c r="A40" s="11" t="e">
        <f>IF(J32=0,A41,J31)</f>
        <v>#REF!</v>
      </c>
      <c r="B40" s="4"/>
      <c r="C40" s="4"/>
      <c r="D40" s="32" t="e">
        <f>IF(F32=0,D41,F31)</f>
        <v>#REF!</v>
      </c>
      <c r="E40" s="11" t="e">
        <f>IF(F32=0,E41,E42)</f>
        <v>#REF!</v>
      </c>
      <c r="F40" s="32" t="e">
        <f>IF(G32=0,H38,H34)</f>
        <v>#REF!</v>
      </c>
      <c r="G40" s="4"/>
      <c r="H40" s="11" t="e">
        <f>IF(J32=0,K31,J31)</f>
        <v>#REF!</v>
      </c>
      <c r="I40" s="11" t="e">
        <f>IF(L47=2,L31,0)</f>
        <v>#REF!</v>
      </c>
      <c r="J40" s="4"/>
      <c r="K40" s="4"/>
      <c r="L40" s="11" t="e">
        <f>SUM(A32:F32)</f>
        <v>#REF!</v>
      </c>
    </row>
    <row r="41" spans="1:12">
      <c r="A41" s="11" t="e">
        <f>IF(K32=0,0,K31)</f>
        <v>#REF!</v>
      </c>
      <c r="B41" s="4"/>
      <c r="C41" s="4"/>
      <c r="D41" s="32" t="e">
        <f>IF(G32=0,H31,G31)</f>
        <v>#REF!</v>
      </c>
      <c r="E41" s="11" t="e">
        <f>IF(G32=0,H38,H31)</f>
        <v>#REF!</v>
      </c>
      <c r="F41" s="14" t="e">
        <f>IF(L49=0,F43,F42)</f>
        <v>#REF!</v>
      </c>
      <c r="G41" s="4"/>
      <c r="H41" s="32" t="e">
        <f>IF(L47=3,K31,IF(L47=2,L31,0))</f>
        <v>#REF!</v>
      </c>
      <c r="I41" s="4"/>
      <c r="J41" s="4"/>
      <c r="K41" s="4"/>
      <c r="L41" s="33" t="e">
        <f>SUM(A32:E32)</f>
        <v>#REF!</v>
      </c>
    </row>
    <row r="42" spans="1:12">
      <c r="A42" s="4"/>
      <c r="B42" s="4"/>
      <c r="C42" s="4"/>
      <c r="D42" s="32" t="e">
        <f>IF(G32=0,H31,G31)</f>
        <v>#REF!</v>
      </c>
      <c r="E42" s="11" t="e">
        <f>IF(G32=0,H31,G31)</f>
        <v>#REF!</v>
      </c>
      <c r="F42" s="14" t="e">
        <f>IF(G32=0,H41,H38)</f>
        <v>#REF!</v>
      </c>
      <c r="G42" s="4"/>
      <c r="H42" s="33" t="e">
        <f>IF(L47=3,L31,0)</f>
        <v>#REF!</v>
      </c>
      <c r="I42" s="4"/>
      <c r="J42" s="4"/>
      <c r="K42" s="4"/>
      <c r="L42" s="10" t="e">
        <f>SUM(A32:D32)</f>
        <v>#REF!</v>
      </c>
    </row>
    <row r="43" spans="1:12">
      <c r="A43" s="4"/>
      <c r="B43" s="4"/>
      <c r="C43" s="4"/>
      <c r="D43" s="11" t="e">
        <f>IF(L48=3,H31,IF(L48=2,H34,IF(L48=1,H38,IF(L48=0,H42))))</f>
        <v>#REF!</v>
      </c>
      <c r="E43" s="14" t="e">
        <f>IF(F32=0,E44,E45)</f>
        <v>#REF!</v>
      </c>
      <c r="F43" s="14" t="e">
        <f>IF(G31=0,H42,H41)</f>
        <v>#REF!</v>
      </c>
      <c r="G43" s="4"/>
      <c r="H43" s="14" t="e">
        <f>IF(L49=0,H42,H41)</f>
        <v>#REF!</v>
      </c>
      <c r="I43" s="4"/>
      <c r="J43" s="4"/>
      <c r="K43" s="4"/>
      <c r="L43" s="10" t="e">
        <f>SUM(A32:C32)</f>
        <v>#REF!</v>
      </c>
    </row>
    <row r="44" spans="1:12">
      <c r="A44" s="4"/>
      <c r="B44" s="4"/>
      <c r="C44" s="4"/>
      <c r="D44" s="4"/>
      <c r="E44" s="14" t="e">
        <f>IF(G32=0,H34,H31)</f>
        <v>#REF!</v>
      </c>
      <c r="F44" s="14" t="e">
        <f>IF(G31=0,0,H42)</f>
        <v>#REF!</v>
      </c>
      <c r="G44" s="4"/>
      <c r="H44" s="11" t="e">
        <f>IF(L49=0,0,H42)</f>
        <v>#REF!</v>
      </c>
      <c r="I44" s="4"/>
      <c r="J44" s="4"/>
      <c r="K44" s="4"/>
      <c r="L44" s="10" t="e">
        <f>SUM(A32:B32)</f>
        <v>#REF!</v>
      </c>
    </row>
    <row r="45" spans="1:12">
      <c r="A45" s="4"/>
      <c r="B45" s="4"/>
      <c r="C45" s="4"/>
      <c r="D45" s="4"/>
      <c r="E45" s="14" t="e">
        <f>IF(G32=0,H31,G31)</f>
        <v>#REF!</v>
      </c>
      <c r="F45" s="4"/>
      <c r="G45" s="4"/>
      <c r="H45" s="4"/>
      <c r="I45" s="4"/>
      <c r="J45" s="4"/>
      <c r="K45" s="4"/>
      <c r="L45" s="10" t="e">
        <f>SUM(A32)</f>
        <v>#REF!</v>
      </c>
    </row>
    <row r="46" spans="1:12">
      <c r="A46" s="4"/>
      <c r="B46" s="4"/>
      <c r="C46" s="4"/>
      <c r="D46" s="4"/>
      <c r="E46" s="33" t="e">
        <f>IF(F32=0,E47,E48)</f>
        <v>#REF!</v>
      </c>
      <c r="F46" s="4"/>
      <c r="G46" s="4"/>
      <c r="H46" s="4"/>
      <c r="I46" s="4"/>
      <c r="J46" s="4"/>
      <c r="K46" s="4"/>
      <c r="L46" s="11" t="e">
        <f>SUM(J32:L32)</f>
        <v>#REF!</v>
      </c>
    </row>
    <row r="47" spans="1:12">
      <c r="A47" s="4"/>
      <c r="B47" s="4"/>
      <c r="C47" s="4"/>
      <c r="D47" s="4"/>
      <c r="E47" s="33" t="e">
        <f>IF(G32=0,H41,H34)</f>
        <v>#REF!</v>
      </c>
      <c r="F47" s="4"/>
      <c r="G47" s="4"/>
      <c r="H47" s="4"/>
      <c r="I47" s="4"/>
      <c r="J47" s="4"/>
      <c r="K47" s="4"/>
      <c r="L47" s="33" t="e">
        <f>SUM(I32:K32)</f>
        <v>#REF!</v>
      </c>
    </row>
    <row r="48" spans="1:12">
      <c r="A48" s="4"/>
      <c r="B48" s="4"/>
      <c r="C48" s="4"/>
      <c r="D48" s="4"/>
      <c r="E48" s="33" t="e">
        <f>IF(G31=0,H34,H31)</f>
        <v>#REF!</v>
      </c>
      <c r="F48" s="4"/>
      <c r="G48" s="4"/>
      <c r="H48" s="4"/>
      <c r="I48" s="4"/>
      <c r="J48" s="4"/>
      <c r="K48" s="4"/>
      <c r="L48" s="10" t="e">
        <f>SUM(E32:G32)</f>
        <v>#REF!</v>
      </c>
    </row>
    <row r="49" spans="1:12">
      <c r="A49" s="4"/>
      <c r="B49" s="4"/>
      <c r="C49" s="4"/>
      <c r="D49" s="4"/>
      <c r="E49" s="32" t="e">
        <f>IF(F31=0,E50,E51)</f>
        <v>#REF!</v>
      </c>
      <c r="F49" s="4"/>
      <c r="G49" s="4"/>
      <c r="H49" s="4"/>
      <c r="I49" s="4"/>
      <c r="J49" s="4"/>
      <c r="K49" s="4"/>
      <c r="L49" s="33" t="e">
        <f>SUM(A32:C32)</f>
        <v>#REF!</v>
      </c>
    </row>
    <row r="50" spans="1:12">
      <c r="A50" s="4"/>
      <c r="B50" s="4"/>
      <c r="C50" s="4"/>
      <c r="D50" s="4"/>
      <c r="E50" s="32" t="e">
        <f>IF(G31=0,0,H41)</f>
        <v>#REF!</v>
      </c>
      <c r="F50" s="4"/>
      <c r="G50" s="4"/>
      <c r="H50" s="4"/>
      <c r="I50" s="4"/>
      <c r="J50" s="4"/>
      <c r="K50" s="4"/>
      <c r="L50" s="4"/>
    </row>
    <row r="51" spans="1:12">
      <c r="A51" s="4"/>
      <c r="B51" s="4"/>
      <c r="C51" s="4"/>
      <c r="D51" s="4"/>
      <c r="E51" s="32" t="e">
        <f>IF(G32=0,H41,H38)</f>
        <v>#REF!</v>
      </c>
      <c r="F51" s="4"/>
      <c r="G51" s="4"/>
      <c r="H51" s="4"/>
      <c r="I51" s="4"/>
      <c r="J51" s="4"/>
      <c r="K51" s="4"/>
      <c r="L51" s="4"/>
    </row>
    <row r="52" spans="1:12">
      <c r="A52" s="4"/>
      <c r="B52" s="4"/>
      <c r="C52" s="4"/>
      <c r="D52" s="4"/>
      <c r="E52" s="33" t="e">
        <f>IF(L49=0,E53,E46)</f>
        <v>#REF!</v>
      </c>
      <c r="F52" s="4"/>
      <c r="G52" s="4"/>
      <c r="H52" s="4"/>
      <c r="I52" s="4"/>
      <c r="J52" s="4"/>
      <c r="K52" s="4"/>
      <c r="L52" s="4"/>
    </row>
    <row r="53" spans="1:12">
      <c r="A53" s="4"/>
      <c r="B53" s="4"/>
      <c r="C53" s="4"/>
      <c r="D53" s="4"/>
      <c r="E53" s="33" t="e">
        <f>IF(L48=3,H34,IF(L48=2,H38,IF(L48=1,H41,0)))</f>
        <v>#REF!</v>
      </c>
      <c r="F53" s="4"/>
      <c r="G53" s="4"/>
      <c r="H53" s="4"/>
      <c r="I53" s="4"/>
      <c r="J53" s="4"/>
      <c r="K53" s="4"/>
      <c r="L53" s="4"/>
    </row>
    <row r="54" spans="1:12">
      <c r="A54" s="8" t="e">
        <f t="shared" ref="A54:L54" si="2">LEN(A33)</f>
        <v>#REF!</v>
      </c>
      <c r="B54" s="8" t="e">
        <f t="shared" si="2"/>
        <v>#REF!</v>
      </c>
      <c r="C54" s="8" t="e">
        <f t="shared" si="2"/>
        <v>#REF!</v>
      </c>
      <c r="D54" s="8" t="e">
        <f t="shared" si="2"/>
        <v>#REF!</v>
      </c>
      <c r="E54" s="8" t="e">
        <f t="shared" si="2"/>
        <v>#REF!</v>
      </c>
      <c r="F54" s="8" t="e">
        <f t="shared" si="2"/>
        <v>#REF!</v>
      </c>
      <c r="G54" s="8" t="e">
        <f t="shared" si="2"/>
        <v>#REF!</v>
      </c>
      <c r="H54" s="8" t="e">
        <f t="shared" si="2"/>
        <v>#REF!</v>
      </c>
      <c r="I54" s="8" t="e">
        <f t="shared" si="2"/>
        <v>#REF!</v>
      </c>
      <c r="J54" s="8" t="e">
        <f t="shared" si="2"/>
        <v>#REF!</v>
      </c>
      <c r="K54" s="8" t="e">
        <f t="shared" si="2"/>
        <v>#REF!</v>
      </c>
      <c r="L54" s="8" t="e">
        <f t="shared" si="2"/>
        <v>#REF!</v>
      </c>
    </row>
    <row r="55" spans="1:12">
      <c r="A55" s="11"/>
      <c r="B55" s="11"/>
      <c r="C55" s="11"/>
      <c r="D55" s="11"/>
      <c r="E55" s="11" t="e">
        <f>SUM(A54:E54)</f>
        <v>#REF!</v>
      </c>
      <c r="F55" s="11" t="e">
        <f>SUM(A54:F54)</f>
        <v>#REF!</v>
      </c>
      <c r="G55" s="11" t="e">
        <f>SUM(A54:G54)</f>
        <v>#REF!</v>
      </c>
      <c r="H55" s="11" t="e">
        <f>SUM(A54:H54)</f>
        <v>#REF!</v>
      </c>
      <c r="I55" s="11" t="e">
        <f>SUM(A54:I54)</f>
        <v>#REF!</v>
      </c>
      <c r="J55" s="11" t="e">
        <f>SUM(A54:J54)</f>
        <v>#REF!</v>
      </c>
      <c r="K55" s="11" t="e">
        <f>SUM(A54:K54)</f>
        <v>#REF!</v>
      </c>
      <c r="L55" s="11" t="e">
        <f>SUM(A54:L54)</f>
        <v>#REF!</v>
      </c>
    </row>
    <row r="56" spans="1:12">
      <c r="A56" s="10" t="e">
        <f>IF(A33=0,"    ",A33)</f>
        <v>#REF!</v>
      </c>
      <c r="B56" s="10" t="e">
        <f>IF(B33=0,"    ",B33)</f>
        <v>#REF!</v>
      </c>
      <c r="C56" s="10" t="e">
        <f t="shared" ref="C56:K56" si="3">IF(C33=0," ",C33)</f>
        <v>#REF!</v>
      </c>
      <c r="D56" s="10" t="e">
        <f t="shared" si="3"/>
        <v>#REF!</v>
      </c>
      <c r="E56" s="10" t="e">
        <f t="shared" si="3"/>
        <v>#REF!</v>
      </c>
      <c r="F56" s="10" t="e">
        <f t="shared" si="3"/>
        <v>#REF!</v>
      </c>
      <c r="G56" s="10" t="e">
        <f t="shared" si="3"/>
        <v>#REF!</v>
      </c>
      <c r="H56" s="10" t="e">
        <f t="shared" si="3"/>
        <v>#REF!</v>
      </c>
      <c r="I56" s="10" t="e">
        <f t="shared" si="3"/>
        <v>#REF!</v>
      </c>
      <c r="J56" s="10" t="e">
        <f t="shared" si="3"/>
        <v>#REF!</v>
      </c>
      <c r="K56" s="10" t="e">
        <f t="shared" si="3"/>
        <v>#REF!</v>
      </c>
      <c r="L56" s="10" t="str">
        <f>IF(B61=0,"    ",B61)</f>
        <v>qəp.</v>
      </c>
    </row>
    <row r="57" spans="1:12">
      <c r="A57" s="10" t="e">
        <f>CONCATENATE(D57,A56,B56,C56,D56,E56,F56,G56,H56,I56,J56,L56,K56)</f>
        <v>#REF!</v>
      </c>
      <c r="B57" s="10"/>
      <c r="C57" s="10"/>
      <c r="D57" s="10" t="s">
        <v>82</v>
      </c>
      <c r="E57" s="10"/>
      <c r="F57" s="10"/>
      <c r="G57" s="10"/>
      <c r="H57" s="10"/>
      <c r="I57" s="10"/>
      <c r="J57" s="10"/>
      <c r="K57" s="10"/>
      <c r="L57" s="10"/>
    </row>
    <row r="58" spans="1:12">
      <c r="A58" s="36"/>
      <c r="B58" s="37">
        <f>ROUND(A58,0)</f>
        <v>0</v>
      </c>
    </row>
    <row r="59" spans="1:12">
      <c r="A59" s="6" t="s">
        <v>83</v>
      </c>
      <c r="B59" s="38" t="e">
        <f>M13/6</f>
        <v>#REF!</v>
      </c>
      <c r="C59" s="6" t="s">
        <v>84</v>
      </c>
      <c r="D59" s="39"/>
    </row>
    <row r="60" spans="1:12">
      <c r="A60" s="13" t="e">
        <f>CONCATENATE(A59,B59,C59)</f>
        <v>#REF!</v>
      </c>
      <c r="D60" s="39"/>
    </row>
    <row r="61" spans="1:12">
      <c r="A61" s="6" t="e">
        <f>(M5-M8)*100</f>
        <v>#REF!</v>
      </c>
      <c r="B61" s="6" t="s">
        <v>85</v>
      </c>
      <c r="D61" s="39"/>
    </row>
    <row r="62" spans="1:12">
      <c r="A62" s="19">
        <f>M11</f>
        <v>0</v>
      </c>
      <c r="B62" s="12">
        <f>M12/6</f>
        <v>0</v>
      </c>
      <c r="D62" s="39"/>
    </row>
    <row r="63" spans="1:12">
      <c r="A63" s="40" t="str">
        <f>CONCATENATE(B62,C59)</f>
        <v>0ман.</v>
      </c>
    </row>
    <row r="64" spans="1:12">
      <c r="A64" s="6" t="e">
        <f>CONCATENATE(A56,B56,C56,D56,E56,F56,G56,H56,I56,J56,K56)</f>
        <v>#REF!</v>
      </c>
      <c r="L64" s="6" t="e">
        <f>IF(L33=0,"    ",L33)</f>
        <v>#REF!</v>
      </c>
    </row>
  </sheetData>
  <sheetProtection sheet="1" objects="1" scenarios="1"/>
  <phoneticPr fontId="5" type="noConversion"/>
  <pageMargins left="0.75" right="0.75" top="1" bottom="1" header="0.5" footer="0.5"/>
  <pageSetup paperSize="9" orientation="portrait" r:id="rId1"/>
  <headerFooter alignWithMargin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codeName="Sheet15"/>
  <dimension ref="A1:P64"/>
  <sheetViews>
    <sheetView topLeftCell="A43" workbookViewId="0"/>
  </sheetViews>
  <sheetFormatPr defaultRowHeight="12.75"/>
  <cols>
    <col min="1" max="1" width="35" style="6" customWidth="1"/>
    <col min="2" max="2" width="11.140625" style="6" customWidth="1"/>
    <col min="3" max="3" width="13.28515625" style="6" customWidth="1"/>
    <col min="4" max="4" width="13.5703125" style="6" customWidth="1"/>
    <col min="5" max="5" width="12.42578125" style="6" customWidth="1"/>
    <col min="6" max="6" width="12.7109375" style="6" customWidth="1"/>
    <col min="7" max="7" width="10.28515625" style="6" customWidth="1"/>
    <col min="8" max="8" width="13.28515625" style="6" customWidth="1"/>
    <col min="9" max="9" width="10.5703125" style="6" customWidth="1"/>
    <col min="10" max="11" width="7.5703125" style="6" customWidth="1"/>
    <col min="12" max="12" width="6.7109375" style="6" customWidth="1"/>
    <col min="13" max="13" width="18.140625" style="6" customWidth="1"/>
    <col min="14" max="14" width="8.42578125" style="6" customWidth="1"/>
    <col min="15" max="15" width="9.140625" style="6"/>
    <col min="16" max="16" width="8.42578125" style="6" customWidth="1"/>
    <col min="17" max="16384" width="9.140625" style="6"/>
  </cols>
  <sheetData>
    <row r="1" spans="1:16" ht="13.5" thickBot="1">
      <c r="A1" s="2" t="e">
        <f>M8</f>
        <v>#REF!</v>
      </c>
      <c r="B1" s="3"/>
      <c r="C1" s="3"/>
      <c r="D1" s="3"/>
      <c r="E1" s="3"/>
      <c r="F1" s="3"/>
      <c r="G1" s="3"/>
      <c r="H1" s="3"/>
      <c r="I1" s="3"/>
      <c r="J1" s="4"/>
      <c r="K1" s="5"/>
      <c r="L1" s="4"/>
    </row>
    <row r="2" spans="1:16">
      <c r="A2" s="7" t="e">
        <f>(MOD(A1,1000000000)-MOD(A1,100000000))/100000000</f>
        <v>#REF!</v>
      </c>
      <c r="B2" s="7" t="e">
        <f>(MOD(A1,100000000)-MOD(A1,10000000))/10000000</f>
        <v>#REF!</v>
      </c>
      <c r="C2" s="7" t="e">
        <f>(MOD(A1,10000000)-MOD(A1,1000000))/1000000</f>
        <v>#REF!</v>
      </c>
      <c r="D2" s="7" t="e">
        <f>(MOD(A1,1000000)-MOD(A1,100000))/100000</f>
        <v>#REF!</v>
      </c>
      <c r="E2" s="7" t="e">
        <f>(MOD(A1,100000)-MOD(A1,10000))/10000</f>
        <v>#REF!</v>
      </c>
      <c r="F2" s="7" t="e">
        <f>(MOD(A1,10000)-MOD(A1,1000))/1000</f>
        <v>#REF!</v>
      </c>
      <c r="G2" s="7" t="e">
        <f>(MOD(A1,1000)-MOD(A1,100))/100</f>
        <v>#REF!</v>
      </c>
      <c r="H2" s="7" t="e">
        <f>(MOD(A1,100)-MOD(A1,10))/10</f>
        <v>#REF!</v>
      </c>
      <c r="I2" s="7" t="e">
        <f>MOD(A1,10)</f>
        <v>#REF!</v>
      </c>
      <c r="J2" s="4"/>
      <c r="K2" s="5"/>
      <c r="L2" s="4"/>
      <c r="M2" s="6" t="e">
        <f>IF(H2=1," ",IF(I2=1," ",IF(N2=TRUE," "," ")))</f>
        <v>#REF!</v>
      </c>
      <c r="N2" s="6" t="e">
        <f>OR(I2=2,I2=3,I2=4)</f>
        <v>#REF!</v>
      </c>
      <c r="P2" s="6" t="b">
        <f>OR(K2=2,K2=3,K2=4)</f>
        <v>0</v>
      </c>
    </row>
    <row r="3" spans="1:16">
      <c r="A3" s="8" t="e">
        <f>IF(A2=0,0,A5)</f>
        <v>#REF!</v>
      </c>
      <c r="B3" s="8" t="e">
        <f t="shared" ref="B3:I3" si="0">IF(B2=0,0,B4)</f>
        <v>#REF!</v>
      </c>
      <c r="C3" s="9" t="e">
        <f t="shared" si="0"/>
        <v>#REF!</v>
      </c>
      <c r="D3" s="8" t="e">
        <f t="shared" si="0"/>
        <v>#REF!</v>
      </c>
      <c r="E3" s="8" t="e">
        <f t="shared" si="0"/>
        <v>#REF!</v>
      </c>
      <c r="F3" s="9" t="e">
        <f t="shared" si="0"/>
        <v>#REF!</v>
      </c>
      <c r="G3" s="8" t="e">
        <f t="shared" si="0"/>
        <v>#REF!</v>
      </c>
      <c r="H3" s="8" t="e">
        <f t="shared" si="0"/>
        <v>#REF!</v>
      </c>
      <c r="I3" s="9" t="e">
        <f t="shared" si="0"/>
        <v>#REF!</v>
      </c>
      <c r="J3" s="4"/>
      <c r="K3" s="5"/>
      <c r="L3" s="4"/>
      <c r="M3" s="6" t="e">
        <f>IF(E2=1," min",IF(F2=1," min",IF(N3=TRUE," min"," min")))</f>
        <v>#REF!</v>
      </c>
      <c r="N3" s="6" t="e">
        <f>OR(F2=2,F2=3,F2=4)</f>
        <v>#REF!</v>
      </c>
      <c r="P3" s="6" t="e">
        <f>OR(H2=2,H2=3,H2=4)</f>
        <v>#REF!</v>
      </c>
    </row>
    <row r="4" spans="1:16">
      <c r="A4" s="10"/>
      <c r="B4" s="10" t="e">
        <f>IF(A1&gt;99999999,B5,B6)</f>
        <v>#REF!</v>
      </c>
      <c r="C4" s="10" t="e">
        <f>IF(B2=1,0,C5)</f>
        <v>#REF!</v>
      </c>
      <c r="D4" s="10" t="e">
        <f>IF(A1&gt;999999,D5,D7)</f>
        <v>#REF!</v>
      </c>
      <c r="E4" s="10" t="e">
        <f>IF(A1&gt;99999,E5,E6)</f>
        <v>#REF!</v>
      </c>
      <c r="F4" s="10" t="e">
        <f>IF(E2=1,0,F5)</f>
        <v>#REF!</v>
      </c>
      <c r="G4" s="10" t="e">
        <f>IF(A1&gt;999,G5,G7)</f>
        <v>#REF!</v>
      </c>
      <c r="H4" s="10" t="e">
        <f>IF(A1&gt;99,H5,H6)</f>
        <v>#REF!</v>
      </c>
      <c r="I4" s="10" t="e">
        <f>IF(H2=1,0,I5)</f>
        <v>#REF!</v>
      </c>
      <c r="J4" s="4"/>
      <c r="K4" s="5"/>
      <c r="L4" s="4"/>
      <c r="M4" s="6" t="e">
        <f>IF(B2=1," milyon",IF(C2=1," milyon",IF(N4=TRUE," milyon"," milyon")))</f>
        <v>#REF!</v>
      </c>
      <c r="N4" s="6" t="e">
        <f>OR(C2=2,C2=3,C2=4)</f>
        <v>#REF!</v>
      </c>
      <c r="P4" s="6" t="e">
        <f>OR(E2=2,E2=3,E2=4)</f>
        <v>#REF!</v>
      </c>
    </row>
    <row r="5" spans="1:16">
      <c r="A5" s="11" t="e">
        <f>IF(A2=1,H20,IF(A2=2,H21,IF(A2=3,H22,IF(A2=4,H23,IF(A2=5,H24,IF(A2=6,H25,IF(A2=7,H26,IF(A2&gt;7,A6))))))))</f>
        <v>#REF!</v>
      </c>
      <c r="B5" s="10" t="e">
        <f>IF(B2=1,B7,B11)</f>
        <v>#REF!</v>
      </c>
      <c r="C5" s="10" t="e">
        <f>IF(A1&gt;9999999,C6,C7)</f>
        <v>#REF!</v>
      </c>
      <c r="D5" s="11" t="e">
        <f>IF(D2=1,I20,IF(D2=2,I21,IF(D2=3,I22,IF(D2=4,I23,IF(D2=5,I24,IF(D2=6,I25,IF(D2=7,I26,IF(D2&gt;7,D6))))))))</f>
        <v>#REF!</v>
      </c>
      <c r="E5" s="10" t="e">
        <f>IF(E2=1,E7,E11)</f>
        <v>#REF!</v>
      </c>
      <c r="F5" s="10" t="e">
        <f>IF(A1&gt;9999,F6,F7)</f>
        <v>#REF!</v>
      </c>
      <c r="G5" s="11" t="e">
        <f>IF(G2=1,I20,IF(G2=2,I21,IF(G2=3,I22,IF(G2=4,I23,IF(G2=5,I24,IF(G2=6,I25,IF(G2=7,I26,IF(G2&gt;7,G6))))))))</f>
        <v>#REF!</v>
      </c>
      <c r="H5" s="10" t="e">
        <f>IF(H2=1,H7,H11)</f>
        <v>#REF!</v>
      </c>
      <c r="I5" s="10" t="e">
        <f>IF(A1&gt;9,I6,I7)</f>
        <v>#REF!</v>
      </c>
      <c r="J5" s="4"/>
      <c r="K5" s="5"/>
      <c r="L5" s="4"/>
      <c r="M5" s="12" t="e">
        <f>#REF!</f>
        <v>#REF!</v>
      </c>
    </row>
    <row r="6" spans="1:16">
      <c r="A6" s="11" t="e">
        <f>IF(A2=8,H27,IF(A2=9,H28))</f>
        <v>#REF!</v>
      </c>
      <c r="B6" s="10" t="e">
        <f>IF(B2=1,B9,B12)</f>
        <v>#REF!</v>
      </c>
      <c r="C6" s="10" t="e">
        <f>IF(C2=1,B20,IF(C2=2,B21,IF(C2=3,B22,IF(C2=4,B23,IF(C2=5,B24,IF(C2=6,B25,IF(C2=7,B26,IF(C2&gt;7,C8))))))))</f>
        <v>#REF!</v>
      </c>
      <c r="D6" s="11" t="e">
        <f>IF(D2=8,I27,IF(D2=9,I28))</f>
        <v>#REF!</v>
      </c>
      <c r="E6" s="10" t="e">
        <f>IF(E2=1,E9,E12)</f>
        <v>#REF!</v>
      </c>
      <c r="F6" s="10" t="e">
        <f>IF(F2=1,G22,IF(F2=2,G23,IF(F2=3,B22,IF(F2=4,B23,IF(F2=5,B24,IF(F2=6,B25,IF(F2=7,B26,IF(F2&gt;7,F8))))))))</f>
        <v>#REF!</v>
      </c>
      <c r="G6" s="11" t="e">
        <f>IF(G2=8,I27,IF(G2=9,I28))</f>
        <v>#REF!</v>
      </c>
      <c r="H6" s="10" t="e">
        <f>IF(H2=1,H9,H12)</f>
        <v>#REF!</v>
      </c>
      <c r="I6" s="10" t="e">
        <f>IF(I2=1,B20,IF(I2=2,B21,IF(I2=3,B22,IF(I2=4,B23,IF(I2=5,B24,IF(I2=6,B25,IF(I2=7,B26,IF(I2&gt;7,I8))))))))</f>
        <v>#REF!</v>
      </c>
      <c r="J6" s="4"/>
      <c r="K6" s="5"/>
      <c r="L6" s="4"/>
      <c r="M6" s="13" t="e">
        <f>CONCATENATE(M8,M9,M11)</f>
        <v>#REF!</v>
      </c>
    </row>
    <row r="7" spans="1:16">
      <c r="A7" s="4"/>
      <c r="B7" s="11" t="e">
        <f>IF(C2=0,F20,IF(C2=1,D20,IF(C2=2,D21,IF(C2=3,D22,IF(C2=4,D23,IF(C2=5,D24,IF(C2=6,D25,IF(C2&gt;6,B8))))))))</f>
        <v>#REF!</v>
      </c>
      <c r="C7" s="10" t="e">
        <f>IF(C2=1,A20,IF(C2=2,A21,IF(C2=3,A22,IF(C2=4,A23,IF(C2=5,A24,IF(C2=6,A25,IF(C2=7,A26,IF(C2&gt;7,C9))))))))</f>
        <v>#REF!</v>
      </c>
      <c r="D7" s="14" t="e">
        <f>IF(D2=1,H20,IF(D2=2,H21,IF(D2=3,H22,IF(D2=4,H23,IF(D2=5,H24,IF(D2=6,H25,IF(D2=7,H26,IF(D2&gt;7,D8))))))))</f>
        <v>#REF!</v>
      </c>
      <c r="E7" s="11" t="e">
        <f>IF(F2=0,F20,IF(F2=1,D20,IF(F2=2,D21,IF(F2=3,D22,IF(F2=4,D23,IF(F2=5,D24,IF(F2=6,D25,IF(F2&gt;6,E8))))))))</f>
        <v>#REF!</v>
      </c>
      <c r="F7" s="10" t="e">
        <f>IF(F2=1,G20,IF(F2=2,G21,IF(F2=3,A22,IF(F2=4,A23,IF(F2=5,A24,IF(F2=6,A25,IF(F2=7,A26,IF(F2&gt;7,F9))))))))</f>
        <v>#REF!</v>
      </c>
      <c r="G7" s="14" t="e">
        <f>IF(G2=1,H20,IF(G2=2,H21,IF(G2=3,H22,IF(G2=4,H23,IF(G2=5,H24,IF(G2=6,H25,IF(G2=7,H26,IF(G2&gt;7,G8))))))))</f>
        <v>#REF!</v>
      </c>
      <c r="H7" s="11" t="e">
        <f>IF(I2=0,F20,IF(I2=1,D20,IF(I2=2,D21,IF(I2=3,D22,IF(I2=4,D23,IF(I2=5,D24,IF(I2=6,D25,IF(I2&gt;6,H8))))))))</f>
        <v>#REF!</v>
      </c>
      <c r="I7" s="10" t="e">
        <f>IF(I2=1,A20,IF(I2=2,A21,IF(I2=3,A22,IF(I2=4,A23,IF(I2=5,A24,IF(I2=6,A25,IF(I2=7,A26,IF(I2&gt;7,I9))))))))</f>
        <v>#REF!</v>
      </c>
      <c r="J7" s="4"/>
      <c r="K7" s="5"/>
      <c r="L7" s="4"/>
      <c r="M7" s="15"/>
    </row>
    <row r="8" spans="1:16">
      <c r="A8" s="4"/>
      <c r="B8" s="11" t="e">
        <f>IF(C2=7,D26,IF(C2=8,D27,IF(C2=9,D28)))</f>
        <v>#REF!</v>
      </c>
      <c r="C8" s="10" t="e">
        <f>IF(C2=8,B27,IF(C2=9,B28))</f>
        <v>#REF!</v>
      </c>
      <c r="D8" s="14" t="e">
        <f>IF(D2=8,H27,IF(D2=9,H28))</f>
        <v>#REF!</v>
      </c>
      <c r="E8" s="11" t="e">
        <f>IF(F2=7,D26,IF(F2=8,D27,IF(F2=9,D28)))</f>
        <v>#REF!</v>
      </c>
      <c r="F8" s="10" t="e">
        <f>IF(F2=8,B27,IF(F2=9,B28))</f>
        <v>#REF!</v>
      </c>
      <c r="G8" s="14" t="e">
        <f>IF(G2=8,H27,IF(G2=9,H28))</f>
        <v>#REF!</v>
      </c>
      <c r="H8" s="11" t="e">
        <f>IF(I2=7,D26,IF(I2=8,D27,IF(I2=9,D28)))</f>
        <v>#REF!</v>
      </c>
      <c r="I8" s="10" t="e">
        <f>IF(I2=8,B27,IF(I2=9,B28))</f>
        <v>#REF!</v>
      </c>
      <c r="J8" s="4"/>
      <c r="K8" s="5"/>
      <c r="L8" s="4"/>
      <c r="M8" s="16" t="e">
        <f>TRUNC(M5,0)</f>
        <v>#REF!</v>
      </c>
    </row>
    <row r="9" spans="1:16">
      <c r="A9" s="4"/>
      <c r="B9" s="14" t="e">
        <f>IF(C2=0,E20,IF(C2=1,C20,IF(C2=2,C21,IF(C2=3,C22,IF(C2=4,C23,IF(C2=5,C24,IF(C2=6,C25,IF(C2&gt;6,B10))))))))</f>
        <v>#REF!</v>
      </c>
      <c r="C9" s="10" t="e">
        <f>IF(C2=8,A27,IF(C2=9,A28))</f>
        <v>#REF!</v>
      </c>
      <c r="D9" s="4"/>
      <c r="E9" s="14" t="e">
        <f>IF(F2=0,E20,IF(F2=1,C20,IF(F2=2,C21,IF(F2=3,C22,IF(F2=4,C23,IF(F2=5,C24,IF(F2=6,C25,IF(F2&gt;6,E10))))))))</f>
        <v>#REF!</v>
      </c>
      <c r="F9" s="10" t="e">
        <f>IF(F2=8,A27,IF(F2=9,A28))</f>
        <v>#REF!</v>
      </c>
      <c r="G9" s="4"/>
      <c r="H9" s="14" t="e">
        <f>IF(I2=0,E20,IF(I2=1,C20,IF(I2=2,C21,IF(I2=3,C22,IF(I2=4,C23,IF(I2=5,C24,IF(I2=6,C25,IF(I2&gt;6,H10))))))))</f>
        <v>#REF!</v>
      </c>
      <c r="I9" s="10" t="e">
        <f>IF(I2=8,A27,IF(I2=9,A28))</f>
        <v>#REF!</v>
      </c>
      <c r="J9" s="4"/>
      <c r="K9" s="5"/>
      <c r="L9" s="4"/>
      <c r="M9" s="17" t="s">
        <v>9</v>
      </c>
    </row>
    <row r="10" spans="1:16">
      <c r="A10" s="4"/>
      <c r="B10" s="14" t="e">
        <f>IF(C2=7,C26,IF(C2=8,C27,IF(C2=9,C28)))</f>
        <v>#REF!</v>
      </c>
      <c r="C10" s="4"/>
      <c r="D10" s="4"/>
      <c r="E10" s="14" t="e">
        <f>IF(F2=7,C26,IF(F2=8,C27,IF(F2=9,C28)))</f>
        <v>#REF!</v>
      </c>
      <c r="F10" s="4"/>
      <c r="G10" s="4"/>
      <c r="H10" s="14" t="e">
        <f>IF(I2=7,C26,IF(I2=8,C27,IF(I2=9,C28)))</f>
        <v>#REF!</v>
      </c>
      <c r="I10" s="4"/>
      <c r="J10" s="4"/>
      <c r="K10" s="5"/>
      <c r="L10" s="4"/>
      <c r="M10" s="18" t="e">
        <f>(M5-M8)*100</f>
        <v>#REF!</v>
      </c>
    </row>
    <row r="11" spans="1:16">
      <c r="A11" s="4"/>
      <c r="B11" s="11" t="e">
        <f>IF(B2=2,F21,IF(B2=3,F22,IF(B2=4,F23,IF(B2=5,F24,IF(B2=6,F25,IF(B2=7,F26,IF(B2=8,F27,IF(B2=9,F28))))))))</f>
        <v>#REF!</v>
      </c>
      <c r="C11" s="4"/>
      <c r="D11" s="4"/>
      <c r="E11" s="11" t="e">
        <f>IF(E2=2,F21,IF(E2=3,F22,IF(E2=4,F23,IF(E2=5,F24,IF(E2=6,F25,IF(E2=7,F26,IF(E2=8,F27,IF(E2=9,F28))))))))</f>
        <v>#REF!</v>
      </c>
      <c r="F11" s="4"/>
      <c r="G11" s="4"/>
      <c r="H11" s="11" t="e">
        <f>IF(H2=2,F21,IF(H2=3,F22,IF(H2=4,F23,IF(H2=5,F24,IF(H2=6,F25,IF(H2=7,F26,IF(H2=8,F27,IF(H2=9,F28))))))))</f>
        <v>#REF!</v>
      </c>
      <c r="I11" s="4"/>
      <c r="J11" s="4"/>
      <c r="K11" s="5"/>
      <c r="L11" s="4"/>
      <c r="M11" s="19"/>
    </row>
    <row r="12" spans="1:16">
      <c r="A12" s="4"/>
      <c r="B12" s="14" t="e">
        <f>IF(B2=2,E21,IF(B2=3,E22,IF(B2=4,E23,IF(B2=5,E24,IF(B2=6,E25,IF(B2=7,E26,IF(B2=8,E27,IF(B2=9,E28))))))))</f>
        <v>#REF!</v>
      </c>
      <c r="C12" s="4"/>
      <c r="D12" s="4"/>
      <c r="E12" s="14" t="e">
        <f>IF(E2=2,E21,IF(E2=3,E22,IF(E2=4,E23,IF(E2=5,E24,IF(E2=6,E25,IF(E2=7,E26,IF(E2=8,E27,IF(E2=9,E28))))))))</f>
        <v>#REF!</v>
      </c>
      <c r="F12" s="4"/>
      <c r="G12" s="4"/>
      <c r="H12" s="14" t="e">
        <f>IF(H2=2,E21,IF(H2=3,E22,IF(H2=4,E23,IF(H2=5,E24,IF(H2=6,E25,IF(H2=7,E26,IF(H2=8,E27,IF(H2=9,E28))))))))</f>
        <v>#REF!</v>
      </c>
      <c r="I12" s="4"/>
      <c r="J12" s="4"/>
      <c r="K12" s="5"/>
      <c r="L12" s="4"/>
      <c r="M12" s="12"/>
    </row>
    <row r="13" spans="1:16">
      <c r="A13" s="4"/>
      <c r="B13" s="4"/>
      <c r="C13" s="4"/>
      <c r="D13" s="4"/>
      <c r="E13" s="4"/>
      <c r="F13" s="4"/>
      <c r="G13" s="4"/>
      <c r="H13" s="4"/>
      <c r="I13" s="4"/>
      <c r="J13" s="4"/>
      <c r="K13" s="5"/>
      <c r="L13" s="4"/>
      <c r="M13" s="6" t="e">
        <f>M5+M11/100</f>
        <v>#REF!</v>
      </c>
    </row>
    <row r="14" spans="1:16">
      <c r="A14" s="4"/>
      <c r="B14" s="4"/>
      <c r="C14" s="4"/>
      <c r="D14" s="4"/>
      <c r="E14" s="4"/>
      <c r="F14" s="4"/>
      <c r="G14" s="4"/>
      <c r="H14" s="4"/>
      <c r="I14" s="4"/>
      <c r="J14" s="4"/>
      <c r="K14" s="5"/>
      <c r="L14" s="4"/>
      <c r="M14" s="20" t="e">
        <f>M13/6</f>
        <v>#REF!</v>
      </c>
    </row>
    <row r="15" spans="1:16">
      <c r="A15" s="4"/>
      <c r="B15" s="4"/>
      <c r="C15" s="4"/>
      <c r="D15" s="4"/>
      <c r="E15" s="4"/>
      <c r="F15" s="4"/>
      <c r="G15" s="4"/>
      <c r="H15" s="4"/>
      <c r="I15" s="4"/>
      <c r="J15" s="4"/>
      <c r="K15" s="5"/>
      <c r="L15" s="4"/>
      <c r="M15" s="21" t="e">
        <f>M13/6</f>
        <v>#REF!</v>
      </c>
    </row>
    <row r="16" spans="1:16">
      <c r="A16" s="4"/>
      <c r="B16" s="4"/>
      <c r="C16" s="4"/>
      <c r="D16" s="4"/>
      <c r="E16" s="4"/>
      <c r="F16" s="4"/>
      <c r="G16" s="4"/>
      <c r="H16" s="4"/>
      <c r="I16" s="4"/>
      <c r="J16" s="4"/>
      <c r="K16" s="5"/>
      <c r="L16" s="4"/>
      <c r="M16" s="22" t="e">
        <f>TRUNC(M15,0)</f>
        <v>#REF!</v>
      </c>
    </row>
    <row r="17" spans="1:13">
      <c r="A17" s="4"/>
      <c r="B17" s="4"/>
      <c r="C17" s="4"/>
      <c r="D17" s="4"/>
      <c r="E17" s="4"/>
      <c r="F17" s="4"/>
      <c r="G17" s="4"/>
      <c r="H17" s="4"/>
      <c r="I17" s="4"/>
      <c r="J17" s="4"/>
      <c r="K17" s="5"/>
      <c r="L17" s="4"/>
      <c r="M17" s="23" t="e">
        <f>M16</f>
        <v>#REF!</v>
      </c>
    </row>
    <row r="18" spans="1:13">
      <c r="A18" s="4"/>
      <c r="B18" s="4"/>
      <c r="C18" s="4"/>
      <c r="D18" s="4"/>
      <c r="E18" s="4"/>
      <c r="F18" s="4"/>
      <c r="G18" s="4"/>
      <c r="H18" s="4"/>
      <c r="I18" s="4"/>
      <c r="J18" s="4"/>
      <c r="K18" s="5"/>
      <c r="L18" s="4"/>
      <c r="M18" s="19" t="e">
        <f>(M15-M17)*100</f>
        <v>#REF!</v>
      </c>
    </row>
    <row r="19" spans="1:13">
      <c r="A19" s="4"/>
      <c r="B19" s="4"/>
      <c r="C19" s="4"/>
      <c r="D19" s="4"/>
      <c r="E19" s="4"/>
      <c r="F19" s="4"/>
      <c r="G19" s="4"/>
      <c r="H19" s="4"/>
      <c r="I19" s="4"/>
      <c r="J19" s="4"/>
      <c r="K19" s="5"/>
      <c r="L19" s="4"/>
      <c r="M19" s="24" t="e">
        <f>CONCATENATE(M17,M9,M18)</f>
        <v>#REF!</v>
      </c>
    </row>
    <row r="20" spans="1:13">
      <c r="A20" s="25" t="s">
        <v>10</v>
      </c>
      <c r="B20" s="25" t="s">
        <v>11</v>
      </c>
      <c r="C20" s="25" t="s">
        <v>12</v>
      </c>
      <c r="D20" s="25" t="s">
        <v>13</v>
      </c>
      <c r="E20" s="25" t="s">
        <v>14</v>
      </c>
      <c r="F20" s="25" t="s">
        <v>15</v>
      </c>
      <c r="G20" s="25" t="s">
        <v>10</v>
      </c>
      <c r="H20" s="25" t="s">
        <v>16</v>
      </c>
      <c r="I20" s="25" t="s">
        <v>17</v>
      </c>
      <c r="J20" s="4"/>
      <c r="K20" s="5"/>
      <c r="L20" s="4"/>
    </row>
    <row r="21" spans="1:13">
      <c r="A21" s="25" t="s">
        <v>18</v>
      </c>
      <c r="B21" s="25" t="s">
        <v>19</v>
      </c>
      <c r="C21" s="25" t="s">
        <v>20</v>
      </c>
      <c r="D21" s="25" t="s">
        <v>21</v>
      </c>
      <c r="E21" s="25" t="s">
        <v>22</v>
      </c>
      <c r="F21" s="25" t="s">
        <v>23</v>
      </c>
      <c r="G21" s="25" t="s">
        <v>18</v>
      </c>
      <c r="H21" s="25" t="s">
        <v>24</v>
      </c>
      <c r="I21" s="25" t="s">
        <v>25</v>
      </c>
      <c r="J21" s="4"/>
      <c r="K21" s="5"/>
      <c r="L21" s="4"/>
      <c r="M21" s="19">
        <v>1.9999999999996021</v>
      </c>
    </row>
    <row r="22" spans="1:13">
      <c r="A22" s="25" t="s">
        <v>26</v>
      </c>
      <c r="B22" s="25" t="s">
        <v>27</v>
      </c>
      <c r="C22" s="25" t="s">
        <v>28</v>
      </c>
      <c r="D22" s="25" t="s">
        <v>29</v>
      </c>
      <c r="E22" s="25" t="s">
        <v>30</v>
      </c>
      <c r="F22" s="25" t="s">
        <v>31</v>
      </c>
      <c r="G22" s="25" t="s">
        <v>11</v>
      </c>
      <c r="H22" s="25" t="s">
        <v>32</v>
      </c>
      <c r="I22" s="25" t="s">
        <v>33</v>
      </c>
      <c r="J22" s="4"/>
      <c r="K22" s="5"/>
      <c r="L22" s="4"/>
    </row>
    <row r="23" spans="1:13">
      <c r="A23" s="25" t="s">
        <v>34</v>
      </c>
      <c r="B23" s="25" t="s">
        <v>35</v>
      </c>
      <c r="C23" s="25" t="s">
        <v>36</v>
      </c>
      <c r="D23" s="25" t="s">
        <v>37</v>
      </c>
      <c r="E23" s="26" t="s">
        <v>38</v>
      </c>
      <c r="F23" s="25" t="s">
        <v>39</v>
      </c>
      <c r="G23" s="25" t="s">
        <v>19</v>
      </c>
      <c r="H23" s="27" t="s">
        <v>40</v>
      </c>
      <c r="I23" s="25" t="s">
        <v>41</v>
      </c>
      <c r="J23" s="4"/>
      <c r="K23" s="5"/>
      <c r="L23" s="4"/>
    </row>
    <row r="24" spans="1:13">
      <c r="A24" s="25" t="s">
        <v>42</v>
      </c>
      <c r="B24" s="25" t="s">
        <v>43</v>
      </c>
      <c r="C24" s="25" t="s">
        <v>44</v>
      </c>
      <c r="D24" s="25" t="s">
        <v>45</v>
      </c>
      <c r="E24" s="25" t="s">
        <v>46</v>
      </c>
      <c r="F24" s="25" t="s">
        <v>47</v>
      </c>
      <c r="G24" s="25"/>
      <c r="H24" s="25" t="s">
        <v>48</v>
      </c>
      <c r="I24" s="25" t="s">
        <v>49</v>
      </c>
      <c r="J24" s="4"/>
      <c r="K24" s="5"/>
      <c r="L24" s="4"/>
    </row>
    <row r="25" spans="1:13">
      <c r="A25" s="25" t="s">
        <v>50</v>
      </c>
      <c r="B25" s="25" t="s">
        <v>51</v>
      </c>
      <c r="C25" s="25" t="s">
        <v>52</v>
      </c>
      <c r="D25" s="25" t="s">
        <v>53</v>
      </c>
      <c r="E25" s="25" t="s">
        <v>54</v>
      </c>
      <c r="F25" s="25" t="s">
        <v>55</v>
      </c>
      <c r="G25" s="25"/>
      <c r="H25" s="25" t="s">
        <v>56</v>
      </c>
      <c r="I25" s="25" t="s">
        <v>57</v>
      </c>
      <c r="J25" s="4"/>
      <c r="K25" s="5"/>
      <c r="L25" s="4"/>
    </row>
    <row r="26" spans="1:13">
      <c r="A26" s="25" t="s">
        <v>58</v>
      </c>
      <c r="B26" s="25" t="s">
        <v>59</v>
      </c>
      <c r="C26" s="25" t="s">
        <v>60</v>
      </c>
      <c r="D26" s="25" t="s">
        <v>61</v>
      </c>
      <c r="E26" s="25" t="s">
        <v>62</v>
      </c>
      <c r="F26" s="25" t="s">
        <v>63</v>
      </c>
      <c r="G26" s="25"/>
      <c r="H26" s="25" t="s">
        <v>64</v>
      </c>
      <c r="I26" s="25" t="s">
        <v>65</v>
      </c>
      <c r="J26" s="4"/>
      <c r="K26" s="5"/>
      <c r="L26" s="4"/>
    </row>
    <row r="27" spans="1:13">
      <c r="A27" s="25" t="s">
        <v>66</v>
      </c>
      <c r="B27" s="25" t="s">
        <v>67</v>
      </c>
      <c r="C27" s="25" t="s">
        <v>68</v>
      </c>
      <c r="D27" s="25" t="s">
        <v>69</v>
      </c>
      <c r="E27" s="25" t="s">
        <v>70</v>
      </c>
      <c r="F27" s="25" t="s">
        <v>71</v>
      </c>
      <c r="G27" s="25"/>
      <c r="H27" s="25" t="s">
        <v>72</v>
      </c>
      <c r="I27" s="25" t="s">
        <v>73</v>
      </c>
      <c r="J27" s="4"/>
      <c r="K27" s="5"/>
      <c r="L27" s="4"/>
    </row>
    <row r="28" spans="1:13">
      <c r="A28" s="25" t="s">
        <v>74</v>
      </c>
      <c r="B28" s="25" t="s">
        <v>75</v>
      </c>
      <c r="C28" s="25" t="s">
        <v>76</v>
      </c>
      <c r="D28" s="25" t="s">
        <v>77</v>
      </c>
      <c r="E28" s="25" t="s">
        <v>78</v>
      </c>
      <c r="F28" s="25" t="s">
        <v>79</v>
      </c>
      <c r="G28" s="25"/>
      <c r="H28" s="25" t="s">
        <v>80</v>
      </c>
      <c r="I28" s="25" t="s">
        <v>81</v>
      </c>
      <c r="J28" s="4"/>
      <c r="K28" s="5"/>
      <c r="L28" s="4"/>
    </row>
    <row r="29" spans="1:13">
      <c r="A29" s="4"/>
      <c r="B29" s="4"/>
      <c r="C29" s="4"/>
      <c r="D29" s="4"/>
      <c r="E29" s="4"/>
      <c r="F29" s="4"/>
      <c r="G29" s="4"/>
      <c r="H29" s="4"/>
      <c r="I29" s="4"/>
      <c r="J29" s="4"/>
      <c r="K29" s="5"/>
      <c r="L29" s="4"/>
    </row>
    <row r="30" spans="1:13">
      <c r="A30" s="28" t="e">
        <f t="shared" ref="A30:I30" si="1">A3</f>
        <v>#REF!</v>
      </c>
      <c r="B30" s="28" t="e">
        <f t="shared" si="1"/>
        <v>#REF!</v>
      </c>
      <c r="C30" s="28" t="e">
        <f t="shared" si="1"/>
        <v>#REF!</v>
      </c>
      <c r="D30" s="28" t="e">
        <f t="shared" si="1"/>
        <v>#REF!</v>
      </c>
      <c r="E30" s="28" t="e">
        <f t="shared" si="1"/>
        <v>#REF!</v>
      </c>
      <c r="F30" s="28" t="e">
        <f t="shared" si="1"/>
        <v>#REF!</v>
      </c>
      <c r="G30" s="28" t="e">
        <f t="shared" si="1"/>
        <v>#REF!</v>
      </c>
      <c r="H30" s="28" t="e">
        <f t="shared" si="1"/>
        <v>#REF!</v>
      </c>
      <c r="I30" s="28" t="e">
        <f t="shared" si="1"/>
        <v>#REF!</v>
      </c>
      <c r="J30" s="3"/>
      <c r="K30" s="4"/>
      <c r="L30" s="4"/>
    </row>
    <row r="31" spans="1:13">
      <c r="A31" s="29" t="e">
        <f>A30</f>
        <v>#REF!</v>
      </c>
      <c r="B31" s="29" t="e">
        <f>B30</f>
        <v>#REF!</v>
      </c>
      <c r="C31" s="29" t="e">
        <f>C30</f>
        <v>#REF!</v>
      </c>
      <c r="D31" s="14" t="e">
        <f>M4</f>
        <v>#REF!</v>
      </c>
      <c r="E31" s="29" t="e">
        <f>D30</f>
        <v>#REF!</v>
      </c>
      <c r="F31" s="29" t="e">
        <f>E30</f>
        <v>#REF!</v>
      </c>
      <c r="G31" s="29" t="e">
        <f>F30</f>
        <v>#REF!</v>
      </c>
      <c r="H31" s="14" t="e">
        <f>M3</f>
        <v>#REF!</v>
      </c>
      <c r="I31" s="29" t="e">
        <f>G30</f>
        <v>#REF!</v>
      </c>
      <c r="J31" s="29" t="e">
        <f>H30</f>
        <v>#REF!</v>
      </c>
      <c r="K31" s="29" t="e">
        <f>I30</f>
        <v>#REF!</v>
      </c>
      <c r="L31" s="14" t="e">
        <f>M2</f>
        <v>#REF!</v>
      </c>
    </row>
    <row r="32" spans="1:13">
      <c r="A32" s="30" t="e">
        <f>IF(A31=0,0,1)</f>
        <v>#REF!</v>
      </c>
      <c r="B32" s="30" t="e">
        <f>IF(B31=0,0,1)</f>
        <v>#REF!</v>
      </c>
      <c r="C32" s="30" t="e">
        <f>IF(C31=0,0,1)</f>
        <v>#REF!</v>
      </c>
      <c r="D32" s="30">
        <v>1</v>
      </c>
      <c r="E32" s="30" t="e">
        <f>IF(E31=0,0,1)</f>
        <v>#REF!</v>
      </c>
      <c r="F32" s="30" t="e">
        <f>IF(F31=0,0,1)</f>
        <v>#REF!</v>
      </c>
      <c r="G32" s="30" t="e">
        <f>IF(G31=0,0,1)</f>
        <v>#REF!</v>
      </c>
      <c r="H32" s="30">
        <v>1</v>
      </c>
      <c r="I32" s="30" t="e">
        <f>IF(I31=0,0,1)</f>
        <v>#REF!</v>
      </c>
      <c r="J32" s="30" t="e">
        <f>IF(J31=0,0,1)</f>
        <v>#REF!</v>
      </c>
      <c r="K32" s="30" t="e">
        <f>IF(K31=0,0,1)</f>
        <v>#REF!</v>
      </c>
      <c r="L32" s="30">
        <v>1</v>
      </c>
    </row>
    <row r="33" spans="1:12">
      <c r="A33" s="31" t="e">
        <f>IF(L45=1,A31,A34)</f>
        <v>#REF!</v>
      </c>
      <c r="B33" s="31" t="e">
        <f>IF(L44=2,B31,IF(L44=1,B34,IF(L44=0,B35)))</f>
        <v>#REF!</v>
      </c>
      <c r="C33" s="31" t="e">
        <f>IF(L43=3,C31,IF(L43=2,D31,IF(L43=1,D35,IF(L43=0,C34))))</f>
        <v>#REF!</v>
      </c>
      <c r="D33" s="31" t="e">
        <f>IF(L42=4,D31,IF(L42=3,D35,IF(L42=2,D34,IF(L42=1,D43))))</f>
        <v>#REF!</v>
      </c>
      <c r="E33" s="31" t="e">
        <f>IF(L41=5,E31,IF(L41=4,E34,IF(L41=3,E39,IF(L41=2,E52,E49))))</f>
        <v>#REF!</v>
      </c>
      <c r="F33" s="31" t="e">
        <f>IF(L40=6,F31,IF(L40=5,F34,IF(L40=4,F35,IF(L40=3,F37,IF(L40=2,F41,IF(L40=1,F44))))))</f>
        <v>#REF!</v>
      </c>
      <c r="G33" s="31" t="e">
        <f>IF(L39=7,G31,IF(L39=6,H31,IF(L39=5,H34,IF(L39=4,G34,IF(L39=3,G38,IF(L39=2,G36,0))))))</f>
        <v>#REF!</v>
      </c>
      <c r="H33" s="31" t="e">
        <f>IF(L38=8,H31,IF(L38=7,H34,IF(L38=6,H38,IF(L38=5,H43,IF(L38=4,H44,0)))))</f>
        <v>#REF!</v>
      </c>
      <c r="I33" s="31" t="e">
        <f>IF(L37=9,I31,IF(L37=8,I34,IF(L37=7,I36,IF(L37=6,I37,0))))</f>
        <v>#REF!</v>
      </c>
      <c r="J33" s="31" t="e">
        <f>IF(L36=10,J31,IF(L36=9,J34,IF(L36=8,J35,0)))</f>
        <v>#REF!</v>
      </c>
      <c r="K33" s="31" t="e">
        <f>IF(L35=11,K31,IF(L35=10,L31,))</f>
        <v>#REF!</v>
      </c>
      <c r="L33" s="31" t="e">
        <f>IF(L34=12,L31,0)</f>
        <v>#REF!</v>
      </c>
    </row>
    <row r="34" spans="1:12">
      <c r="A34" s="11" t="e">
        <f>IF(B32=0,A35,B31)</f>
        <v>#REF!</v>
      </c>
      <c r="B34" s="11" t="e">
        <f>IF(C32=0,D31,C31)</f>
        <v>#REF!</v>
      </c>
      <c r="C34" s="11" t="e">
        <f>IF(L48=3,G31,IF(L48=2,H31,IF(L48=1,H34,H41)))</f>
        <v>#REF!</v>
      </c>
      <c r="D34" s="32" t="e">
        <f>IF(E31=0,D38,D40)</f>
        <v>#REF!</v>
      </c>
      <c r="E34" s="33" t="e">
        <f>IF(L49=3,E35,E37)</f>
        <v>#REF!</v>
      </c>
      <c r="F34" s="11" t="e">
        <f>IF(G31=0,H31,G31)</f>
        <v>#REF!</v>
      </c>
      <c r="G34" s="33" t="e">
        <f>IF(L48=0,H41,G37)</f>
        <v>#REF!</v>
      </c>
      <c r="H34" s="33" t="e">
        <f>IF(L47=0,L31,IF(L47=1,H35,IF(L47=2,H37,IF(L47=3,I31))))</f>
        <v>#REF!</v>
      </c>
      <c r="I34" s="33" t="e">
        <f>IF(L46=1,L31,IF(L46=2,I35,IF(L46=3,J31)))</f>
        <v>#REF!</v>
      </c>
      <c r="J34" s="11" t="e">
        <f>IF(K32=0,L31,K31)</f>
        <v>#REF!</v>
      </c>
      <c r="K34" s="4"/>
      <c r="L34" s="34" t="e">
        <f>SUM(A32:L32)</f>
        <v>#REF!</v>
      </c>
    </row>
    <row r="35" spans="1:12">
      <c r="A35" s="11" t="e">
        <f>IF(C31=0,A36,C31)</f>
        <v>#REF!</v>
      </c>
      <c r="B35" s="11" t="e">
        <f>IF(C31=0,D34,D31)</f>
        <v>#REF!</v>
      </c>
      <c r="C35" s="4"/>
      <c r="D35" s="11" t="e">
        <f>IF(E32=0,D36,E31)</f>
        <v>#REF!</v>
      </c>
      <c r="E35" s="33" t="e">
        <f>IF(F32=0,E36,F31)</f>
        <v>#REF!</v>
      </c>
      <c r="F35" s="35" t="e">
        <f>IF(L48=0,H38,F36)</f>
        <v>#REF!</v>
      </c>
      <c r="G35" s="11" t="e">
        <f>IF(L48=0,H42,H41)</f>
        <v>#REF!</v>
      </c>
      <c r="H35" s="14" t="e">
        <f>IF(I32=0,H36,I31)</f>
        <v>#REF!</v>
      </c>
      <c r="I35" s="33" t="e">
        <f>IF(J32=0,K31,J31)</f>
        <v>#REF!</v>
      </c>
      <c r="J35" s="11" t="e">
        <f>IF(K32=0,0,L31)</f>
        <v>#REF!</v>
      </c>
      <c r="K35" s="4"/>
      <c r="L35" s="14" t="e">
        <f>SUM(A32:K32)</f>
        <v>#REF!</v>
      </c>
    </row>
    <row r="36" spans="1:12">
      <c r="A36" s="11" t="e">
        <f>IF(E32=0,A37,E31)</f>
        <v>#REF!</v>
      </c>
      <c r="B36" s="4"/>
      <c r="C36" s="4"/>
      <c r="D36" s="11" t="e">
        <f>IF(F32=0,D37,F31)</f>
        <v>#REF!</v>
      </c>
      <c r="E36" s="33" t="e">
        <f>IF(G32=0,H34,G31)</f>
        <v>#REF!</v>
      </c>
      <c r="F36" s="33" t="e">
        <f>IF(G32=0,H34,H31)</f>
        <v>#REF!</v>
      </c>
      <c r="G36" s="11" t="e">
        <f>IF(L48=0,0,G39)</f>
        <v>#REF!</v>
      </c>
      <c r="H36" s="14" t="e">
        <f>IF(J32=0,K31,J31)</f>
        <v>#REF!</v>
      </c>
      <c r="I36" s="11" t="e">
        <f>IF(L46=3,K31,IF(L46=2,L31,IF(L46=1,0)))</f>
        <v>#REF!</v>
      </c>
      <c r="J36" s="4"/>
      <c r="K36" s="4"/>
      <c r="L36" s="14" t="e">
        <f>SUM(A32:J32)</f>
        <v>#REF!</v>
      </c>
    </row>
    <row r="37" spans="1:12">
      <c r="A37" s="11" t="e">
        <f>IF(F32=0,A38,F31)</f>
        <v>#REF!</v>
      </c>
      <c r="B37" s="4"/>
      <c r="C37" s="4"/>
      <c r="D37" s="11" t="e">
        <f>IF(G32=0,H34,G31)</f>
        <v>#REF!</v>
      </c>
      <c r="E37" s="33" t="e">
        <f>IF(F32=0,E38,F31)</f>
        <v>#REF!</v>
      </c>
      <c r="F37" s="11" t="e">
        <f>IF(L49=0,F38,F39)</f>
        <v>#REF!</v>
      </c>
      <c r="G37" s="11" t="e">
        <f>IF(L49=0,H41,H38)</f>
        <v>#REF!</v>
      </c>
      <c r="H37" s="11" t="e">
        <f>IF(I32=0,J31,I31)</f>
        <v>#REF!</v>
      </c>
      <c r="I37" s="11" t="e">
        <f>IF(L49=0,0,I38)</f>
        <v>#REF!</v>
      </c>
      <c r="J37" s="4"/>
      <c r="K37" s="4"/>
      <c r="L37" s="14" t="e">
        <f>SUM(A32:I32)</f>
        <v>#REF!</v>
      </c>
    </row>
    <row r="38" spans="1:12">
      <c r="A38" s="11" t="e">
        <f>IF(G32=0,A39,G31)</f>
        <v>#REF!</v>
      </c>
      <c r="B38" s="4"/>
      <c r="C38" s="4"/>
      <c r="D38" s="32" t="e">
        <f>IF(F31=0,D39,D42)</f>
        <v>#REF!</v>
      </c>
      <c r="E38" s="33" t="e">
        <f>IF(G32=0,H31,G31)</f>
        <v>#REF!</v>
      </c>
      <c r="F38" s="11" t="e">
        <f>IF(G31=0,H41,H38)</f>
        <v>#REF!</v>
      </c>
      <c r="G38" s="14" t="e">
        <f>IF(L49=0,H42,G35)</f>
        <v>#REF!</v>
      </c>
      <c r="H38" s="32" t="e">
        <f>IF(L47=0,0,IF(L47=1,L31,IF(L47=2,H39,IF(L47=3,J31))))</f>
        <v>#REF!</v>
      </c>
      <c r="I38" s="11" t="e">
        <f>IF(L48=0,0,I39)</f>
        <v>#REF!</v>
      </c>
      <c r="J38" s="4"/>
      <c r="K38" s="4"/>
      <c r="L38" s="33" t="e">
        <f>SUM(A32:H32)</f>
        <v>#REF!</v>
      </c>
    </row>
    <row r="39" spans="1:12">
      <c r="A39" s="11" t="e">
        <f>IF(I32=0,A40,I31)</f>
        <v>#REF!</v>
      </c>
      <c r="B39" s="4"/>
      <c r="C39" s="4"/>
      <c r="D39" s="32" t="e">
        <f>IF(G31=0,H38,H31)</f>
        <v>#REF!</v>
      </c>
      <c r="E39" s="14" t="e">
        <f>IF(L49=2,E40,E43)</f>
        <v>#REF!</v>
      </c>
      <c r="F39" s="32" t="e">
        <f>IF(L48=0,H41,F40)</f>
        <v>#REF!</v>
      </c>
      <c r="G39" s="11" t="e">
        <f>IF(L49=0,0,H42)</f>
        <v>#REF!</v>
      </c>
      <c r="H39" s="11" t="e">
        <f>IF(I32=0,K31,H40)</f>
        <v>#REF!</v>
      </c>
      <c r="I39" s="11" t="e">
        <f>IF(L47=3,L31,I40)</f>
        <v>#REF!</v>
      </c>
      <c r="J39" s="4"/>
      <c r="K39" s="4"/>
      <c r="L39" s="11" t="e">
        <f>SUM(A32:G32)</f>
        <v>#REF!</v>
      </c>
    </row>
    <row r="40" spans="1:12">
      <c r="A40" s="11" t="e">
        <f>IF(J32=0,A41,J31)</f>
        <v>#REF!</v>
      </c>
      <c r="B40" s="4"/>
      <c r="C40" s="4"/>
      <c r="D40" s="32" t="e">
        <f>IF(F32=0,D41,F31)</f>
        <v>#REF!</v>
      </c>
      <c r="E40" s="11" t="e">
        <f>IF(F32=0,E41,E42)</f>
        <v>#REF!</v>
      </c>
      <c r="F40" s="32" t="e">
        <f>IF(G32=0,H38,H34)</f>
        <v>#REF!</v>
      </c>
      <c r="G40" s="4"/>
      <c r="H40" s="11" t="e">
        <f>IF(J32=0,K31,J31)</f>
        <v>#REF!</v>
      </c>
      <c r="I40" s="11" t="e">
        <f>IF(L47=2,L31,0)</f>
        <v>#REF!</v>
      </c>
      <c r="J40" s="4"/>
      <c r="K40" s="4"/>
      <c r="L40" s="11" t="e">
        <f>SUM(A32:F32)</f>
        <v>#REF!</v>
      </c>
    </row>
    <row r="41" spans="1:12">
      <c r="A41" s="11" t="e">
        <f>IF(K32=0,0,K31)</f>
        <v>#REF!</v>
      </c>
      <c r="B41" s="4"/>
      <c r="C41" s="4"/>
      <c r="D41" s="32" t="e">
        <f>IF(G32=0,H31,G31)</f>
        <v>#REF!</v>
      </c>
      <c r="E41" s="11" t="e">
        <f>IF(G32=0,H38,H31)</f>
        <v>#REF!</v>
      </c>
      <c r="F41" s="14" t="e">
        <f>IF(L49=0,F43,F42)</f>
        <v>#REF!</v>
      </c>
      <c r="G41" s="4"/>
      <c r="H41" s="32" t="e">
        <f>IF(L47=3,K31,IF(L47=2,L31,0))</f>
        <v>#REF!</v>
      </c>
      <c r="I41" s="4"/>
      <c r="J41" s="4"/>
      <c r="K41" s="4"/>
      <c r="L41" s="33" t="e">
        <f>SUM(A32:E32)</f>
        <v>#REF!</v>
      </c>
    </row>
    <row r="42" spans="1:12">
      <c r="A42" s="4"/>
      <c r="B42" s="4"/>
      <c r="C42" s="4"/>
      <c r="D42" s="32" t="e">
        <f>IF(G32=0,H31,G31)</f>
        <v>#REF!</v>
      </c>
      <c r="E42" s="11" t="e">
        <f>IF(G32=0,H31,G31)</f>
        <v>#REF!</v>
      </c>
      <c r="F42" s="14" t="e">
        <f>IF(G32=0,H41,H38)</f>
        <v>#REF!</v>
      </c>
      <c r="G42" s="4"/>
      <c r="H42" s="33" t="e">
        <f>IF(L47=3,L31,0)</f>
        <v>#REF!</v>
      </c>
      <c r="I42" s="4"/>
      <c r="J42" s="4"/>
      <c r="K42" s="4"/>
      <c r="L42" s="10" t="e">
        <f>SUM(A32:D32)</f>
        <v>#REF!</v>
      </c>
    </row>
    <row r="43" spans="1:12">
      <c r="A43" s="4"/>
      <c r="B43" s="4"/>
      <c r="C43" s="4"/>
      <c r="D43" s="11" t="e">
        <f>IF(L48=3,H31,IF(L48=2,H34,IF(L48=1,H38,IF(L48=0,H42))))</f>
        <v>#REF!</v>
      </c>
      <c r="E43" s="14" t="e">
        <f>IF(F32=0,E44,E45)</f>
        <v>#REF!</v>
      </c>
      <c r="F43" s="14" t="e">
        <f>IF(G31=0,H42,H41)</f>
        <v>#REF!</v>
      </c>
      <c r="G43" s="4"/>
      <c r="H43" s="14" t="e">
        <f>IF(L49=0,H42,H41)</f>
        <v>#REF!</v>
      </c>
      <c r="I43" s="4"/>
      <c r="J43" s="4"/>
      <c r="K43" s="4"/>
      <c r="L43" s="10" t="e">
        <f>SUM(A32:C32)</f>
        <v>#REF!</v>
      </c>
    </row>
    <row r="44" spans="1:12">
      <c r="A44" s="4"/>
      <c r="B44" s="4"/>
      <c r="C44" s="4"/>
      <c r="D44" s="4"/>
      <c r="E44" s="14" t="e">
        <f>IF(G32=0,H34,H31)</f>
        <v>#REF!</v>
      </c>
      <c r="F44" s="14" t="e">
        <f>IF(G31=0,0,H42)</f>
        <v>#REF!</v>
      </c>
      <c r="G44" s="4"/>
      <c r="H44" s="11" t="e">
        <f>IF(L49=0,0,H42)</f>
        <v>#REF!</v>
      </c>
      <c r="I44" s="4"/>
      <c r="J44" s="4"/>
      <c r="K44" s="4"/>
      <c r="L44" s="10" t="e">
        <f>SUM(A32:B32)</f>
        <v>#REF!</v>
      </c>
    </row>
    <row r="45" spans="1:12">
      <c r="A45" s="4"/>
      <c r="B45" s="4"/>
      <c r="C45" s="4"/>
      <c r="D45" s="4"/>
      <c r="E45" s="14" t="e">
        <f>IF(G32=0,H31,G31)</f>
        <v>#REF!</v>
      </c>
      <c r="F45" s="4"/>
      <c r="G45" s="4"/>
      <c r="H45" s="4"/>
      <c r="I45" s="4"/>
      <c r="J45" s="4"/>
      <c r="K45" s="4"/>
      <c r="L45" s="10" t="e">
        <f>SUM(A32)</f>
        <v>#REF!</v>
      </c>
    </row>
    <row r="46" spans="1:12">
      <c r="A46" s="4"/>
      <c r="B46" s="4"/>
      <c r="C46" s="4"/>
      <c r="D46" s="4"/>
      <c r="E46" s="33" t="e">
        <f>IF(F32=0,E47,E48)</f>
        <v>#REF!</v>
      </c>
      <c r="F46" s="4"/>
      <c r="G46" s="4"/>
      <c r="H46" s="4"/>
      <c r="I46" s="4"/>
      <c r="J46" s="4"/>
      <c r="K46" s="4"/>
      <c r="L46" s="11" t="e">
        <f>SUM(J32:L32)</f>
        <v>#REF!</v>
      </c>
    </row>
    <row r="47" spans="1:12">
      <c r="A47" s="4"/>
      <c r="B47" s="4"/>
      <c r="C47" s="4"/>
      <c r="D47" s="4"/>
      <c r="E47" s="33" t="e">
        <f>IF(G32=0,H41,H34)</f>
        <v>#REF!</v>
      </c>
      <c r="F47" s="4"/>
      <c r="G47" s="4"/>
      <c r="H47" s="4"/>
      <c r="I47" s="4"/>
      <c r="J47" s="4"/>
      <c r="K47" s="4"/>
      <c r="L47" s="33" t="e">
        <f>SUM(I32:K32)</f>
        <v>#REF!</v>
      </c>
    </row>
    <row r="48" spans="1:12">
      <c r="A48" s="4"/>
      <c r="B48" s="4"/>
      <c r="C48" s="4"/>
      <c r="D48" s="4"/>
      <c r="E48" s="33" t="e">
        <f>IF(G31=0,H34,H31)</f>
        <v>#REF!</v>
      </c>
      <c r="F48" s="4"/>
      <c r="G48" s="4"/>
      <c r="H48" s="4"/>
      <c r="I48" s="4"/>
      <c r="J48" s="4"/>
      <c r="K48" s="4"/>
      <c r="L48" s="10" t="e">
        <f>SUM(E32:G32)</f>
        <v>#REF!</v>
      </c>
    </row>
    <row r="49" spans="1:12">
      <c r="A49" s="4"/>
      <c r="B49" s="4"/>
      <c r="C49" s="4"/>
      <c r="D49" s="4"/>
      <c r="E49" s="32" t="e">
        <f>IF(F31=0,E50,E51)</f>
        <v>#REF!</v>
      </c>
      <c r="F49" s="4"/>
      <c r="G49" s="4"/>
      <c r="H49" s="4"/>
      <c r="I49" s="4"/>
      <c r="J49" s="4"/>
      <c r="K49" s="4"/>
      <c r="L49" s="33" t="e">
        <f>SUM(A32:C32)</f>
        <v>#REF!</v>
      </c>
    </row>
    <row r="50" spans="1:12">
      <c r="A50" s="4"/>
      <c r="B50" s="4"/>
      <c r="C50" s="4"/>
      <c r="D50" s="4"/>
      <c r="E50" s="32" t="e">
        <f>IF(G31=0,0,H41)</f>
        <v>#REF!</v>
      </c>
      <c r="F50" s="4"/>
      <c r="G50" s="4"/>
      <c r="H50" s="4"/>
      <c r="I50" s="4"/>
      <c r="J50" s="4"/>
      <c r="K50" s="4"/>
      <c r="L50" s="4"/>
    </row>
    <row r="51" spans="1:12">
      <c r="A51" s="4"/>
      <c r="B51" s="4"/>
      <c r="C51" s="4"/>
      <c r="D51" s="4"/>
      <c r="E51" s="32" t="e">
        <f>IF(G32=0,H41,H38)</f>
        <v>#REF!</v>
      </c>
      <c r="F51" s="4"/>
      <c r="G51" s="4"/>
      <c r="H51" s="4"/>
      <c r="I51" s="4"/>
      <c r="J51" s="4"/>
      <c r="K51" s="4"/>
      <c r="L51" s="4"/>
    </row>
    <row r="52" spans="1:12">
      <c r="A52" s="4"/>
      <c r="B52" s="4"/>
      <c r="C52" s="4"/>
      <c r="D52" s="4"/>
      <c r="E52" s="33" t="e">
        <f>IF(L49=0,E53,E46)</f>
        <v>#REF!</v>
      </c>
      <c r="F52" s="4"/>
      <c r="G52" s="4"/>
      <c r="H52" s="4"/>
      <c r="I52" s="4"/>
      <c r="J52" s="4"/>
      <c r="K52" s="4"/>
      <c r="L52" s="4"/>
    </row>
    <row r="53" spans="1:12">
      <c r="A53" s="4"/>
      <c r="B53" s="4"/>
      <c r="C53" s="4"/>
      <c r="D53" s="4"/>
      <c r="E53" s="33" t="e">
        <f>IF(L48=3,H34,IF(L48=2,H38,IF(L48=1,H41,0)))</f>
        <v>#REF!</v>
      </c>
      <c r="F53" s="4"/>
      <c r="G53" s="4"/>
      <c r="H53" s="4"/>
      <c r="I53" s="4"/>
      <c r="J53" s="4"/>
      <c r="K53" s="4"/>
      <c r="L53" s="4"/>
    </row>
    <row r="54" spans="1:12">
      <c r="A54" s="8" t="e">
        <f t="shared" ref="A54:L54" si="2">LEN(A33)</f>
        <v>#REF!</v>
      </c>
      <c r="B54" s="8" t="e">
        <f t="shared" si="2"/>
        <v>#REF!</v>
      </c>
      <c r="C54" s="8" t="e">
        <f t="shared" si="2"/>
        <v>#REF!</v>
      </c>
      <c r="D54" s="8" t="e">
        <f t="shared" si="2"/>
        <v>#REF!</v>
      </c>
      <c r="E54" s="8" t="e">
        <f t="shared" si="2"/>
        <v>#REF!</v>
      </c>
      <c r="F54" s="8" t="e">
        <f t="shared" si="2"/>
        <v>#REF!</v>
      </c>
      <c r="G54" s="8" t="e">
        <f t="shared" si="2"/>
        <v>#REF!</v>
      </c>
      <c r="H54" s="8" t="e">
        <f t="shared" si="2"/>
        <v>#REF!</v>
      </c>
      <c r="I54" s="8" t="e">
        <f t="shared" si="2"/>
        <v>#REF!</v>
      </c>
      <c r="J54" s="8" t="e">
        <f t="shared" si="2"/>
        <v>#REF!</v>
      </c>
      <c r="K54" s="8" t="e">
        <f t="shared" si="2"/>
        <v>#REF!</v>
      </c>
      <c r="L54" s="8" t="e">
        <f t="shared" si="2"/>
        <v>#REF!</v>
      </c>
    </row>
    <row r="55" spans="1:12">
      <c r="A55" s="11"/>
      <c r="B55" s="11"/>
      <c r="C55" s="11"/>
      <c r="D55" s="11"/>
      <c r="E55" s="11" t="e">
        <f>SUM(A54:E54)</f>
        <v>#REF!</v>
      </c>
      <c r="F55" s="11" t="e">
        <f>SUM(A54:F54)</f>
        <v>#REF!</v>
      </c>
      <c r="G55" s="11" t="e">
        <f>SUM(A54:G54)</f>
        <v>#REF!</v>
      </c>
      <c r="H55" s="11" t="e">
        <f>SUM(A54:H54)</f>
        <v>#REF!</v>
      </c>
      <c r="I55" s="11" t="e">
        <f>SUM(A54:I54)</f>
        <v>#REF!</v>
      </c>
      <c r="J55" s="11" t="e">
        <f>SUM(A54:J54)</f>
        <v>#REF!</v>
      </c>
      <c r="K55" s="11" t="e">
        <f>SUM(A54:K54)</f>
        <v>#REF!</v>
      </c>
      <c r="L55" s="11" t="e">
        <f>SUM(A54:L54)</f>
        <v>#REF!</v>
      </c>
    </row>
    <row r="56" spans="1:12">
      <c r="A56" s="10" t="e">
        <f>IF(A33=0,"    ",A33)</f>
        <v>#REF!</v>
      </c>
      <c r="B56" s="10" t="e">
        <f>IF(B33=0,"    ",B33)</f>
        <v>#REF!</v>
      </c>
      <c r="C56" s="10" t="e">
        <f t="shared" ref="C56:K56" si="3">IF(C33=0," ",C33)</f>
        <v>#REF!</v>
      </c>
      <c r="D56" s="10" t="e">
        <f t="shared" si="3"/>
        <v>#REF!</v>
      </c>
      <c r="E56" s="10" t="e">
        <f t="shared" si="3"/>
        <v>#REF!</v>
      </c>
      <c r="F56" s="10" t="e">
        <f t="shared" si="3"/>
        <v>#REF!</v>
      </c>
      <c r="G56" s="10" t="e">
        <f t="shared" si="3"/>
        <v>#REF!</v>
      </c>
      <c r="H56" s="10" t="e">
        <f t="shared" si="3"/>
        <v>#REF!</v>
      </c>
      <c r="I56" s="10" t="e">
        <f t="shared" si="3"/>
        <v>#REF!</v>
      </c>
      <c r="J56" s="10" t="e">
        <f t="shared" si="3"/>
        <v>#REF!</v>
      </c>
      <c r="K56" s="10" t="e">
        <f t="shared" si="3"/>
        <v>#REF!</v>
      </c>
      <c r="L56" s="10" t="str">
        <f>IF(B61=0,"    ",B61)</f>
        <v>qəp.</v>
      </c>
    </row>
    <row r="57" spans="1:12">
      <c r="A57" s="10" t="e">
        <f>CONCATENATE(D57,A56,B56,C56,D56,E56,F56,G56,H56,I56,J56,L56,K56)</f>
        <v>#REF!</v>
      </c>
      <c r="B57" s="10"/>
      <c r="C57" s="10"/>
      <c r="D57" s="10" t="s">
        <v>82</v>
      </c>
      <c r="E57" s="10"/>
      <c r="F57" s="10"/>
      <c r="G57" s="10"/>
      <c r="H57" s="10"/>
      <c r="I57" s="10"/>
      <c r="J57" s="10"/>
      <c r="K57" s="10"/>
      <c r="L57" s="10"/>
    </row>
    <row r="58" spans="1:12">
      <c r="A58" s="36"/>
      <c r="B58" s="37">
        <f>ROUND(A58,0)</f>
        <v>0</v>
      </c>
    </row>
    <row r="59" spans="1:12">
      <c r="A59" s="6" t="s">
        <v>83</v>
      </c>
      <c r="B59" s="38" t="e">
        <f>M13/6</f>
        <v>#REF!</v>
      </c>
      <c r="C59" s="6" t="s">
        <v>84</v>
      </c>
      <c r="D59" s="39"/>
    </row>
    <row r="60" spans="1:12">
      <c r="A60" s="13" t="e">
        <f>CONCATENATE(A59,B59,C59)</f>
        <v>#REF!</v>
      </c>
      <c r="D60" s="39"/>
    </row>
    <row r="61" spans="1:12">
      <c r="A61" s="6" t="e">
        <f>(M5-M8)*100</f>
        <v>#REF!</v>
      </c>
      <c r="B61" s="6" t="s">
        <v>85</v>
      </c>
      <c r="D61" s="39"/>
    </row>
    <row r="62" spans="1:12">
      <c r="A62" s="19">
        <f>M11</f>
        <v>0</v>
      </c>
      <c r="B62" s="12">
        <f>M12/6</f>
        <v>0</v>
      </c>
      <c r="D62" s="39"/>
    </row>
    <row r="63" spans="1:12">
      <c r="A63" s="40" t="str">
        <f>CONCATENATE(B62,C59)</f>
        <v>0ман.</v>
      </c>
    </row>
    <row r="64" spans="1:12">
      <c r="A64" s="6" t="e">
        <f>CONCATENATE(A56,B56,C56,D56,E56,F56,G56,H56,I56,J56,K56)</f>
        <v>#REF!</v>
      </c>
      <c r="L64" s="6" t="e">
        <f>IF(L33=0,"    ",L33)</f>
        <v>#REF!</v>
      </c>
    </row>
  </sheetData>
  <sheetProtection sheet="1" objects="1" scenarios="1"/>
  <phoneticPr fontId="5" type="noConversion"/>
  <pageMargins left="0.75" right="0.75" top="1" bottom="1" header="0.5" footer="0.5"/>
  <pageSetup paperSize="9" orientation="portrait" r:id="rId1"/>
  <headerFooter alignWithMargin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codeName="Sheet7"/>
  <dimension ref="A1:P64"/>
  <sheetViews>
    <sheetView topLeftCell="G1" workbookViewId="0"/>
  </sheetViews>
  <sheetFormatPr defaultRowHeight="12.75"/>
  <cols>
    <col min="1" max="1" width="35" style="6" customWidth="1"/>
    <col min="2" max="2" width="11.140625" style="6" customWidth="1"/>
    <col min="3" max="3" width="13.28515625" style="6" customWidth="1"/>
    <col min="4" max="4" width="13.5703125" style="6" customWidth="1"/>
    <col min="5" max="5" width="12.42578125" style="6" customWidth="1"/>
    <col min="6" max="6" width="12.7109375" style="6" customWidth="1"/>
    <col min="7" max="7" width="10.28515625" style="6" customWidth="1"/>
    <col min="8" max="8" width="13.28515625" style="6" customWidth="1"/>
    <col min="9" max="9" width="10.5703125" style="6" customWidth="1"/>
    <col min="10" max="11" width="7.5703125" style="6" customWidth="1"/>
    <col min="12" max="12" width="6.7109375" style="6" customWidth="1"/>
    <col min="13" max="13" width="18.140625" style="6" customWidth="1"/>
    <col min="14" max="14" width="8.42578125" style="6" customWidth="1"/>
    <col min="15" max="15" width="9.140625" style="6"/>
    <col min="16" max="16" width="8.42578125" style="6" customWidth="1"/>
    <col min="17" max="16384" width="9.140625" style="6"/>
  </cols>
  <sheetData>
    <row r="1" spans="1:16" ht="13.5" thickBot="1">
      <c r="A1" s="2">
        <f>M8</f>
        <v>0</v>
      </c>
      <c r="B1" s="3"/>
      <c r="C1" s="3"/>
      <c r="D1" s="3"/>
      <c r="E1" s="3"/>
      <c r="F1" s="3"/>
      <c r="G1" s="3"/>
      <c r="H1" s="3"/>
      <c r="I1" s="3"/>
      <c r="J1" s="4"/>
      <c r="K1" s="5"/>
      <c r="L1" s="4"/>
    </row>
    <row r="2" spans="1:16">
      <c r="A2" s="7">
        <f>(MOD(A1,1000000000)-MOD(A1,100000000))/100000000</f>
        <v>0</v>
      </c>
      <c r="B2" s="7">
        <f>(MOD(A1,100000000)-MOD(A1,10000000))/10000000</f>
        <v>0</v>
      </c>
      <c r="C2" s="7">
        <f>(MOD(A1,10000000)-MOD(A1,1000000))/1000000</f>
        <v>0</v>
      </c>
      <c r="D2" s="7">
        <f>(MOD(A1,1000000)-MOD(A1,100000))/100000</f>
        <v>0</v>
      </c>
      <c r="E2" s="7">
        <f>(MOD(A1,100000)-MOD(A1,10000))/10000</f>
        <v>0</v>
      </c>
      <c r="F2" s="7">
        <f>(MOD(A1,10000)-MOD(A1,1000))/1000</f>
        <v>0</v>
      </c>
      <c r="G2" s="7">
        <f>(MOD(A1,1000)-MOD(A1,100))/100</f>
        <v>0</v>
      </c>
      <c r="H2" s="7">
        <f>(MOD(A1,100)-MOD(A1,10))/10</f>
        <v>0</v>
      </c>
      <c r="I2" s="7">
        <f>MOD(A1,10)</f>
        <v>0</v>
      </c>
      <c r="J2" s="4"/>
      <c r="K2" s="5"/>
      <c r="L2" s="4"/>
      <c r="M2" s="6" t="str">
        <f>IF(H2=1," ",IF(I2=1," ",IF(N2=TRUE," "," ")))</f>
        <v xml:space="preserve"> </v>
      </c>
      <c r="N2" s="6" t="b">
        <f>OR(I2=2,I2=3,I2=4)</f>
        <v>0</v>
      </c>
      <c r="P2" s="6" t="b">
        <f>OR(K2=2,K2=3,K2=4)</f>
        <v>0</v>
      </c>
    </row>
    <row r="3" spans="1:16">
      <c r="A3" s="8">
        <f>IF(A2=0,0,A5)</f>
        <v>0</v>
      </c>
      <c r="B3" s="8">
        <f t="shared" ref="B3:I3" si="0">IF(B2=0,0,B4)</f>
        <v>0</v>
      </c>
      <c r="C3" s="9">
        <f t="shared" si="0"/>
        <v>0</v>
      </c>
      <c r="D3" s="8">
        <f t="shared" si="0"/>
        <v>0</v>
      </c>
      <c r="E3" s="8">
        <f t="shared" si="0"/>
        <v>0</v>
      </c>
      <c r="F3" s="9">
        <f t="shared" si="0"/>
        <v>0</v>
      </c>
      <c r="G3" s="8">
        <f t="shared" si="0"/>
        <v>0</v>
      </c>
      <c r="H3" s="8">
        <f t="shared" si="0"/>
        <v>0</v>
      </c>
      <c r="I3" s="9">
        <f t="shared" si="0"/>
        <v>0</v>
      </c>
      <c r="J3" s="4"/>
      <c r="K3" s="5"/>
      <c r="L3" s="4"/>
      <c r="M3" s="6" t="str">
        <f>IF(E2=1," min",IF(F2=1," min",IF(N3=TRUE," min"," min")))</f>
        <v xml:space="preserve"> min</v>
      </c>
      <c r="N3" s="6" t="b">
        <f>OR(F2=2,F2=3,F2=4)</f>
        <v>0</v>
      </c>
      <c r="P3" s="6" t="b">
        <f>OR(H2=2,H2=3,H2=4)</f>
        <v>0</v>
      </c>
    </row>
    <row r="4" spans="1:16">
      <c r="A4" s="10"/>
      <c r="B4" s="10" t="b">
        <f>IF(A1&gt;99999999,B5,B6)</f>
        <v>0</v>
      </c>
      <c r="C4" s="10" t="b">
        <f>IF(B2=1,0,C5)</f>
        <v>0</v>
      </c>
      <c r="D4" s="10" t="b">
        <f>IF(A1&gt;999999,D5,D7)</f>
        <v>0</v>
      </c>
      <c r="E4" s="10" t="b">
        <f>IF(A1&gt;99999,E5,E6)</f>
        <v>0</v>
      </c>
      <c r="F4" s="10" t="b">
        <f>IF(E2=1,0,F5)</f>
        <v>0</v>
      </c>
      <c r="G4" s="10" t="b">
        <f>IF(A1&gt;999,G5,G7)</f>
        <v>0</v>
      </c>
      <c r="H4" s="10" t="b">
        <f>IF(A1&gt;99,H5,H6)</f>
        <v>0</v>
      </c>
      <c r="I4" s="10" t="b">
        <f>IF(H2=1,0,I5)</f>
        <v>0</v>
      </c>
      <c r="J4" s="4"/>
      <c r="K4" s="5"/>
      <c r="L4" s="4"/>
      <c r="M4" s="6" t="str">
        <f>IF(B2=1," milyon",IF(C2=1," milyon",IF(N4=TRUE," milyon"," milyon")))</f>
        <v xml:space="preserve"> milyon</v>
      </c>
      <c r="N4" s="6" t="b">
        <f>OR(C2=2,C2=3,C2=4)</f>
        <v>0</v>
      </c>
      <c r="P4" s="6" t="b">
        <f>OR(E2=2,E2=3,E2=4)</f>
        <v>0</v>
      </c>
    </row>
    <row r="5" spans="1:16">
      <c r="A5" s="11" t="b">
        <f>IF(A2=1,H20,IF(A2=2,H21,IF(A2=3,H22,IF(A2=4,H23,IF(A2=5,H24,IF(A2=6,H25,IF(A2=7,H26,IF(A2&gt;7,A6))))))))</f>
        <v>0</v>
      </c>
      <c r="B5" s="10" t="b">
        <f>IF(B2=1,B7,B11)</f>
        <v>0</v>
      </c>
      <c r="C5" s="10" t="b">
        <f>IF(A1&gt;9999999,C6,C7)</f>
        <v>0</v>
      </c>
      <c r="D5" s="11" t="b">
        <f>IF(D2=1,I20,IF(D2=2,I21,IF(D2=3,I22,IF(D2=4,I23,IF(D2=5,I24,IF(D2=6,I25,IF(D2=7,I26,IF(D2&gt;7,D6))))))))</f>
        <v>0</v>
      </c>
      <c r="E5" s="10" t="b">
        <f>IF(E2=1,E7,E11)</f>
        <v>0</v>
      </c>
      <c r="F5" s="10" t="b">
        <f>IF(A1&gt;9999,F6,F7)</f>
        <v>0</v>
      </c>
      <c r="G5" s="11" t="b">
        <f>IF(G2=1,I20,IF(G2=2,I21,IF(G2=3,I22,IF(G2=4,I23,IF(G2=5,I24,IF(G2=6,I25,IF(G2=7,I26,IF(G2&gt;7,G6))))))))</f>
        <v>0</v>
      </c>
      <c r="H5" s="10" t="b">
        <f>IF(H2=1,H7,H11)</f>
        <v>0</v>
      </c>
      <c r="I5" s="10" t="b">
        <f>IF(A1&gt;9,I6,I7)</f>
        <v>0</v>
      </c>
      <c r="J5" s="4"/>
      <c r="K5" s="5"/>
      <c r="L5" s="4"/>
      <c r="M5" s="12">
        <f>Data!C76</f>
        <v>0</v>
      </c>
    </row>
    <row r="6" spans="1:16">
      <c r="A6" s="11" t="b">
        <f>IF(A2=8,H27,IF(A2=9,H28))</f>
        <v>0</v>
      </c>
      <c r="B6" s="10" t="b">
        <f>IF(B2=1,B9,B12)</f>
        <v>0</v>
      </c>
      <c r="C6" s="10" t="b">
        <f>IF(C2=1,B20,IF(C2=2,B21,IF(C2=3,B22,IF(C2=4,B23,IF(C2=5,B24,IF(C2=6,B25,IF(C2=7,B26,IF(C2&gt;7,C8))))))))</f>
        <v>0</v>
      </c>
      <c r="D6" s="11" t="b">
        <f>IF(D2=8,I27,IF(D2=9,I28))</f>
        <v>0</v>
      </c>
      <c r="E6" s="10" t="b">
        <f>IF(E2=1,E9,E12)</f>
        <v>0</v>
      </c>
      <c r="F6" s="10" t="b">
        <f>IF(F2=1,G22,IF(F2=2,G23,IF(F2=3,B22,IF(F2=4,B23,IF(F2=5,B24,IF(F2=6,B25,IF(F2=7,B26,IF(F2&gt;7,F8))))))))</f>
        <v>0</v>
      </c>
      <c r="G6" s="11" t="b">
        <f>IF(G2=8,I27,IF(G2=9,I28))</f>
        <v>0</v>
      </c>
      <c r="H6" s="10" t="b">
        <f>IF(H2=1,H9,H12)</f>
        <v>0</v>
      </c>
      <c r="I6" s="10" t="b">
        <f>IF(I2=1,B20,IF(I2=2,B21,IF(I2=3,B22,IF(I2=4,B23,IF(I2=5,B24,IF(I2=6,B25,IF(I2=7,B26,IF(I2&gt;7,I8))))))))</f>
        <v>0</v>
      </c>
      <c r="J6" s="4"/>
      <c r="K6" s="5"/>
      <c r="L6" s="4"/>
      <c r="M6" s="13" t="str">
        <f>CONCATENATE(M8,M9,M11)</f>
        <v>0-</v>
      </c>
    </row>
    <row r="7" spans="1:16">
      <c r="A7" s="4"/>
      <c r="B7" s="11" t="str">
        <f>IF(C2=0,F20,IF(C2=1,D20,IF(C2=2,D21,IF(C2=3,D22,IF(C2=4,D23,IF(C2=5,D24,IF(C2=6,D25,IF(C2&gt;6,B8))))))))</f>
        <v xml:space="preserve"> on</v>
      </c>
      <c r="C7" s="10" t="b">
        <f>IF(C2=1,A20,IF(C2=2,A21,IF(C2=3,A22,IF(C2=4,A23,IF(C2=5,A24,IF(C2=6,A25,IF(C2=7,A26,IF(C2&gt;7,C9))))))))</f>
        <v>0</v>
      </c>
      <c r="D7" s="14" t="b">
        <f>IF(D2=1,H20,IF(D2=2,H21,IF(D2=3,H22,IF(D2=4,H23,IF(D2=5,H24,IF(D2=6,H25,IF(D2=7,H26,IF(D2&gt;7,D8))))))))</f>
        <v>0</v>
      </c>
      <c r="E7" s="11" t="str">
        <f>IF(F2=0,F20,IF(F2=1,D20,IF(F2=2,D21,IF(F2=3,D22,IF(F2=4,D23,IF(F2=5,D24,IF(F2=6,D25,IF(F2&gt;6,E8))))))))</f>
        <v xml:space="preserve"> on</v>
      </c>
      <c r="F7" s="10" t="b">
        <f>IF(F2=1,G20,IF(F2=2,G21,IF(F2=3,A22,IF(F2=4,A23,IF(F2=5,A24,IF(F2=6,A25,IF(F2=7,A26,IF(F2&gt;7,F9))))))))</f>
        <v>0</v>
      </c>
      <c r="G7" s="14" t="b">
        <f>IF(G2=1,H20,IF(G2=2,H21,IF(G2=3,H22,IF(G2=4,H23,IF(G2=5,H24,IF(G2=6,H25,IF(G2=7,H26,IF(G2&gt;7,G8))))))))</f>
        <v>0</v>
      </c>
      <c r="H7" s="11" t="str">
        <f>IF(I2=0,F20,IF(I2=1,D20,IF(I2=2,D21,IF(I2=3,D22,IF(I2=4,D23,IF(I2=5,D24,IF(I2=6,D25,IF(I2&gt;6,H8))))))))</f>
        <v xml:space="preserve"> on</v>
      </c>
      <c r="I7" s="10" t="b">
        <f>IF(I2=1,A20,IF(I2=2,A21,IF(I2=3,A22,IF(I2=4,A23,IF(I2=5,A24,IF(I2=6,A25,IF(I2=7,A26,IF(I2&gt;7,I9))))))))</f>
        <v>0</v>
      </c>
      <c r="J7" s="4"/>
      <c r="K7" s="5"/>
      <c r="L7" s="4"/>
      <c r="M7" s="15"/>
    </row>
    <row r="8" spans="1:16">
      <c r="A8" s="4"/>
      <c r="B8" s="11" t="b">
        <f>IF(C2=7,D26,IF(C2=8,D27,IF(C2=9,D28)))</f>
        <v>0</v>
      </c>
      <c r="C8" s="10" t="b">
        <f>IF(C2=8,B27,IF(C2=9,B28))</f>
        <v>0</v>
      </c>
      <c r="D8" s="14" t="b">
        <f>IF(D2=8,H27,IF(D2=9,H28))</f>
        <v>0</v>
      </c>
      <c r="E8" s="11" t="b">
        <f>IF(F2=7,D26,IF(F2=8,D27,IF(F2=9,D28)))</f>
        <v>0</v>
      </c>
      <c r="F8" s="10" t="b">
        <f>IF(F2=8,B27,IF(F2=9,B28))</f>
        <v>0</v>
      </c>
      <c r="G8" s="14" t="b">
        <f>IF(G2=8,H27,IF(G2=9,H28))</f>
        <v>0</v>
      </c>
      <c r="H8" s="11" t="b">
        <f>IF(I2=7,D26,IF(I2=8,D27,IF(I2=9,D28)))</f>
        <v>0</v>
      </c>
      <c r="I8" s="10" t="b">
        <f>IF(I2=8,B27,IF(I2=9,B28))</f>
        <v>0</v>
      </c>
      <c r="J8" s="4"/>
      <c r="K8" s="5"/>
      <c r="L8" s="4"/>
      <c r="M8" s="16">
        <f>TRUNC(M5,0)</f>
        <v>0</v>
      </c>
    </row>
    <row r="9" spans="1:16">
      <c r="A9" s="4"/>
      <c r="B9" s="14" t="str">
        <f>IF(C2=0,E20,IF(C2=1,C20,IF(C2=2,C21,IF(C2=3,C22,IF(C2=4,C23,IF(C2=5,C24,IF(C2=6,C25,IF(C2&gt;6,B10))))))))</f>
        <v>On</v>
      </c>
      <c r="C9" s="10" t="b">
        <f>IF(C2=8,A27,IF(C2=9,A28))</f>
        <v>0</v>
      </c>
      <c r="D9" s="4"/>
      <c r="E9" s="14" t="str">
        <f>IF(F2=0,E20,IF(F2=1,C20,IF(F2=2,C21,IF(F2=3,C22,IF(F2=4,C23,IF(F2=5,C24,IF(F2=6,C25,IF(F2&gt;6,E10))))))))</f>
        <v>On</v>
      </c>
      <c r="F9" s="10" t="b">
        <f>IF(F2=8,A27,IF(F2=9,A28))</f>
        <v>0</v>
      </c>
      <c r="G9" s="4"/>
      <c r="H9" s="14" t="str">
        <f>IF(I2=0,E20,IF(I2=1,C20,IF(I2=2,C21,IF(I2=3,C22,IF(I2=4,C23,IF(I2=5,C24,IF(I2=6,C25,IF(I2&gt;6,H10))))))))</f>
        <v>On</v>
      </c>
      <c r="I9" s="10" t="b">
        <f>IF(I2=8,A27,IF(I2=9,A28))</f>
        <v>0</v>
      </c>
      <c r="J9" s="4"/>
      <c r="K9" s="5"/>
      <c r="L9" s="4"/>
      <c r="M9" s="17" t="s">
        <v>9</v>
      </c>
    </row>
    <row r="10" spans="1:16">
      <c r="A10" s="4"/>
      <c r="B10" s="14" t="b">
        <f>IF(C2=7,C26,IF(C2=8,C27,IF(C2=9,C28)))</f>
        <v>0</v>
      </c>
      <c r="C10" s="4"/>
      <c r="D10" s="4"/>
      <c r="E10" s="14" t="b">
        <f>IF(F2=7,C26,IF(F2=8,C27,IF(F2=9,C28)))</f>
        <v>0</v>
      </c>
      <c r="F10" s="4"/>
      <c r="G10" s="4"/>
      <c r="H10" s="14" t="b">
        <f>IF(I2=7,C26,IF(I2=8,C27,IF(I2=9,C28)))</f>
        <v>0</v>
      </c>
      <c r="I10" s="4"/>
      <c r="J10" s="4"/>
      <c r="K10" s="5"/>
      <c r="L10" s="4"/>
      <c r="M10" s="18">
        <f>(M5-M8)*100</f>
        <v>0</v>
      </c>
    </row>
    <row r="11" spans="1:16">
      <c r="A11" s="4"/>
      <c r="B11" s="11" t="b">
        <f>IF(B2=2,F21,IF(B2=3,F22,IF(B2=4,F23,IF(B2=5,F24,IF(B2=6,F25,IF(B2=7,F26,IF(B2=8,F27,IF(B2=9,F28))))))))</f>
        <v>0</v>
      </c>
      <c r="C11" s="4"/>
      <c r="D11" s="4"/>
      <c r="E11" s="11" t="b">
        <f>IF(E2=2,F21,IF(E2=3,F22,IF(E2=4,F23,IF(E2=5,F24,IF(E2=6,F25,IF(E2=7,F26,IF(E2=8,F27,IF(E2=9,F28))))))))</f>
        <v>0</v>
      </c>
      <c r="F11" s="4"/>
      <c r="G11" s="4"/>
      <c r="H11" s="11" t="b">
        <f>IF(H2=2,F21,IF(H2=3,F22,IF(H2=4,F23,IF(H2=5,F24,IF(H2=6,F25,IF(H2=7,F26,IF(H2=8,F27,IF(H2=9,F28))))))))</f>
        <v>0</v>
      </c>
      <c r="I11" s="4"/>
      <c r="J11" s="4"/>
      <c r="K11" s="5"/>
      <c r="L11" s="4"/>
      <c r="M11" s="19"/>
    </row>
    <row r="12" spans="1:16">
      <c r="A12" s="4"/>
      <c r="B12" s="14" t="b">
        <f>IF(B2=2,E21,IF(B2=3,E22,IF(B2=4,E23,IF(B2=5,E24,IF(B2=6,E25,IF(B2=7,E26,IF(B2=8,E27,IF(B2=9,E28))))))))</f>
        <v>0</v>
      </c>
      <c r="C12" s="4"/>
      <c r="D12" s="4"/>
      <c r="E12" s="14" t="b">
        <f>IF(E2=2,E21,IF(E2=3,E22,IF(E2=4,E23,IF(E2=5,E24,IF(E2=6,E25,IF(E2=7,E26,IF(E2=8,E27,IF(E2=9,E28))))))))</f>
        <v>0</v>
      </c>
      <c r="F12" s="4"/>
      <c r="G12" s="4"/>
      <c r="H12" s="14" t="b">
        <f>IF(H2=2,E21,IF(H2=3,E22,IF(H2=4,E23,IF(H2=5,E24,IF(H2=6,E25,IF(H2=7,E26,IF(H2=8,E27,IF(H2=9,E28))))))))</f>
        <v>0</v>
      </c>
      <c r="I12" s="4"/>
      <c r="J12" s="4"/>
      <c r="K12" s="5"/>
      <c r="L12" s="4"/>
      <c r="M12" s="12"/>
    </row>
    <row r="13" spans="1:16">
      <c r="A13" s="4"/>
      <c r="B13" s="4"/>
      <c r="C13" s="4"/>
      <c r="D13" s="4"/>
      <c r="E13" s="4"/>
      <c r="F13" s="4"/>
      <c r="G13" s="4"/>
      <c r="H13" s="4"/>
      <c r="I13" s="4"/>
      <c r="J13" s="4"/>
      <c r="K13" s="5"/>
      <c r="L13" s="4"/>
      <c r="M13" s="6">
        <f>M5+M11/100</f>
        <v>0</v>
      </c>
    </row>
    <row r="14" spans="1:16">
      <c r="A14" s="4"/>
      <c r="B14" s="4"/>
      <c r="C14" s="4"/>
      <c r="D14" s="4"/>
      <c r="E14" s="4"/>
      <c r="F14" s="4"/>
      <c r="G14" s="4"/>
      <c r="H14" s="4"/>
      <c r="I14" s="4"/>
      <c r="J14" s="4"/>
      <c r="K14" s="5"/>
      <c r="L14" s="4"/>
      <c r="M14" s="20">
        <f>M13/6</f>
        <v>0</v>
      </c>
    </row>
    <row r="15" spans="1:16">
      <c r="A15" s="4"/>
      <c r="B15" s="4"/>
      <c r="C15" s="4"/>
      <c r="D15" s="4"/>
      <c r="E15" s="4"/>
      <c r="F15" s="4"/>
      <c r="G15" s="4"/>
      <c r="H15" s="4"/>
      <c r="I15" s="4"/>
      <c r="J15" s="4"/>
      <c r="K15" s="5"/>
      <c r="L15" s="4"/>
      <c r="M15" s="21">
        <f>M13/6</f>
        <v>0</v>
      </c>
    </row>
    <row r="16" spans="1:16">
      <c r="A16" s="4"/>
      <c r="B16" s="4"/>
      <c r="C16" s="4"/>
      <c r="D16" s="4"/>
      <c r="E16" s="4"/>
      <c r="F16" s="4"/>
      <c r="G16" s="4"/>
      <c r="H16" s="4"/>
      <c r="I16" s="4"/>
      <c r="J16" s="4"/>
      <c r="K16" s="5"/>
      <c r="L16" s="4"/>
      <c r="M16" s="22">
        <f>TRUNC(M15,0)</f>
        <v>0</v>
      </c>
    </row>
    <row r="17" spans="1:13">
      <c r="A17" s="4"/>
      <c r="B17" s="4"/>
      <c r="C17" s="4"/>
      <c r="D17" s="4"/>
      <c r="E17" s="4"/>
      <c r="F17" s="4"/>
      <c r="G17" s="4"/>
      <c r="H17" s="4"/>
      <c r="I17" s="4"/>
      <c r="J17" s="4"/>
      <c r="K17" s="5"/>
      <c r="L17" s="4"/>
      <c r="M17" s="23">
        <f>M16</f>
        <v>0</v>
      </c>
    </row>
    <row r="18" spans="1:13">
      <c r="A18" s="4"/>
      <c r="B18" s="4"/>
      <c r="C18" s="4"/>
      <c r="D18" s="4"/>
      <c r="E18" s="4"/>
      <c r="F18" s="4"/>
      <c r="G18" s="4"/>
      <c r="H18" s="4"/>
      <c r="I18" s="4"/>
      <c r="J18" s="4"/>
      <c r="K18" s="5"/>
      <c r="L18" s="4"/>
      <c r="M18" s="19">
        <f>(M15-M17)*100</f>
        <v>0</v>
      </c>
    </row>
    <row r="19" spans="1:13">
      <c r="A19" s="4"/>
      <c r="B19" s="4"/>
      <c r="C19" s="4"/>
      <c r="D19" s="4"/>
      <c r="E19" s="4"/>
      <c r="F19" s="4"/>
      <c r="G19" s="4"/>
      <c r="H19" s="4"/>
      <c r="I19" s="4"/>
      <c r="J19" s="4"/>
      <c r="K19" s="5"/>
      <c r="L19" s="4"/>
      <c r="M19" s="24" t="str">
        <f>CONCATENATE(M17,M9,M18)</f>
        <v>0-0</v>
      </c>
    </row>
    <row r="20" spans="1:13">
      <c r="A20" s="25" t="s">
        <v>10</v>
      </c>
      <c r="B20" s="25" t="s">
        <v>11</v>
      </c>
      <c r="C20" s="25" t="s">
        <v>12</v>
      </c>
      <c r="D20" s="25" t="s">
        <v>13</v>
      </c>
      <c r="E20" s="25" t="s">
        <v>89</v>
      </c>
      <c r="F20" s="25" t="s">
        <v>15</v>
      </c>
      <c r="G20" s="25" t="s">
        <v>10</v>
      </c>
      <c r="H20" s="25" t="s">
        <v>16</v>
      </c>
      <c r="I20" s="25" t="s">
        <v>17</v>
      </c>
      <c r="J20" s="4"/>
      <c r="K20" s="5"/>
      <c r="L20" s="4"/>
    </row>
    <row r="21" spans="1:13">
      <c r="A21" s="25" t="s">
        <v>18</v>
      </c>
      <c r="B21" s="25" t="s">
        <v>19</v>
      </c>
      <c r="C21" s="25" t="s">
        <v>20</v>
      </c>
      <c r="D21" s="25" t="s">
        <v>21</v>
      </c>
      <c r="E21" s="25" t="s">
        <v>88</v>
      </c>
      <c r="F21" s="25" t="s">
        <v>23</v>
      </c>
      <c r="G21" s="25" t="s">
        <v>18</v>
      </c>
      <c r="H21" s="25" t="s">
        <v>24</v>
      </c>
      <c r="I21" s="25" t="s">
        <v>25</v>
      </c>
      <c r="J21" s="4"/>
      <c r="K21" s="5"/>
      <c r="L21" s="4"/>
      <c r="M21" s="19">
        <v>1.9999999999996021</v>
      </c>
    </row>
    <row r="22" spans="1:13">
      <c r="A22" s="25" t="s">
        <v>26</v>
      </c>
      <c r="B22" s="25" t="s">
        <v>27</v>
      </c>
      <c r="C22" s="25" t="s">
        <v>28</v>
      </c>
      <c r="D22" s="25" t="s">
        <v>29</v>
      </c>
      <c r="E22" s="25" t="s">
        <v>90</v>
      </c>
      <c r="F22" s="25" t="s">
        <v>31</v>
      </c>
      <c r="G22" s="25" t="s">
        <v>11</v>
      </c>
      <c r="H22" s="25" t="s">
        <v>32</v>
      </c>
      <c r="I22" s="25" t="s">
        <v>33</v>
      </c>
      <c r="J22" s="4"/>
      <c r="K22" s="5"/>
      <c r="L22" s="4"/>
    </row>
    <row r="23" spans="1:13">
      <c r="A23" s="25" t="s">
        <v>34</v>
      </c>
      <c r="B23" s="25" t="s">
        <v>35</v>
      </c>
      <c r="C23" s="25" t="s">
        <v>36</v>
      </c>
      <c r="D23" s="25" t="s">
        <v>37</v>
      </c>
      <c r="E23" s="26" t="s">
        <v>91</v>
      </c>
      <c r="F23" s="25" t="s">
        <v>39</v>
      </c>
      <c r="G23" s="25" t="s">
        <v>19</v>
      </c>
      <c r="H23" s="27" t="s">
        <v>40</v>
      </c>
      <c r="I23" s="25" t="s">
        <v>41</v>
      </c>
      <c r="J23" s="4"/>
      <c r="K23" s="5"/>
      <c r="L23" s="4"/>
    </row>
    <row r="24" spans="1:13">
      <c r="A24" s="25" t="s">
        <v>42</v>
      </c>
      <c r="B24" s="25" t="s">
        <v>43</v>
      </c>
      <c r="C24" s="25" t="s">
        <v>44</v>
      </c>
      <c r="D24" s="25" t="s">
        <v>45</v>
      </c>
      <c r="E24" s="25" t="s">
        <v>92</v>
      </c>
      <c r="F24" s="25" t="s">
        <v>47</v>
      </c>
      <c r="G24" s="25"/>
      <c r="H24" s="25" t="s">
        <v>48</v>
      </c>
      <c r="I24" s="25" t="s">
        <v>49</v>
      </c>
      <c r="J24" s="4"/>
      <c r="K24" s="5"/>
      <c r="L24" s="4"/>
    </row>
    <row r="25" spans="1:13">
      <c r="A25" s="25" t="s">
        <v>50</v>
      </c>
      <c r="B25" s="25" t="s">
        <v>51</v>
      </c>
      <c r="C25" s="25" t="s">
        <v>52</v>
      </c>
      <c r="D25" s="25" t="s">
        <v>53</v>
      </c>
      <c r="E25" s="25" t="s">
        <v>54</v>
      </c>
      <c r="F25" s="25" t="s">
        <v>55</v>
      </c>
      <c r="G25" s="25"/>
      <c r="H25" s="25" t="s">
        <v>56</v>
      </c>
      <c r="I25" s="25" t="s">
        <v>57</v>
      </c>
      <c r="J25" s="4"/>
      <c r="K25" s="5"/>
      <c r="L25" s="4"/>
    </row>
    <row r="26" spans="1:13">
      <c r="A26" s="25" t="s">
        <v>58</v>
      </c>
      <c r="B26" s="25" t="s">
        <v>59</v>
      </c>
      <c r="C26" s="25" t="s">
        <v>60</v>
      </c>
      <c r="D26" s="25" t="s">
        <v>61</v>
      </c>
      <c r="E26" s="25" t="s">
        <v>62</v>
      </c>
      <c r="F26" s="25" t="s">
        <v>63</v>
      </c>
      <c r="G26" s="25"/>
      <c r="H26" s="25" t="s">
        <v>64</v>
      </c>
      <c r="I26" s="25" t="s">
        <v>65</v>
      </c>
      <c r="J26" s="4"/>
      <c r="K26" s="5"/>
      <c r="L26" s="4"/>
    </row>
    <row r="27" spans="1:13">
      <c r="A27" s="25" t="s">
        <v>66</v>
      </c>
      <c r="B27" s="25" t="s">
        <v>67</v>
      </c>
      <c r="C27" s="25" t="s">
        <v>68</v>
      </c>
      <c r="D27" s="25" t="s">
        <v>69</v>
      </c>
      <c r="E27" s="25" t="s">
        <v>70</v>
      </c>
      <c r="F27" s="25" t="s">
        <v>71</v>
      </c>
      <c r="G27" s="25"/>
      <c r="H27" s="25" t="s">
        <v>72</v>
      </c>
      <c r="I27" s="25" t="s">
        <v>73</v>
      </c>
      <c r="J27" s="4"/>
      <c r="K27" s="5"/>
      <c r="L27" s="4"/>
    </row>
    <row r="28" spans="1:13">
      <c r="A28" s="25" t="s">
        <v>74</v>
      </c>
      <c r="B28" s="25" t="s">
        <v>75</v>
      </c>
      <c r="C28" s="25" t="s">
        <v>76</v>
      </c>
      <c r="D28" s="25" t="s">
        <v>77</v>
      </c>
      <c r="E28" s="25" t="s">
        <v>78</v>
      </c>
      <c r="F28" s="25" t="s">
        <v>79</v>
      </c>
      <c r="G28" s="25"/>
      <c r="H28" s="25" t="s">
        <v>80</v>
      </c>
      <c r="I28" s="25" t="s">
        <v>81</v>
      </c>
      <c r="J28" s="4"/>
      <c r="K28" s="5"/>
      <c r="L28" s="4"/>
    </row>
    <row r="29" spans="1:13">
      <c r="A29" s="4"/>
      <c r="B29" s="4"/>
      <c r="C29" s="4"/>
      <c r="D29" s="4"/>
      <c r="E29" s="4"/>
      <c r="F29" s="4"/>
      <c r="G29" s="4"/>
      <c r="H29" s="4"/>
      <c r="I29" s="4"/>
      <c r="J29" s="4"/>
      <c r="K29" s="5"/>
      <c r="L29" s="4"/>
    </row>
    <row r="30" spans="1:13">
      <c r="A30" s="28">
        <f t="shared" ref="A30:I30" si="1">A3</f>
        <v>0</v>
      </c>
      <c r="B30" s="28">
        <f t="shared" si="1"/>
        <v>0</v>
      </c>
      <c r="C30" s="28">
        <f t="shared" si="1"/>
        <v>0</v>
      </c>
      <c r="D30" s="28">
        <f t="shared" si="1"/>
        <v>0</v>
      </c>
      <c r="E30" s="28">
        <f t="shared" si="1"/>
        <v>0</v>
      </c>
      <c r="F30" s="28">
        <f t="shared" si="1"/>
        <v>0</v>
      </c>
      <c r="G30" s="28">
        <f t="shared" si="1"/>
        <v>0</v>
      </c>
      <c r="H30" s="28">
        <f t="shared" si="1"/>
        <v>0</v>
      </c>
      <c r="I30" s="28">
        <f t="shared" si="1"/>
        <v>0</v>
      </c>
      <c r="J30" s="3"/>
      <c r="K30" s="4"/>
      <c r="L30" s="4"/>
    </row>
    <row r="31" spans="1:13">
      <c r="A31" s="29">
        <f>A30</f>
        <v>0</v>
      </c>
      <c r="B31" s="29">
        <f>B30</f>
        <v>0</v>
      </c>
      <c r="C31" s="29">
        <f>C30</f>
        <v>0</v>
      </c>
      <c r="D31" s="14" t="str">
        <f>M4</f>
        <v xml:space="preserve"> milyon</v>
      </c>
      <c r="E31" s="29">
        <f>D30</f>
        <v>0</v>
      </c>
      <c r="F31" s="29">
        <f>E30</f>
        <v>0</v>
      </c>
      <c r="G31" s="29">
        <f>F30</f>
        <v>0</v>
      </c>
      <c r="H31" s="14" t="str">
        <f>M3</f>
        <v xml:space="preserve"> min</v>
      </c>
      <c r="I31" s="29">
        <f>G30</f>
        <v>0</v>
      </c>
      <c r="J31" s="29">
        <f>H30</f>
        <v>0</v>
      </c>
      <c r="K31" s="29">
        <f>I30</f>
        <v>0</v>
      </c>
      <c r="L31" s="14" t="str">
        <f>M2</f>
        <v xml:space="preserve"> </v>
      </c>
    </row>
    <row r="32" spans="1:13">
      <c r="A32" s="30">
        <f>IF(A31=0,0,1)</f>
        <v>0</v>
      </c>
      <c r="B32" s="30">
        <f>IF(B31=0,0,1)</f>
        <v>0</v>
      </c>
      <c r="C32" s="30">
        <f>IF(C31=0,0,1)</f>
        <v>0</v>
      </c>
      <c r="D32" s="30">
        <v>1</v>
      </c>
      <c r="E32" s="30">
        <f>IF(E31=0,0,1)</f>
        <v>0</v>
      </c>
      <c r="F32" s="30">
        <f>IF(F31=0,0,1)</f>
        <v>0</v>
      </c>
      <c r="G32" s="30">
        <f>IF(G31=0,0,1)</f>
        <v>0</v>
      </c>
      <c r="H32" s="30">
        <v>1</v>
      </c>
      <c r="I32" s="30">
        <f>IF(I31=0,0,1)</f>
        <v>0</v>
      </c>
      <c r="J32" s="30">
        <f>IF(J31=0,0,1)</f>
        <v>0</v>
      </c>
      <c r="K32" s="30">
        <f>IF(K31=0,0,1)</f>
        <v>0</v>
      </c>
      <c r="L32" s="30">
        <v>1</v>
      </c>
    </row>
    <row r="33" spans="1:12">
      <c r="A33" s="31">
        <f>IF(L45=1,A31,A34)</f>
        <v>0</v>
      </c>
      <c r="B33" s="31">
        <f>IF(L44=2,B31,IF(L44=1,B34,IF(L44=0,B35)))</f>
        <v>0</v>
      </c>
      <c r="C33" s="31">
        <f>IF(L43=3,C31,IF(L43=2,D31,IF(L43=1,D35,IF(L43=0,C34))))</f>
        <v>0</v>
      </c>
      <c r="D33" s="31">
        <f>IF(L42=4,D31,IF(L42=3,D35,IF(L42=2,D34,IF(L42=1,D43))))</f>
        <v>0</v>
      </c>
      <c r="E33" s="31">
        <f>IF(L41=5,E31,IF(L41=4,E34,IF(L41=3,E39,IF(L41=2,E52,E49))))</f>
        <v>0</v>
      </c>
      <c r="F33" s="31">
        <f>IF(L40=6,F31,IF(L40=5,F34,IF(L40=4,F35,IF(L40=3,F37,IF(L40=2,F41,IF(L40=1,F44))))))</f>
        <v>0</v>
      </c>
      <c r="G33" s="31">
        <f>IF(L39=7,G31,IF(L39=6,H31,IF(L39=5,H34,IF(L39=4,G34,IF(L39=3,G38,IF(L39=2,G36,0))))))</f>
        <v>0</v>
      </c>
      <c r="H33" s="31">
        <f>IF(L38=8,H31,IF(L38=7,H34,IF(L38=6,H38,IF(L38=5,H43,IF(L38=4,H44,0)))))</f>
        <v>0</v>
      </c>
      <c r="I33" s="31">
        <f>IF(L37=9,I31,IF(L37=8,I34,IF(L37=7,I36,IF(L37=6,I37,0))))</f>
        <v>0</v>
      </c>
      <c r="J33" s="31">
        <f>IF(L36=10,J31,IF(L36=9,J34,IF(L36=8,J35,0)))</f>
        <v>0</v>
      </c>
      <c r="K33" s="31">
        <f>IF(L35=11,K31,IF(L35=10,L31,))</f>
        <v>0</v>
      </c>
      <c r="L33" s="31">
        <f>IF(L34=12,L31,0)</f>
        <v>0</v>
      </c>
    </row>
    <row r="34" spans="1:12">
      <c r="A34" s="11">
        <f>IF(B32=0,A35,B31)</f>
        <v>0</v>
      </c>
      <c r="B34" s="11" t="str">
        <f>IF(C32=0,D31,C31)</f>
        <v xml:space="preserve"> milyon</v>
      </c>
      <c r="C34" s="11">
        <f>IF(L48=3,G31,IF(L48=2,H31,IF(L48=1,H34,H41)))</f>
        <v>0</v>
      </c>
      <c r="D34" s="32">
        <f>IF(E31=0,D38,D40)</f>
        <v>0</v>
      </c>
      <c r="E34" s="33" t="str">
        <f>IF(L49=3,E35,E37)</f>
        <v xml:space="preserve"> min</v>
      </c>
      <c r="F34" s="11" t="str">
        <f>IF(G31=0,H31,G31)</f>
        <v xml:space="preserve"> min</v>
      </c>
      <c r="G34" s="33">
        <f>IF(L48=0,H41,G37)</f>
        <v>0</v>
      </c>
      <c r="H34" s="33" t="str">
        <f>IF(L47=0,L31,IF(L47=1,H35,IF(L47=2,H37,IF(L47=3,I31))))</f>
        <v xml:space="preserve"> </v>
      </c>
      <c r="I34" s="33" t="str">
        <f>IF(L46=1,L31,IF(L46=2,I35,IF(L46=3,J31)))</f>
        <v xml:space="preserve"> </v>
      </c>
      <c r="J34" s="11" t="str">
        <f>IF(K32=0,L31,K31)</f>
        <v xml:space="preserve"> </v>
      </c>
      <c r="K34" s="4"/>
      <c r="L34" s="34">
        <f>SUM(A32:L32)</f>
        <v>3</v>
      </c>
    </row>
    <row r="35" spans="1:12">
      <c r="A35" s="11">
        <f>IF(C31=0,A36,C31)</f>
        <v>0</v>
      </c>
      <c r="B35" s="11">
        <f>IF(C31=0,D34,D31)</f>
        <v>0</v>
      </c>
      <c r="C35" s="4"/>
      <c r="D35" s="11" t="str">
        <f>IF(E32=0,D36,E31)</f>
        <v xml:space="preserve"> </v>
      </c>
      <c r="E35" s="33" t="str">
        <f>IF(F32=0,E36,F31)</f>
        <v xml:space="preserve"> </v>
      </c>
      <c r="F35" s="35">
        <f>IF(L48=0,H38,F36)</f>
        <v>0</v>
      </c>
      <c r="G35" s="11">
        <f>IF(L48=0,H42,H41)</f>
        <v>0</v>
      </c>
      <c r="H35" s="14">
        <f>IF(I32=0,H36,I31)</f>
        <v>0</v>
      </c>
      <c r="I35" s="33">
        <f>IF(J32=0,K31,J31)</f>
        <v>0</v>
      </c>
      <c r="J35" s="11">
        <f>IF(K32=0,0,L31)</f>
        <v>0</v>
      </c>
      <c r="K35" s="4"/>
      <c r="L35" s="14">
        <f>SUM(A32:K32)</f>
        <v>2</v>
      </c>
    </row>
    <row r="36" spans="1:12">
      <c r="A36" s="11">
        <f>IF(E32=0,A37,E31)</f>
        <v>0</v>
      </c>
      <c r="B36" s="4"/>
      <c r="C36" s="4"/>
      <c r="D36" s="11" t="str">
        <f>IF(F32=0,D37,F31)</f>
        <v xml:space="preserve"> </v>
      </c>
      <c r="E36" s="33" t="str">
        <f>IF(G32=0,H34,G31)</f>
        <v xml:space="preserve"> </v>
      </c>
      <c r="F36" s="33" t="str">
        <f>IF(G32=0,H34,H31)</f>
        <v xml:space="preserve"> </v>
      </c>
      <c r="G36" s="11">
        <f>IF(L48=0,0,G39)</f>
        <v>0</v>
      </c>
      <c r="H36" s="14">
        <f>IF(J32=0,K31,J31)</f>
        <v>0</v>
      </c>
      <c r="I36" s="11">
        <f>IF(L46=3,K31,IF(L46=2,L31,IF(L46=1,0)))</f>
        <v>0</v>
      </c>
      <c r="J36" s="4"/>
      <c r="K36" s="4"/>
      <c r="L36" s="14">
        <f>SUM(A32:J32)</f>
        <v>2</v>
      </c>
    </row>
    <row r="37" spans="1:12">
      <c r="A37" s="11">
        <f>IF(F32=0,A38,F31)</f>
        <v>0</v>
      </c>
      <c r="B37" s="4"/>
      <c r="C37" s="4"/>
      <c r="D37" s="11" t="str">
        <f>IF(G32=0,H34,G31)</f>
        <v xml:space="preserve"> </v>
      </c>
      <c r="E37" s="33" t="str">
        <f>IF(F32=0,E38,F31)</f>
        <v xml:space="preserve"> min</v>
      </c>
      <c r="F37" s="11">
        <f>IF(L49=0,F38,F39)</f>
        <v>0</v>
      </c>
      <c r="G37" s="11">
        <f>IF(L49=0,H41,H38)</f>
        <v>0</v>
      </c>
      <c r="H37" s="11">
        <f>IF(I32=0,J31,I31)</f>
        <v>0</v>
      </c>
      <c r="I37" s="11">
        <f>IF(L49=0,0,I38)</f>
        <v>0</v>
      </c>
      <c r="J37" s="4"/>
      <c r="K37" s="4"/>
      <c r="L37" s="14">
        <f>SUM(A32:I32)</f>
        <v>2</v>
      </c>
    </row>
    <row r="38" spans="1:12">
      <c r="A38" s="11">
        <f>IF(G32=0,A39,G31)</f>
        <v>0</v>
      </c>
      <c r="B38" s="4"/>
      <c r="C38" s="4"/>
      <c r="D38" s="32">
        <f>IF(F31=0,D39,D42)</f>
        <v>0</v>
      </c>
      <c r="E38" s="33" t="str">
        <f>IF(G32=0,H31,G31)</f>
        <v xml:space="preserve"> min</v>
      </c>
      <c r="F38" s="11">
        <f>IF(G31=0,H41,H38)</f>
        <v>0</v>
      </c>
      <c r="G38" s="14">
        <f>IF(L49=0,H42,G35)</f>
        <v>0</v>
      </c>
      <c r="H38" s="32">
        <f>IF(L47=0,0,IF(L47=1,L31,IF(L47=2,H39,IF(L47=3,J31))))</f>
        <v>0</v>
      </c>
      <c r="I38" s="11">
        <f>IF(L48=0,0,I39)</f>
        <v>0</v>
      </c>
      <c r="J38" s="4"/>
      <c r="K38" s="4"/>
      <c r="L38" s="33">
        <f>SUM(A32:H32)</f>
        <v>2</v>
      </c>
    </row>
    <row r="39" spans="1:12">
      <c r="A39" s="11">
        <f>IF(I32=0,A40,I31)</f>
        <v>0</v>
      </c>
      <c r="B39" s="4"/>
      <c r="C39" s="4"/>
      <c r="D39" s="32">
        <f>IF(G31=0,H38,H31)</f>
        <v>0</v>
      </c>
      <c r="E39" s="14" t="str">
        <f>IF(L49=2,E40,E43)</f>
        <v xml:space="preserve"> </v>
      </c>
      <c r="F39" s="32">
        <f>IF(L48=0,H41,F40)</f>
        <v>0</v>
      </c>
      <c r="G39" s="11">
        <f>IF(L49=0,0,H42)</f>
        <v>0</v>
      </c>
      <c r="H39" s="11">
        <f>IF(I32=0,K31,H40)</f>
        <v>0</v>
      </c>
      <c r="I39" s="11">
        <f>IF(L47=3,L31,I40)</f>
        <v>0</v>
      </c>
      <c r="J39" s="4"/>
      <c r="K39" s="4"/>
      <c r="L39" s="11">
        <f>SUM(A32:G32)</f>
        <v>1</v>
      </c>
    </row>
    <row r="40" spans="1:12">
      <c r="A40" s="11">
        <f>IF(J32=0,A41,J31)</f>
        <v>0</v>
      </c>
      <c r="B40" s="4"/>
      <c r="C40" s="4"/>
      <c r="D40" s="32" t="str">
        <f>IF(F32=0,D41,F31)</f>
        <v xml:space="preserve"> min</v>
      </c>
      <c r="E40" s="11">
        <f>IF(F32=0,E41,E42)</f>
        <v>0</v>
      </c>
      <c r="F40" s="32">
        <f>IF(G32=0,H38,H34)</f>
        <v>0</v>
      </c>
      <c r="G40" s="4"/>
      <c r="H40" s="11">
        <f>IF(J32=0,K31,J31)</f>
        <v>0</v>
      </c>
      <c r="I40" s="11">
        <f>IF(L47=2,L31,0)</f>
        <v>0</v>
      </c>
      <c r="J40" s="4"/>
      <c r="K40" s="4"/>
      <c r="L40" s="11">
        <f>SUM(A32:F32)</f>
        <v>1</v>
      </c>
    </row>
    <row r="41" spans="1:12">
      <c r="A41" s="11">
        <f>IF(K32=0,0,K31)</f>
        <v>0</v>
      </c>
      <c r="B41" s="4"/>
      <c r="C41" s="4"/>
      <c r="D41" s="32" t="str">
        <f>IF(G32=0,H31,G31)</f>
        <v xml:space="preserve"> min</v>
      </c>
      <c r="E41" s="11">
        <f>IF(G32=0,H38,H31)</f>
        <v>0</v>
      </c>
      <c r="F41" s="14">
        <f>IF(L49=0,F43,F42)</f>
        <v>0</v>
      </c>
      <c r="G41" s="4"/>
      <c r="H41" s="32">
        <f>IF(L47=3,K31,IF(L47=2,L31,0))</f>
        <v>0</v>
      </c>
      <c r="I41" s="4"/>
      <c r="J41" s="4"/>
      <c r="K41" s="4"/>
      <c r="L41" s="33">
        <f>SUM(A32:E32)</f>
        <v>1</v>
      </c>
    </row>
    <row r="42" spans="1:12">
      <c r="A42" s="4"/>
      <c r="B42" s="4"/>
      <c r="C42" s="4"/>
      <c r="D42" s="32" t="str">
        <f>IF(G32=0,H31,G31)</f>
        <v xml:space="preserve"> min</v>
      </c>
      <c r="E42" s="11" t="str">
        <f>IF(G32=0,H31,G31)</f>
        <v xml:space="preserve"> min</v>
      </c>
      <c r="F42" s="14">
        <f>IF(G32=0,H41,H38)</f>
        <v>0</v>
      </c>
      <c r="G42" s="4"/>
      <c r="H42" s="33">
        <f>IF(L47=3,L31,0)</f>
        <v>0</v>
      </c>
      <c r="I42" s="4"/>
      <c r="J42" s="4"/>
      <c r="K42" s="4"/>
      <c r="L42" s="10">
        <f>SUM(A32:D32)</f>
        <v>1</v>
      </c>
    </row>
    <row r="43" spans="1:12">
      <c r="A43" s="4"/>
      <c r="B43" s="4"/>
      <c r="C43" s="4"/>
      <c r="D43" s="11">
        <f>IF(L48=3,H31,IF(L48=2,H34,IF(L48=1,H38,IF(L48=0,H42))))</f>
        <v>0</v>
      </c>
      <c r="E43" s="14" t="str">
        <f>IF(F32=0,E44,E45)</f>
        <v xml:space="preserve"> </v>
      </c>
      <c r="F43" s="14">
        <f>IF(G31=0,H42,H41)</f>
        <v>0</v>
      </c>
      <c r="G43" s="4"/>
      <c r="H43" s="14">
        <f>IF(L49=0,H42,H41)</f>
        <v>0</v>
      </c>
      <c r="I43" s="4"/>
      <c r="J43" s="4"/>
      <c r="K43" s="4"/>
      <c r="L43" s="10">
        <f>SUM(A32:C32)</f>
        <v>0</v>
      </c>
    </row>
    <row r="44" spans="1:12">
      <c r="A44" s="4"/>
      <c r="B44" s="4"/>
      <c r="C44" s="4"/>
      <c r="D44" s="4"/>
      <c r="E44" s="14" t="str">
        <f>IF(G32=0,H34,H31)</f>
        <v xml:space="preserve"> </v>
      </c>
      <c r="F44" s="14">
        <f>IF(G31=0,0,H42)</f>
        <v>0</v>
      </c>
      <c r="G44" s="4"/>
      <c r="H44" s="11">
        <f>IF(L49=0,0,H42)</f>
        <v>0</v>
      </c>
      <c r="I44" s="4"/>
      <c r="J44" s="4"/>
      <c r="K44" s="4"/>
      <c r="L44" s="10">
        <f>SUM(A32:B32)</f>
        <v>0</v>
      </c>
    </row>
    <row r="45" spans="1:12">
      <c r="A45" s="4"/>
      <c r="B45" s="4"/>
      <c r="C45" s="4"/>
      <c r="D45" s="4"/>
      <c r="E45" s="14" t="str">
        <f>IF(G32=0,H31,G31)</f>
        <v xml:space="preserve"> min</v>
      </c>
      <c r="F45" s="4"/>
      <c r="G45" s="4"/>
      <c r="H45" s="4"/>
      <c r="I45" s="4"/>
      <c r="J45" s="4"/>
      <c r="K45" s="4"/>
      <c r="L45" s="10">
        <f>SUM(A32)</f>
        <v>0</v>
      </c>
    </row>
    <row r="46" spans="1:12">
      <c r="A46" s="4"/>
      <c r="B46" s="4"/>
      <c r="C46" s="4"/>
      <c r="D46" s="4"/>
      <c r="E46" s="33">
        <f>IF(F32=0,E47,E48)</f>
        <v>0</v>
      </c>
      <c r="F46" s="4"/>
      <c r="G46" s="4"/>
      <c r="H46" s="4"/>
      <c r="I46" s="4"/>
      <c r="J46" s="4"/>
      <c r="K46" s="4"/>
      <c r="L46" s="11">
        <f>SUM(J32:L32)</f>
        <v>1</v>
      </c>
    </row>
    <row r="47" spans="1:12">
      <c r="A47" s="4"/>
      <c r="B47" s="4"/>
      <c r="C47" s="4"/>
      <c r="D47" s="4"/>
      <c r="E47" s="33">
        <f>IF(G32=0,H41,H34)</f>
        <v>0</v>
      </c>
      <c r="F47" s="4"/>
      <c r="G47" s="4"/>
      <c r="H47" s="4"/>
      <c r="I47" s="4"/>
      <c r="J47" s="4"/>
      <c r="K47" s="4"/>
      <c r="L47" s="33">
        <f>SUM(I32:K32)</f>
        <v>0</v>
      </c>
    </row>
    <row r="48" spans="1:12">
      <c r="A48" s="4"/>
      <c r="B48" s="4"/>
      <c r="C48" s="4"/>
      <c r="D48" s="4"/>
      <c r="E48" s="33" t="str">
        <f>IF(G31=0,H34,H31)</f>
        <v xml:space="preserve"> </v>
      </c>
      <c r="F48" s="4"/>
      <c r="G48" s="4"/>
      <c r="H48" s="4"/>
      <c r="I48" s="4"/>
      <c r="J48" s="4"/>
      <c r="K48" s="4"/>
      <c r="L48" s="10">
        <f>SUM(E32:G32)</f>
        <v>0</v>
      </c>
    </row>
    <row r="49" spans="1:12">
      <c r="A49" s="4"/>
      <c r="B49" s="4"/>
      <c r="C49" s="4"/>
      <c r="D49" s="4"/>
      <c r="E49" s="32">
        <f>IF(F31=0,E50,E51)</f>
        <v>0</v>
      </c>
      <c r="F49" s="4"/>
      <c r="G49" s="4"/>
      <c r="H49" s="4"/>
      <c r="I49" s="4"/>
      <c r="J49" s="4"/>
      <c r="K49" s="4"/>
      <c r="L49" s="33">
        <f>SUM(A32:C32)</f>
        <v>0</v>
      </c>
    </row>
    <row r="50" spans="1:12">
      <c r="A50" s="4"/>
      <c r="B50" s="4"/>
      <c r="C50" s="4"/>
      <c r="D50" s="4"/>
      <c r="E50" s="32">
        <f>IF(G31=0,0,H41)</f>
        <v>0</v>
      </c>
      <c r="F50" s="4"/>
      <c r="G50" s="4"/>
      <c r="H50" s="4"/>
      <c r="I50" s="4"/>
      <c r="J50" s="4"/>
      <c r="K50" s="4"/>
      <c r="L50" s="4"/>
    </row>
    <row r="51" spans="1:12">
      <c r="A51" s="4"/>
      <c r="B51" s="4"/>
      <c r="C51" s="4"/>
      <c r="D51" s="4"/>
      <c r="E51" s="32">
        <f>IF(G32=0,H41,H38)</f>
        <v>0</v>
      </c>
      <c r="F51" s="4"/>
      <c r="G51" s="4"/>
      <c r="H51" s="4"/>
      <c r="I51" s="4"/>
      <c r="J51" s="4"/>
      <c r="K51" s="4"/>
      <c r="L51" s="4"/>
    </row>
    <row r="52" spans="1:12">
      <c r="A52" s="4"/>
      <c r="B52" s="4"/>
      <c r="C52" s="4"/>
      <c r="D52" s="4"/>
      <c r="E52" s="33">
        <f>IF(L49=0,E53,E46)</f>
        <v>0</v>
      </c>
      <c r="F52" s="4"/>
      <c r="G52" s="4"/>
      <c r="H52" s="4"/>
      <c r="I52" s="4"/>
      <c r="J52" s="4"/>
      <c r="K52" s="4"/>
      <c r="L52" s="4"/>
    </row>
    <row r="53" spans="1:12">
      <c r="A53" s="4"/>
      <c r="B53" s="4"/>
      <c r="C53" s="4"/>
      <c r="D53" s="4"/>
      <c r="E53" s="33">
        <f>IF(L48=3,H34,IF(L48=2,H38,IF(L48=1,H41,0)))</f>
        <v>0</v>
      </c>
      <c r="F53" s="4"/>
      <c r="G53" s="4"/>
      <c r="H53" s="4"/>
      <c r="I53" s="4"/>
      <c r="J53" s="4"/>
      <c r="K53" s="4"/>
      <c r="L53" s="4"/>
    </row>
    <row r="54" spans="1:12">
      <c r="A54" s="8">
        <f t="shared" ref="A54:L54" si="2">LEN(A33)</f>
        <v>1</v>
      </c>
      <c r="B54" s="8">
        <f t="shared" si="2"/>
        <v>1</v>
      </c>
      <c r="C54" s="8">
        <f t="shared" si="2"/>
        <v>1</v>
      </c>
      <c r="D54" s="8">
        <f t="shared" si="2"/>
        <v>1</v>
      </c>
      <c r="E54" s="8">
        <f t="shared" si="2"/>
        <v>1</v>
      </c>
      <c r="F54" s="8">
        <f t="shared" si="2"/>
        <v>1</v>
      </c>
      <c r="G54" s="8">
        <f t="shared" si="2"/>
        <v>1</v>
      </c>
      <c r="H54" s="8">
        <f t="shared" si="2"/>
        <v>1</v>
      </c>
      <c r="I54" s="8">
        <f t="shared" si="2"/>
        <v>1</v>
      </c>
      <c r="J54" s="8">
        <f t="shared" si="2"/>
        <v>1</v>
      </c>
      <c r="K54" s="8">
        <f t="shared" si="2"/>
        <v>1</v>
      </c>
      <c r="L54" s="8">
        <f t="shared" si="2"/>
        <v>1</v>
      </c>
    </row>
    <row r="55" spans="1:12">
      <c r="A55" s="11"/>
      <c r="B55" s="11"/>
      <c r="C55" s="11"/>
      <c r="D55" s="11"/>
      <c r="E55" s="11">
        <f>SUM(A54:E54)</f>
        <v>5</v>
      </c>
      <c r="F55" s="11">
        <f>SUM(A54:F54)</f>
        <v>6</v>
      </c>
      <c r="G55" s="11">
        <f>SUM(A54:G54)</f>
        <v>7</v>
      </c>
      <c r="H55" s="11">
        <f>SUM(A54:H54)</f>
        <v>8</v>
      </c>
      <c r="I55" s="11">
        <f>SUM(A54:I54)</f>
        <v>9</v>
      </c>
      <c r="J55" s="11">
        <f>SUM(A54:J54)</f>
        <v>10</v>
      </c>
      <c r="K55" s="11">
        <f>SUM(A54:K54)</f>
        <v>11</v>
      </c>
      <c r="L55" s="11">
        <f>SUM(A54:L54)</f>
        <v>12</v>
      </c>
    </row>
    <row r="56" spans="1:12">
      <c r="A56" s="10" t="str">
        <f>IF(A33=0,"    ",A33)</f>
        <v xml:space="preserve">    </v>
      </c>
      <c r="B56" s="10" t="str">
        <f>IF(B33=0,"    ",B33)</f>
        <v xml:space="preserve">    </v>
      </c>
      <c r="C56" s="10" t="str">
        <f t="shared" ref="C56:K56" si="3">IF(C33=0," ",C33)</f>
        <v xml:space="preserve"> </v>
      </c>
      <c r="D56" s="10" t="str">
        <f t="shared" si="3"/>
        <v xml:space="preserve"> </v>
      </c>
      <c r="E56" s="10" t="str">
        <f t="shared" si="3"/>
        <v xml:space="preserve"> </v>
      </c>
      <c r="F56" s="10" t="str">
        <f t="shared" si="3"/>
        <v xml:space="preserve"> </v>
      </c>
      <c r="G56" s="10" t="str">
        <f t="shared" si="3"/>
        <v xml:space="preserve"> </v>
      </c>
      <c r="H56" s="10" t="str">
        <f t="shared" si="3"/>
        <v xml:space="preserve"> </v>
      </c>
      <c r="I56" s="10" t="str">
        <f t="shared" si="3"/>
        <v xml:space="preserve"> </v>
      </c>
      <c r="J56" s="10" t="str">
        <f t="shared" si="3"/>
        <v xml:space="preserve"> </v>
      </c>
      <c r="K56" s="10" t="str">
        <f t="shared" si="3"/>
        <v xml:space="preserve"> </v>
      </c>
      <c r="L56" s="10" t="str">
        <f>IF(B61=0,"    ",B61)</f>
        <v>qəp.</v>
      </c>
    </row>
    <row r="57" spans="1:12">
      <c r="A57" s="10" t="str">
        <f>CONCATENATE(D57,A56,B56,C56,D56,E56,F56,G56,H56,I56,J56,L56,K56)</f>
        <v xml:space="preserve">Man.                  qəp. </v>
      </c>
      <c r="B57" s="10"/>
      <c r="C57" s="10"/>
      <c r="D57" s="10" t="s">
        <v>82</v>
      </c>
      <c r="E57" s="10"/>
      <c r="F57" s="10"/>
      <c r="G57" s="10"/>
      <c r="H57" s="10"/>
      <c r="I57" s="10"/>
      <c r="J57" s="10"/>
      <c r="K57" s="10"/>
      <c r="L57" s="10"/>
    </row>
    <row r="58" spans="1:12">
      <c r="A58" s="36"/>
      <c r="B58" s="37">
        <f>ROUND(A58,0)</f>
        <v>0</v>
      </c>
    </row>
    <row r="59" spans="1:12">
      <c r="A59" s="6" t="s">
        <v>83</v>
      </c>
      <c r="B59" s="38">
        <f>M13/6</f>
        <v>0</v>
      </c>
      <c r="C59" s="6" t="s">
        <v>84</v>
      </c>
      <c r="D59" s="39"/>
    </row>
    <row r="60" spans="1:12">
      <c r="A60" s="13" t="str">
        <f>CONCATENATE(A59,B59,C59)</f>
        <v>в том числе НДС0ман.</v>
      </c>
      <c r="D60" s="39"/>
    </row>
    <row r="61" spans="1:12">
      <c r="A61" s="6">
        <f>(M5-M8)*100</f>
        <v>0</v>
      </c>
      <c r="B61" s="6" t="s">
        <v>85</v>
      </c>
      <c r="D61" s="39"/>
    </row>
    <row r="62" spans="1:12">
      <c r="A62" s="19">
        <f>M11</f>
        <v>0</v>
      </c>
      <c r="B62" s="12">
        <f>M12/6</f>
        <v>0</v>
      </c>
      <c r="D62" s="39"/>
    </row>
    <row r="63" spans="1:12">
      <c r="A63" s="40" t="str">
        <f>CONCATENATE(B62,C59)</f>
        <v>0ман.</v>
      </c>
    </row>
    <row r="64" spans="1:12">
      <c r="A64" s="6" t="str">
        <f>CONCATENATE(A56,B56)</f>
        <v xml:space="preserve">        </v>
      </c>
      <c r="L64" s="6" t="str">
        <f>IF(L33=0,"    ",L33)</f>
        <v xml:space="preserve">    </v>
      </c>
    </row>
  </sheetData>
  <sheetProtection sheet="1" objects="1" scenarios="1"/>
  <phoneticPr fontId="5" type="noConversion"/>
  <pageMargins left="0.75" right="0.75" top="1" bottom="1" header="0.5" footer="0.5"/>
  <pageSetup paperSize="9" orientation="portrait" r:id="rId1"/>
  <headerFooter alignWithMargin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codeName="Sheet10"/>
  <dimension ref="A1:P64"/>
  <sheetViews>
    <sheetView topLeftCell="A43" workbookViewId="0"/>
  </sheetViews>
  <sheetFormatPr defaultRowHeight="12.75"/>
  <cols>
    <col min="1" max="1" width="35" style="6" customWidth="1"/>
    <col min="2" max="2" width="11.140625" style="6" customWidth="1"/>
    <col min="3" max="3" width="13.28515625" style="6" customWidth="1"/>
    <col min="4" max="4" width="13.5703125" style="6" customWidth="1"/>
    <col min="5" max="5" width="12.42578125" style="6" customWidth="1"/>
    <col min="6" max="6" width="12.7109375" style="6" customWidth="1"/>
    <col min="7" max="7" width="10.28515625" style="6" customWidth="1"/>
    <col min="8" max="8" width="13.28515625" style="6" customWidth="1"/>
    <col min="9" max="9" width="10.5703125" style="6" customWidth="1"/>
    <col min="10" max="11" width="7.5703125" style="6" customWidth="1"/>
    <col min="12" max="12" width="6.7109375" style="6" customWidth="1"/>
    <col min="13" max="13" width="18.140625" style="6" customWidth="1"/>
    <col min="14" max="14" width="8.42578125" style="6" customWidth="1"/>
    <col min="15" max="15" width="9.140625" style="6"/>
    <col min="16" max="16" width="8.42578125" style="6" customWidth="1"/>
    <col min="17" max="16384" width="9.140625" style="6"/>
  </cols>
  <sheetData>
    <row r="1" spans="1:16" ht="13.5" thickBot="1">
      <c r="A1" s="2" t="e">
        <f>M8</f>
        <v>#REF!</v>
      </c>
      <c r="B1" s="3"/>
      <c r="C1" s="3"/>
      <c r="D1" s="3"/>
      <c r="E1" s="3"/>
      <c r="F1" s="3"/>
      <c r="G1" s="3"/>
      <c r="H1" s="3"/>
      <c r="I1" s="3"/>
      <c r="J1" s="4"/>
      <c r="K1" s="5"/>
      <c r="L1" s="4"/>
    </row>
    <row r="2" spans="1:16">
      <c r="A2" s="7" t="e">
        <f>(MOD(A1,1000000000)-MOD(A1,100000000))/100000000</f>
        <v>#REF!</v>
      </c>
      <c r="B2" s="7" t="e">
        <f>(MOD(A1,100000000)-MOD(A1,10000000))/10000000</f>
        <v>#REF!</v>
      </c>
      <c r="C2" s="7" t="e">
        <f>(MOD(A1,10000000)-MOD(A1,1000000))/1000000</f>
        <v>#REF!</v>
      </c>
      <c r="D2" s="7" t="e">
        <f>(MOD(A1,1000000)-MOD(A1,100000))/100000</f>
        <v>#REF!</v>
      </c>
      <c r="E2" s="7" t="e">
        <f>(MOD(A1,100000)-MOD(A1,10000))/10000</f>
        <v>#REF!</v>
      </c>
      <c r="F2" s="7" t="e">
        <f>(MOD(A1,10000)-MOD(A1,1000))/1000</f>
        <v>#REF!</v>
      </c>
      <c r="G2" s="7" t="e">
        <f>(MOD(A1,1000)-MOD(A1,100))/100</f>
        <v>#REF!</v>
      </c>
      <c r="H2" s="7" t="e">
        <f>(MOD(A1,100)-MOD(A1,10))/10</f>
        <v>#REF!</v>
      </c>
      <c r="I2" s="7" t="e">
        <f>MOD(A1,10)</f>
        <v>#REF!</v>
      </c>
      <c r="J2" s="4"/>
      <c r="K2" s="5"/>
      <c r="L2" s="4"/>
      <c r="M2" s="6" t="e">
        <f>IF(H2=1," ",IF(I2=1," ",IF(N2=TRUE," "," ")))</f>
        <v>#REF!</v>
      </c>
      <c r="N2" s="6" t="e">
        <f>OR(I2=2,I2=3,I2=4)</f>
        <v>#REF!</v>
      </c>
      <c r="P2" s="6" t="b">
        <f>OR(K2=2,K2=3,K2=4)</f>
        <v>0</v>
      </c>
    </row>
    <row r="3" spans="1:16">
      <c r="A3" s="8" t="e">
        <f>IF(A2=0,0,A5)</f>
        <v>#REF!</v>
      </c>
      <c r="B3" s="8" t="e">
        <f t="shared" ref="B3:I3" si="0">IF(B2=0,0,B4)</f>
        <v>#REF!</v>
      </c>
      <c r="C3" s="9" t="e">
        <f t="shared" si="0"/>
        <v>#REF!</v>
      </c>
      <c r="D3" s="8" t="e">
        <f t="shared" si="0"/>
        <v>#REF!</v>
      </c>
      <c r="E3" s="8" t="e">
        <f t="shared" si="0"/>
        <v>#REF!</v>
      </c>
      <c r="F3" s="9" t="e">
        <f t="shared" si="0"/>
        <v>#REF!</v>
      </c>
      <c r="G3" s="8" t="e">
        <f t="shared" si="0"/>
        <v>#REF!</v>
      </c>
      <c r="H3" s="8" t="e">
        <f t="shared" si="0"/>
        <v>#REF!</v>
      </c>
      <c r="I3" s="9" t="e">
        <f t="shared" si="0"/>
        <v>#REF!</v>
      </c>
      <c r="J3" s="4"/>
      <c r="K3" s="5"/>
      <c r="L3" s="4"/>
      <c r="M3" s="6" t="e">
        <f>IF(E2=1," min",IF(F2=1," min",IF(N3=TRUE," min"," min")))</f>
        <v>#REF!</v>
      </c>
      <c r="N3" s="6" t="e">
        <f>OR(F2=2,F2=3,F2=4)</f>
        <v>#REF!</v>
      </c>
      <c r="P3" s="6" t="e">
        <f>OR(H2=2,H2=3,H2=4)</f>
        <v>#REF!</v>
      </c>
    </row>
    <row r="4" spans="1:16">
      <c r="A4" s="10"/>
      <c r="B4" s="10" t="e">
        <f>IF(A1&gt;99999999,B5,B6)</f>
        <v>#REF!</v>
      </c>
      <c r="C4" s="10" t="e">
        <f>IF(B2=1,0,C5)</f>
        <v>#REF!</v>
      </c>
      <c r="D4" s="10" t="e">
        <f>IF(A1&gt;999999,D5,D7)</f>
        <v>#REF!</v>
      </c>
      <c r="E4" s="10" t="e">
        <f>IF(A1&gt;99999,E5,E6)</f>
        <v>#REF!</v>
      </c>
      <c r="F4" s="10" t="e">
        <f>IF(E2=1,0,F5)</f>
        <v>#REF!</v>
      </c>
      <c r="G4" s="10" t="e">
        <f>IF(A1&gt;999,G5,G7)</f>
        <v>#REF!</v>
      </c>
      <c r="H4" s="10" t="e">
        <f>IF(A1&gt;99,H5,H6)</f>
        <v>#REF!</v>
      </c>
      <c r="I4" s="10" t="e">
        <f>IF(H2=1,0,I5)</f>
        <v>#REF!</v>
      </c>
      <c r="J4" s="4"/>
      <c r="K4" s="5"/>
      <c r="L4" s="4"/>
      <c r="M4" s="6" t="e">
        <f>IF(B2=1," milyon",IF(C2=1," milyon",IF(N4=TRUE," milyon"," milyon")))</f>
        <v>#REF!</v>
      </c>
      <c r="N4" s="6" t="e">
        <f>OR(C2=2,C2=3,C2=4)</f>
        <v>#REF!</v>
      </c>
      <c r="P4" s="6" t="e">
        <f>OR(E2=2,E2=3,E2=4)</f>
        <v>#REF!</v>
      </c>
    </row>
    <row r="5" spans="1:16">
      <c r="A5" s="11" t="e">
        <f>IF(A2=1,H20,IF(A2=2,H21,IF(A2=3,H22,IF(A2=4,H23,IF(A2=5,H24,IF(A2=6,H25,IF(A2=7,H26,IF(A2&gt;7,A6))))))))</f>
        <v>#REF!</v>
      </c>
      <c r="B5" s="10" t="e">
        <f>IF(B2=1,B7,B11)</f>
        <v>#REF!</v>
      </c>
      <c r="C5" s="10" t="e">
        <f>IF(A1&gt;9999999,C6,C7)</f>
        <v>#REF!</v>
      </c>
      <c r="D5" s="11" t="e">
        <f>IF(D2=1,I20,IF(D2=2,I21,IF(D2=3,I22,IF(D2=4,I23,IF(D2=5,I24,IF(D2=6,I25,IF(D2=7,I26,IF(D2&gt;7,D6))))))))</f>
        <v>#REF!</v>
      </c>
      <c r="E5" s="10" t="e">
        <f>IF(E2=1,E7,E11)</f>
        <v>#REF!</v>
      </c>
      <c r="F5" s="10" t="e">
        <f>IF(A1&gt;9999,F6,F7)</f>
        <v>#REF!</v>
      </c>
      <c r="G5" s="11" t="e">
        <f>IF(G2=1,I20,IF(G2=2,I21,IF(G2=3,I22,IF(G2=4,I23,IF(G2=5,I24,IF(G2=6,I25,IF(G2=7,I26,IF(G2&gt;7,G6))))))))</f>
        <v>#REF!</v>
      </c>
      <c r="H5" s="10" t="e">
        <f>IF(H2=1,H7,H11)</f>
        <v>#REF!</v>
      </c>
      <c r="I5" s="10" t="e">
        <f>IF(A1&gt;9,I6,I7)</f>
        <v>#REF!</v>
      </c>
      <c r="J5" s="4"/>
      <c r="K5" s="5"/>
      <c r="L5" s="4"/>
      <c r="M5" s="12" t="e">
        <f>#REF!</f>
        <v>#REF!</v>
      </c>
    </row>
    <row r="6" spans="1:16">
      <c r="A6" s="11" t="e">
        <f>IF(A2=8,H27,IF(A2=9,H28))</f>
        <v>#REF!</v>
      </c>
      <c r="B6" s="10" t="e">
        <f>IF(B2=1,B9,B12)</f>
        <v>#REF!</v>
      </c>
      <c r="C6" s="10" t="e">
        <f>IF(C2=1,B20,IF(C2=2,B21,IF(C2=3,B22,IF(C2=4,B23,IF(C2=5,B24,IF(C2=6,B25,IF(C2=7,B26,IF(C2&gt;7,C8))))))))</f>
        <v>#REF!</v>
      </c>
      <c r="D6" s="11" t="e">
        <f>IF(D2=8,I27,IF(D2=9,I28))</f>
        <v>#REF!</v>
      </c>
      <c r="E6" s="10" t="e">
        <f>IF(E2=1,E9,E12)</f>
        <v>#REF!</v>
      </c>
      <c r="F6" s="10" t="e">
        <f>IF(F2=1,G22,IF(F2=2,G23,IF(F2=3,B22,IF(F2=4,B23,IF(F2=5,B24,IF(F2=6,B25,IF(F2=7,B26,IF(F2&gt;7,F8))))))))</f>
        <v>#REF!</v>
      </c>
      <c r="G6" s="11" t="e">
        <f>IF(G2=8,I27,IF(G2=9,I28))</f>
        <v>#REF!</v>
      </c>
      <c r="H6" s="10" t="e">
        <f>IF(H2=1,H9,H12)</f>
        <v>#REF!</v>
      </c>
      <c r="I6" s="10" t="e">
        <f>IF(I2=1,B20,IF(I2=2,B21,IF(I2=3,B22,IF(I2=4,B23,IF(I2=5,B24,IF(I2=6,B25,IF(I2=7,B26,IF(I2&gt;7,I8))))))))</f>
        <v>#REF!</v>
      </c>
      <c r="J6" s="4"/>
      <c r="K6" s="5"/>
      <c r="L6" s="4"/>
      <c r="M6" s="13" t="e">
        <f>CONCATENATE(M8,M9,M11)</f>
        <v>#REF!</v>
      </c>
    </row>
    <row r="7" spans="1:16">
      <c r="A7" s="4"/>
      <c r="B7" s="11" t="e">
        <f>IF(C2=0,F20,IF(C2=1,D20,IF(C2=2,D21,IF(C2=3,D22,IF(C2=4,D23,IF(C2=5,D24,IF(C2=6,D25,IF(C2&gt;6,B8))))))))</f>
        <v>#REF!</v>
      </c>
      <c r="C7" s="10" t="e">
        <f>IF(C2=1,A20,IF(C2=2,A21,IF(C2=3,A22,IF(C2=4,A23,IF(C2=5,A24,IF(C2=6,A25,IF(C2=7,A26,IF(C2&gt;7,C9))))))))</f>
        <v>#REF!</v>
      </c>
      <c r="D7" s="14" t="e">
        <f>IF(D2=1,H20,IF(D2=2,H21,IF(D2=3,H22,IF(D2=4,H23,IF(D2=5,H24,IF(D2=6,H25,IF(D2=7,H26,IF(D2&gt;7,D8))))))))</f>
        <v>#REF!</v>
      </c>
      <c r="E7" s="11" t="e">
        <f>IF(F2=0,F20,IF(F2=1,D20,IF(F2=2,D21,IF(F2=3,D22,IF(F2=4,D23,IF(F2=5,D24,IF(F2=6,D25,IF(F2&gt;6,E8))))))))</f>
        <v>#REF!</v>
      </c>
      <c r="F7" s="10" t="e">
        <f>IF(F2=1,G20,IF(F2=2,G21,IF(F2=3,A22,IF(F2=4,A23,IF(F2=5,A24,IF(F2=6,A25,IF(F2=7,A26,IF(F2&gt;7,F9))))))))</f>
        <v>#REF!</v>
      </c>
      <c r="G7" s="14" t="e">
        <f>IF(G2=1,H20,IF(G2=2,H21,IF(G2=3,H22,IF(G2=4,H23,IF(G2=5,H24,IF(G2=6,H25,IF(G2=7,H26,IF(G2&gt;7,G8))))))))</f>
        <v>#REF!</v>
      </c>
      <c r="H7" s="11" t="e">
        <f>IF(I2=0,F20,IF(I2=1,D20,IF(I2=2,D21,IF(I2=3,D22,IF(I2=4,D23,IF(I2=5,D24,IF(I2=6,D25,IF(I2&gt;6,H8))))))))</f>
        <v>#REF!</v>
      </c>
      <c r="I7" s="10" t="e">
        <f>IF(I2=1,A20,IF(I2=2,A21,IF(I2=3,A22,IF(I2=4,A23,IF(I2=5,A24,IF(I2=6,A25,IF(I2=7,A26,IF(I2&gt;7,I9))))))))</f>
        <v>#REF!</v>
      </c>
      <c r="J7" s="4"/>
      <c r="K7" s="5"/>
      <c r="L7" s="4"/>
      <c r="M7" s="15"/>
    </row>
    <row r="8" spans="1:16">
      <c r="A8" s="4"/>
      <c r="B8" s="11" t="e">
        <f>IF(C2=7,D26,IF(C2=8,D27,IF(C2=9,D28)))</f>
        <v>#REF!</v>
      </c>
      <c r="C8" s="10" t="e">
        <f>IF(C2=8,B27,IF(C2=9,B28))</f>
        <v>#REF!</v>
      </c>
      <c r="D8" s="14" t="e">
        <f>IF(D2=8,H27,IF(D2=9,H28))</f>
        <v>#REF!</v>
      </c>
      <c r="E8" s="11" t="e">
        <f>IF(F2=7,D26,IF(F2=8,D27,IF(F2=9,D28)))</f>
        <v>#REF!</v>
      </c>
      <c r="F8" s="10" t="e">
        <f>IF(F2=8,B27,IF(F2=9,B28))</f>
        <v>#REF!</v>
      </c>
      <c r="G8" s="14" t="e">
        <f>IF(G2=8,H27,IF(G2=9,H28))</f>
        <v>#REF!</v>
      </c>
      <c r="H8" s="11" t="e">
        <f>IF(I2=7,D26,IF(I2=8,D27,IF(I2=9,D28)))</f>
        <v>#REF!</v>
      </c>
      <c r="I8" s="10" t="e">
        <f>IF(I2=8,B27,IF(I2=9,B28))</f>
        <v>#REF!</v>
      </c>
      <c r="J8" s="4"/>
      <c r="K8" s="5"/>
      <c r="L8" s="4"/>
      <c r="M8" s="16" t="e">
        <f>TRUNC(M5,0)</f>
        <v>#REF!</v>
      </c>
    </row>
    <row r="9" spans="1:16">
      <c r="A9" s="4"/>
      <c r="B9" s="14" t="e">
        <f>IF(C2=0,E20,IF(C2=1,C20,IF(C2=2,C21,IF(C2=3,C22,IF(C2=4,C23,IF(C2=5,C24,IF(C2=6,C25,IF(C2&gt;6,B10))))))))</f>
        <v>#REF!</v>
      </c>
      <c r="C9" s="10" t="e">
        <f>IF(C2=8,A27,IF(C2=9,A28))</f>
        <v>#REF!</v>
      </c>
      <c r="D9" s="4"/>
      <c r="E9" s="14" t="e">
        <f>IF(F2=0,E20,IF(F2=1,C20,IF(F2=2,C21,IF(F2=3,C22,IF(F2=4,C23,IF(F2=5,C24,IF(F2=6,C25,IF(F2&gt;6,E10))))))))</f>
        <v>#REF!</v>
      </c>
      <c r="F9" s="10" t="e">
        <f>IF(F2=8,A27,IF(F2=9,A28))</f>
        <v>#REF!</v>
      </c>
      <c r="G9" s="4"/>
      <c r="H9" s="14" t="e">
        <f>IF(I2=0,E20,IF(I2=1,C20,IF(I2=2,C21,IF(I2=3,C22,IF(I2=4,C23,IF(I2=5,C24,IF(I2=6,C25,IF(I2&gt;6,H10))))))))</f>
        <v>#REF!</v>
      </c>
      <c r="I9" s="10" t="e">
        <f>IF(I2=8,A27,IF(I2=9,A28))</f>
        <v>#REF!</v>
      </c>
      <c r="J9" s="4"/>
      <c r="K9" s="5"/>
      <c r="L9" s="4"/>
      <c r="M9" s="17" t="s">
        <v>9</v>
      </c>
    </row>
    <row r="10" spans="1:16">
      <c r="A10" s="4"/>
      <c r="B10" s="14" t="e">
        <f>IF(C2=7,C26,IF(C2=8,C27,IF(C2=9,C28)))</f>
        <v>#REF!</v>
      </c>
      <c r="C10" s="4"/>
      <c r="D10" s="4"/>
      <c r="E10" s="14" t="e">
        <f>IF(F2=7,C26,IF(F2=8,C27,IF(F2=9,C28)))</f>
        <v>#REF!</v>
      </c>
      <c r="F10" s="4"/>
      <c r="G10" s="4"/>
      <c r="H10" s="14" t="e">
        <f>IF(I2=7,C26,IF(I2=8,C27,IF(I2=9,C28)))</f>
        <v>#REF!</v>
      </c>
      <c r="I10" s="4"/>
      <c r="J10" s="4"/>
      <c r="K10" s="5"/>
      <c r="L10" s="4"/>
      <c r="M10" s="18" t="e">
        <f>(M5-M8)*100</f>
        <v>#REF!</v>
      </c>
    </row>
    <row r="11" spans="1:16">
      <c r="A11" s="4"/>
      <c r="B11" s="11" t="e">
        <f>IF(B2=2,F21,IF(B2=3,F22,IF(B2=4,F23,IF(B2=5,F24,IF(B2=6,F25,IF(B2=7,F26,IF(B2=8,F27,IF(B2=9,F28))))))))</f>
        <v>#REF!</v>
      </c>
      <c r="C11" s="4"/>
      <c r="D11" s="4"/>
      <c r="E11" s="11" t="e">
        <f>IF(E2=2,F21,IF(E2=3,F22,IF(E2=4,F23,IF(E2=5,F24,IF(E2=6,F25,IF(E2=7,F26,IF(E2=8,F27,IF(E2=9,F28))))))))</f>
        <v>#REF!</v>
      </c>
      <c r="F11" s="4"/>
      <c r="G11" s="4"/>
      <c r="H11" s="11" t="e">
        <f>IF(H2=2,F21,IF(H2=3,F22,IF(H2=4,F23,IF(H2=5,F24,IF(H2=6,F25,IF(H2=7,F26,IF(H2=8,F27,IF(H2=9,F28))))))))</f>
        <v>#REF!</v>
      </c>
      <c r="I11" s="4"/>
      <c r="J11" s="4"/>
      <c r="K11" s="5"/>
      <c r="L11" s="4"/>
      <c r="M11" s="19"/>
    </row>
    <row r="12" spans="1:16">
      <c r="A12" s="4"/>
      <c r="B12" s="14" t="e">
        <f>IF(B2=2,E21,IF(B2=3,E22,IF(B2=4,E23,IF(B2=5,E24,IF(B2=6,E25,IF(B2=7,E26,IF(B2=8,E27,IF(B2=9,E28))))))))</f>
        <v>#REF!</v>
      </c>
      <c r="C12" s="4"/>
      <c r="D12" s="4"/>
      <c r="E12" s="14" t="e">
        <f>IF(E2=2,E21,IF(E2=3,E22,IF(E2=4,E23,IF(E2=5,E24,IF(E2=6,E25,IF(E2=7,E26,IF(E2=8,E27,IF(E2=9,E28))))))))</f>
        <v>#REF!</v>
      </c>
      <c r="F12" s="4"/>
      <c r="G12" s="4"/>
      <c r="H12" s="14" t="e">
        <f>IF(H2=2,E21,IF(H2=3,E22,IF(H2=4,E23,IF(H2=5,E24,IF(H2=6,E25,IF(H2=7,E26,IF(H2=8,E27,IF(H2=9,E28))))))))</f>
        <v>#REF!</v>
      </c>
      <c r="I12" s="4"/>
      <c r="J12" s="4"/>
      <c r="K12" s="5"/>
      <c r="L12" s="4"/>
      <c r="M12" s="12"/>
    </row>
    <row r="13" spans="1:16">
      <c r="A13" s="4"/>
      <c r="B13" s="4"/>
      <c r="C13" s="4"/>
      <c r="D13" s="4"/>
      <c r="E13" s="4"/>
      <c r="F13" s="4"/>
      <c r="G13" s="4"/>
      <c r="H13" s="4"/>
      <c r="I13" s="4"/>
      <c r="J13" s="4"/>
      <c r="K13" s="5"/>
      <c r="L13" s="4"/>
      <c r="M13" s="6" t="e">
        <f>M5+M11/100</f>
        <v>#REF!</v>
      </c>
    </row>
    <row r="14" spans="1:16">
      <c r="A14" s="4"/>
      <c r="B14" s="4"/>
      <c r="C14" s="4"/>
      <c r="D14" s="4"/>
      <c r="E14" s="4"/>
      <c r="F14" s="4"/>
      <c r="G14" s="4"/>
      <c r="H14" s="4"/>
      <c r="I14" s="4"/>
      <c r="J14" s="4"/>
      <c r="K14" s="5"/>
      <c r="L14" s="4"/>
      <c r="M14" s="20" t="e">
        <f>M13/6</f>
        <v>#REF!</v>
      </c>
    </row>
    <row r="15" spans="1:16">
      <c r="A15" s="4"/>
      <c r="B15" s="4"/>
      <c r="C15" s="4"/>
      <c r="D15" s="4"/>
      <c r="E15" s="4"/>
      <c r="F15" s="4"/>
      <c r="G15" s="4"/>
      <c r="H15" s="4"/>
      <c r="I15" s="4"/>
      <c r="J15" s="4"/>
      <c r="K15" s="5"/>
      <c r="L15" s="4"/>
      <c r="M15" s="21" t="e">
        <f>M13/6</f>
        <v>#REF!</v>
      </c>
    </row>
    <row r="16" spans="1:16">
      <c r="A16" s="4"/>
      <c r="B16" s="4"/>
      <c r="C16" s="4"/>
      <c r="D16" s="4"/>
      <c r="E16" s="4"/>
      <c r="F16" s="4"/>
      <c r="G16" s="4"/>
      <c r="H16" s="4"/>
      <c r="I16" s="4"/>
      <c r="J16" s="4"/>
      <c r="K16" s="5"/>
      <c r="L16" s="4"/>
      <c r="M16" s="22" t="e">
        <f>TRUNC(M15,0)</f>
        <v>#REF!</v>
      </c>
    </row>
    <row r="17" spans="1:13">
      <c r="A17" s="4"/>
      <c r="B17" s="4"/>
      <c r="C17" s="4"/>
      <c r="D17" s="4"/>
      <c r="E17" s="4"/>
      <c r="F17" s="4"/>
      <c r="G17" s="4"/>
      <c r="H17" s="4"/>
      <c r="I17" s="4"/>
      <c r="J17" s="4"/>
      <c r="K17" s="5"/>
      <c r="L17" s="4"/>
      <c r="M17" s="23" t="e">
        <f>M16</f>
        <v>#REF!</v>
      </c>
    </row>
    <row r="18" spans="1:13">
      <c r="A18" s="4"/>
      <c r="B18" s="4"/>
      <c r="C18" s="4"/>
      <c r="D18" s="4"/>
      <c r="E18" s="4"/>
      <c r="F18" s="4"/>
      <c r="G18" s="4"/>
      <c r="H18" s="4"/>
      <c r="I18" s="4"/>
      <c r="J18" s="4"/>
      <c r="K18" s="5"/>
      <c r="L18" s="4"/>
      <c r="M18" s="19" t="e">
        <f>(M15-M17)*100</f>
        <v>#REF!</v>
      </c>
    </row>
    <row r="19" spans="1:13">
      <c r="A19" s="4"/>
      <c r="B19" s="4"/>
      <c r="C19" s="4"/>
      <c r="D19" s="4"/>
      <c r="E19" s="4"/>
      <c r="F19" s="4"/>
      <c r="G19" s="4"/>
      <c r="H19" s="4"/>
      <c r="I19" s="4"/>
      <c r="J19" s="4"/>
      <c r="K19" s="5"/>
      <c r="L19" s="4"/>
      <c r="M19" s="24" t="e">
        <f>CONCATENATE(M17,M9,M18)</f>
        <v>#REF!</v>
      </c>
    </row>
    <row r="20" spans="1:13">
      <c r="A20" s="25" t="s">
        <v>10</v>
      </c>
      <c r="B20" s="25" t="s">
        <v>11</v>
      </c>
      <c r="C20" s="25" t="s">
        <v>12</v>
      </c>
      <c r="D20" s="25" t="s">
        <v>13</v>
      </c>
      <c r="E20" s="25" t="s">
        <v>89</v>
      </c>
      <c r="F20" s="25" t="s">
        <v>15</v>
      </c>
      <c r="G20" s="25" t="s">
        <v>10</v>
      </c>
      <c r="H20" s="25" t="s">
        <v>16</v>
      </c>
      <c r="I20" s="25" t="s">
        <v>17</v>
      </c>
      <c r="J20" s="4"/>
      <c r="K20" s="5"/>
      <c r="L20" s="4"/>
    </row>
    <row r="21" spans="1:13">
      <c r="A21" s="25" t="s">
        <v>18</v>
      </c>
      <c r="B21" s="25" t="s">
        <v>19</v>
      </c>
      <c r="C21" s="25" t="s">
        <v>20</v>
      </c>
      <c r="D21" s="25" t="s">
        <v>21</v>
      </c>
      <c r="E21" s="25" t="s">
        <v>88</v>
      </c>
      <c r="F21" s="25" t="s">
        <v>23</v>
      </c>
      <c r="G21" s="25" t="s">
        <v>18</v>
      </c>
      <c r="H21" s="25" t="s">
        <v>24</v>
      </c>
      <c r="I21" s="25" t="s">
        <v>25</v>
      </c>
      <c r="J21" s="4"/>
      <c r="K21" s="5"/>
      <c r="L21" s="4"/>
      <c r="M21" s="19">
        <v>1.9999999999996021</v>
      </c>
    </row>
    <row r="22" spans="1:13">
      <c r="A22" s="25" t="s">
        <v>26</v>
      </c>
      <c r="B22" s="25" t="s">
        <v>27</v>
      </c>
      <c r="C22" s="25" t="s">
        <v>28</v>
      </c>
      <c r="D22" s="25" t="s">
        <v>29</v>
      </c>
      <c r="E22" s="25" t="s">
        <v>90</v>
      </c>
      <c r="F22" s="25" t="s">
        <v>31</v>
      </c>
      <c r="G22" s="25" t="s">
        <v>11</v>
      </c>
      <c r="H22" s="25" t="s">
        <v>32</v>
      </c>
      <c r="I22" s="25" t="s">
        <v>33</v>
      </c>
      <c r="J22" s="4"/>
      <c r="K22" s="5"/>
      <c r="L22" s="4"/>
    </row>
    <row r="23" spans="1:13">
      <c r="A23" s="25" t="s">
        <v>34</v>
      </c>
      <c r="B23" s="25" t="s">
        <v>35</v>
      </c>
      <c r="C23" s="25" t="s">
        <v>36</v>
      </c>
      <c r="D23" s="25" t="s">
        <v>37</v>
      </c>
      <c r="E23" s="26" t="s">
        <v>91</v>
      </c>
      <c r="F23" s="25" t="s">
        <v>39</v>
      </c>
      <c r="G23" s="25" t="s">
        <v>19</v>
      </c>
      <c r="H23" s="27" t="s">
        <v>40</v>
      </c>
      <c r="I23" s="25" t="s">
        <v>41</v>
      </c>
      <c r="J23" s="4"/>
      <c r="K23" s="5"/>
      <c r="L23" s="4"/>
    </row>
    <row r="24" spans="1:13">
      <c r="A24" s="25" t="s">
        <v>42</v>
      </c>
      <c r="B24" s="25" t="s">
        <v>43</v>
      </c>
      <c r="C24" s="25" t="s">
        <v>44</v>
      </c>
      <c r="D24" s="25" t="s">
        <v>45</v>
      </c>
      <c r="E24" s="25" t="s">
        <v>92</v>
      </c>
      <c r="F24" s="25" t="s">
        <v>47</v>
      </c>
      <c r="G24" s="25"/>
      <c r="H24" s="25" t="s">
        <v>48</v>
      </c>
      <c r="I24" s="25" t="s">
        <v>49</v>
      </c>
      <c r="J24" s="4"/>
      <c r="K24" s="5"/>
      <c r="L24" s="4"/>
    </row>
    <row r="25" spans="1:13">
      <c r="A25" s="25" t="s">
        <v>50</v>
      </c>
      <c r="B25" s="25" t="s">
        <v>51</v>
      </c>
      <c r="C25" s="25" t="s">
        <v>52</v>
      </c>
      <c r="D25" s="25" t="s">
        <v>53</v>
      </c>
      <c r="E25" s="25" t="s">
        <v>54</v>
      </c>
      <c r="F25" s="25" t="s">
        <v>55</v>
      </c>
      <c r="G25" s="25"/>
      <c r="H25" s="25" t="s">
        <v>56</v>
      </c>
      <c r="I25" s="25" t="s">
        <v>57</v>
      </c>
      <c r="J25" s="4"/>
      <c r="K25" s="5"/>
      <c r="L25" s="4"/>
    </row>
    <row r="26" spans="1:13">
      <c r="A26" s="25" t="s">
        <v>58</v>
      </c>
      <c r="B26" s="25" t="s">
        <v>59</v>
      </c>
      <c r="C26" s="25" t="s">
        <v>60</v>
      </c>
      <c r="D26" s="25" t="s">
        <v>61</v>
      </c>
      <c r="E26" s="25" t="s">
        <v>62</v>
      </c>
      <c r="F26" s="25" t="s">
        <v>63</v>
      </c>
      <c r="G26" s="25"/>
      <c r="H26" s="25" t="s">
        <v>64</v>
      </c>
      <c r="I26" s="25" t="s">
        <v>65</v>
      </c>
      <c r="J26" s="4"/>
      <c r="K26" s="5"/>
      <c r="L26" s="4"/>
    </row>
    <row r="27" spans="1:13">
      <c r="A27" s="25" t="s">
        <v>66</v>
      </c>
      <c r="B27" s="25" t="s">
        <v>67</v>
      </c>
      <c r="C27" s="25" t="s">
        <v>68</v>
      </c>
      <c r="D27" s="25" t="s">
        <v>69</v>
      </c>
      <c r="E27" s="25" t="s">
        <v>70</v>
      </c>
      <c r="F27" s="25" t="s">
        <v>71</v>
      </c>
      <c r="G27" s="25"/>
      <c r="H27" s="25" t="s">
        <v>72</v>
      </c>
      <c r="I27" s="25" t="s">
        <v>73</v>
      </c>
      <c r="J27" s="4"/>
      <c r="K27" s="5"/>
      <c r="L27" s="4"/>
    </row>
    <row r="28" spans="1:13">
      <c r="A28" s="25" t="s">
        <v>74</v>
      </c>
      <c r="B28" s="25" t="s">
        <v>75</v>
      </c>
      <c r="C28" s="25" t="s">
        <v>76</v>
      </c>
      <c r="D28" s="25" t="s">
        <v>77</v>
      </c>
      <c r="E28" s="25" t="s">
        <v>78</v>
      </c>
      <c r="F28" s="25" t="s">
        <v>79</v>
      </c>
      <c r="G28" s="25"/>
      <c r="H28" s="25" t="s">
        <v>80</v>
      </c>
      <c r="I28" s="25" t="s">
        <v>81</v>
      </c>
      <c r="J28" s="4"/>
      <c r="K28" s="5"/>
      <c r="L28" s="4"/>
    </row>
    <row r="29" spans="1:13">
      <c r="A29" s="4"/>
      <c r="B29" s="4"/>
      <c r="C29" s="4"/>
      <c r="D29" s="4"/>
      <c r="E29" s="4"/>
      <c r="F29" s="4"/>
      <c r="G29" s="4"/>
      <c r="H29" s="4"/>
      <c r="I29" s="4"/>
      <c r="J29" s="4"/>
      <c r="K29" s="5"/>
      <c r="L29" s="4"/>
    </row>
    <row r="30" spans="1:13">
      <c r="A30" s="28" t="e">
        <f t="shared" ref="A30:I30" si="1">A3</f>
        <v>#REF!</v>
      </c>
      <c r="B30" s="28" t="e">
        <f t="shared" si="1"/>
        <v>#REF!</v>
      </c>
      <c r="C30" s="28" t="e">
        <f t="shared" si="1"/>
        <v>#REF!</v>
      </c>
      <c r="D30" s="28" t="e">
        <f t="shared" si="1"/>
        <v>#REF!</v>
      </c>
      <c r="E30" s="28" t="e">
        <f t="shared" si="1"/>
        <v>#REF!</v>
      </c>
      <c r="F30" s="28" t="e">
        <f t="shared" si="1"/>
        <v>#REF!</v>
      </c>
      <c r="G30" s="28" t="e">
        <f t="shared" si="1"/>
        <v>#REF!</v>
      </c>
      <c r="H30" s="28" t="e">
        <f t="shared" si="1"/>
        <v>#REF!</v>
      </c>
      <c r="I30" s="28" t="e">
        <f t="shared" si="1"/>
        <v>#REF!</v>
      </c>
      <c r="J30" s="3"/>
      <c r="K30" s="4"/>
      <c r="L30" s="4"/>
    </row>
    <row r="31" spans="1:13">
      <c r="A31" s="29" t="e">
        <f>A30</f>
        <v>#REF!</v>
      </c>
      <c r="B31" s="29" t="e">
        <f>B30</f>
        <v>#REF!</v>
      </c>
      <c r="C31" s="29" t="e">
        <f>C30</f>
        <v>#REF!</v>
      </c>
      <c r="D31" s="14" t="e">
        <f>M4</f>
        <v>#REF!</v>
      </c>
      <c r="E31" s="29" t="e">
        <f>D30</f>
        <v>#REF!</v>
      </c>
      <c r="F31" s="29" t="e">
        <f>E30</f>
        <v>#REF!</v>
      </c>
      <c r="G31" s="29" t="e">
        <f>F30</f>
        <v>#REF!</v>
      </c>
      <c r="H31" s="14" t="e">
        <f>M3</f>
        <v>#REF!</v>
      </c>
      <c r="I31" s="29" t="e">
        <f>G30</f>
        <v>#REF!</v>
      </c>
      <c r="J31" s="29" t="e">
        <f>H30</f>
        <v>#REF!</v>
      </c>
      <c r="K31" s="29" t="e">
        <f>I30</f>
        <v>#REF!</v>
      </c>
      <c r="L31" s="14" t="e">
        <f>M2</f>
        <v>#REF!</v>
      </c>
    </row>
    <row r="32" spans="1:13">
      <c r="A32" s="30" t="e">
        <f>IF(A31=0,0,1)</f>
        <v>#REF!</v>
      </c>
      <c r="B32" s="30" t="e">
        <f>IF(B31=0,0,1)</f>
        <v>#REF!</v>
      </c>
      <c r="C32" s="30" t="e">
        <f>IF(C31=0,0,1)</f>
        <v>#REF!</v>
      </c>
      <c r="D32" s="30">
        <v>1</v>
      </c>
      <c r="E32" s="30" t="e">
        <f>IF(E31=0,0,1)</f>
        <v>#REF!</v>
      </c>
      <c r="F32" s="30" t="e">
        <f>IF(F31=0,0,1)</f>
        <v>#REF!</v>
      </c>
      <c r="G32" s="30" t="e">
        <f>IF(G31=0,0,1)</f>
        <v>#REF!</v>
      </c>
      <c r="H32" s="30">
        <v>1</v>
      </c>
      <c r="I32" s="30" t="e">
        <f>IF(I31=0,0,1)</f>
        <v>#REF!</v>
      </c>
      <c r="J32" s="30" t="e">
        <f>IF(J31=0,0,1)</f>
        <v>#REF!</v>
      </c>
      <c r="K32" s="30" t="e">
        <f>IF(K31=0,0,1)</f>
        <v>#REF!</v>
      </c>
      <c r="L32" s="30">
        <v>1</v>
      </c>
    </row>
    <row r="33" spans="1:12">
      <c r="A33" s="31" t="e">
        <f>IF(L45=1,A31,A34)</f>
        <v>#REF!</v>
      </c>
      <c r="B33" s="31" t="e">
        <f>IF(L44=2,B31,IF(L44=1,B34,IF(L44=0,B35)))</f>
        <v>#REF!</v>
      </c>
      <c r="C33" s="31" t="e">
        <f>IF(L43=3,C31,IF(L43=2,D31,IF(L43=1,D35,IF(L43=0,C34))))</f>
        <v>#REF!</v>
      </c>
      <c r="D33" s="31" t="e">
        <f>IF(L42=4,D31,IF(L42=3,D35,IF(L42=2,D34,IF(L42=1,D43))))</f>
        <v>#REF!</v>
      </c>
      <c r="E33" s="31" t="e">
        <f>IF(L41=5,E31,IF(L41=4,E34,IF(L41=3,E39,IF(L41=2,E52,E49))))</f>
        <v>#REF!</v>
      </c>
      <c r="F33" s="31" t="e">
        <f>IF(L40=6,F31,IF(L40=5,F34,IF(L40=4,F35,IF(L40=3,F37,IF(L40=2,F41,IF(L40=1,F44))))))</f>
        <v>#REF!</v>
      </c>
      <c r="G33" s="31" t="e">
        <f>IF(L39=7,G31,IF(L39=6,H31,IF(L39=5,H34,IF(L39=4,G34,IF(L39=3,G38,IF(L39=2,G36,0))))))</f>
        <v>#REF!</v>
      </c>
      <c r="H33" s="31" t="e">
        <f>IF(L38=8,H31,IF(L38=7,H34,IF(L38=6,H38,IF(L38=5,H43,IF(L38=4,H44,0)))))</f>
        <v>#REF!</v>
      </c>
      <c r="I33" s="31" t="e">
        <f>IF(L37=9,I31,IF(L37=8,I34,IF(L37=7,I36,IF(L37=6,I37,0))))</f>
        <v>#REF!</v>
      </c>
      <c r="J33" s="31" t="e">
        <f>IF(L36=10,J31,IF(L36=9,J34,IF(L36=8,J35,0)))</f>
        <v>#REF!</v>
      </c>
      <c r="K33" s="31" t="e">
        <f>IF(L35=11,K31,IF(L35=10,L31,))</f>
        <v>#REF!</v>
      </c>
      <c r="L33" s="31" t="e">
        <f>IF(L34=12,L31,0)</f>
        <v>#REF!</v>
      </c>
    </row>
    <row r="34" spans="1:12">
      <c r="A34" s="11" t="e">
        <f>IF(B32=0,A35,B31)</f>
        <v>#REF!</v>
      </c>
      <c r="B34" s="11" t="e">
        <f>IF(C32=0,D31,C31)</f>
        <v>#REF!</v>
      </c>
      <c r="C34" s="11" t="e">
        <f>IF(L48=3,G31,IF(L48=2,H31,IF(L48=1,H34,H41)))</f>
        <v>#REF!</v>
      </c>
      <c r="D34" s="32" t="e">
        <f>IF(E31=0,D38,D40)</f>
        <v>#REF!</v>
      </c>
      <c r="E34" s="33" t="e">
        <f>IF(L49=3,E35,E37)</f>
        <v>#REF!</v>
      </c>
      <c r="F34" s="11" t="e">
        <f>IF(G31=0,H31,G31)</f>
        <v>#REF!</v>
      </c>
      <c r="G34" s="33" t="e">
        <f>IF(L48=0,H41,G37)</f>
        <v>#REF!</v>
      </c>
      <c r="H34" s="33" t="e">
        <f>IF(L47=0,L31,IF(L47=1,H35,IF(L47=2,H37,IF(L47=3,I31))))</f>
        <v>#REF!</v>
      </c>
      <c r="I34" s="33" t="e">
        <f>IF(L46=1,L31,IF(L46=2,I35,IF(L46=3,J31)))</f>
        <v>#REF!</v>
      </c>
      <c r="J34" s="11" t="e">
        <f>IF(K32=0,L31,K31)</f>
        <v>#REF!</v>
      </c>
      <c r="K34" s="4"/>
      <c r="L34" s="34" t="e">
        <f>SUM(A32:L32)</f>
        <v>#REF!</v>
      </c>
    </row>
    <row r="35" spans="1:12">
      <c r="A35" s="11" t="e">
        <f>IF(C31=0,A36,C31)</f>
        <v>#REF!</v>
      </c>
      <c r="B35" s="11" t="e">
        <f>IF(C31=0,D34,D31)</f>
        <v>#REF!</v>
      </c>
      <c r="C35" s="4"/>
      <c r="D35" s="11" t="e">
        <f>IF(E32=0,D36,E31)</f>
        <v>#REF!</v>
      </c>
      <c r="E35" s="33" t="e">
        <f>IF(F32=0,E36,F31)</f>
        <v>#REF!</v>
      </c>
      <c r="F35" s="35" t="e">
        <f>IF(L48=0,H38,F36)</f>
        <v>#REF!</v>
      </c>
      <c r="G35" s="11" t="e">
        <f>IF(L48=0,H42,H41)</f>
        <v>#REF!</v>
      </c>
      <c r="H35" s="14" t="e">
        <f>IF(I32=0,H36,I31)</f>
        <v>#REF!</v>
      </c>
      <c r="I35" s="33" t="e">
        <f>IF(J32=0,K31,J31)</f>
        <v>#REF!</v>
      </c>
      <c r="J35" s="11" t="e">
        <f>IF(K32=0,0,L31)</f>
        <v>#REF!</v>
      </c>
      <c r="K35" s="4"/>
      <c r="L35" s="14" t="e">
        <f>SUM(A32:K32)</f>
        <v>#REF!</v>
      </c>
    </row>
    <row r="36" spans="1:12">
      <c r="A36" s="11" t="e">
        <f>IF(E32=0,A37,E31)</f>
        <v>#REF!</v>
      </c>
      <c r="B36" s="4"/>
      <c r="C36" s="4"/>
      <c r="D36" s="11" t="e">
        <f>IF(F32=0,D37,F31)</f>
        <v>#REF!</v>
      </c>
      <c r="E36" s="33" t="e">
        <f>IF(G32=0,H34,G31)</f>
        <v>#REF!</v>
      </c>
      <c r="F36" s="33" t="e">
        <f>IF(G32=0,H34,H31)</f>
        <v>#REF!</v>
      </c>
      <c r="G36" s="11" t="e">
        <f>IF(L48=0,0,G39)</f>
        <v>#REF!</v>
      </c>
      <c r="H36" s="14" t="e">
        <f>IF(J32=0,K31,J31)</f>
        <v>#REF!</v>
      </c>
      <c r="I36" s="11" t="e">
        <f>IF(L46=3,K31,IF(L46=2,L31,IF(L46=1,0)))</f>
        <v>#REF!</v>
      </c>
      <c r="J36" s="4"/>
      <c r="K36" s="4"/>
      <c r="L36" s="14" t="e">
        <f>SUM(A32:J32)</f>
        <v>#REF!</v>
      </c>
    </row>
    <row r="37" spans="1:12">
      <c r="A37" s="11" t="e">
        <f>IF(F32=0,A38,F31)</f>
        <v>#REF!</v>
      </c>
      <c r="B37" s="4"/>
      <c r="C37" s="4"/>
      <c r="D37" s="11" t="e">
        <f>IF(G32=0,H34,G31)</f>
        <v>#REF!</v>
      </c>
      <c r="E37" s="33" t="e">
        <f>IF(F32=0,E38,F31)</f>
        <v>#REF!</v>
      </c>
      <c r="F37" s="11" t="e">
        <f>IF(L49=0,F38,F39)</f>
        <v>#REF!</v>
      </c>
      <c r="G37" s="11" t="e">
        <f>IF(L49=0,H41,H38)</f>
        <v>#REF!</v>
      </c>
      <c r="H37" s="11" t="e">
        <f>IF(I32=0,J31,I31)</f>
        <v>#REF!</v>
      </c>
      <c r="I37" s="11" t="e">
        <f>IF(L49=0,0,I38)</f>
        <v>#REF!</v>
      </c>
      <c r="J37" s="4"/>
      <c r="K37" s="4"/>
      <c r="L37" s="14" t="e">
        <f>SUM(A32:I32)</f>
        <v>#REF!</v>
      </c>
    </row>
    <row r="38" spans="1:12">
      <c r="A38" s="11" t="e">
        <f>IF(G32=0,A39,G31)</f>
        <v>#REF!</v>
      </c>
      <c r="B38" s="4"/>
      <c r="C38" s="4"/>
      <c r="D38" s="32" t="e">
        <f>IF(F31=0,D39,D42)</f>
        <v>#REF!</v>
      </c>
      <c r="E38" s="33" t="e">
        <f>IF(G32=0,H31,G31)</f>
        <v>#REF!</v>
      </c>
      <c r="F38" s="11" t="e">
        <f>IF(G31=0,H41,H38)</f>
        <v>#REF!</v>
      </c>
      <c r="G38" s="14" t="e">
        <f>IF(L49=0,H42,G35)</f>
        <v>#REF!</v>
      </c>
      <c r="H38" s="32" t="e">
        <f>IF(L47=0,0,IF(L47=1,L31,IF(L47=2,H39,IF(L47=3,J31))))</f>
        <v>#REF!</v>
      </c>
      <c r="I38" s="11" t="e">
        <f>IF(L48=0,0,I39)</f>
        <v>#REF!</v>
      </c>
      <c r="J38" s="4"/>
      <c r="K38" s="4"/>
      <c r="L38" s="33" t="e">
        <f>SUM(A32:H32)</f>
        <v>#REF!</v>
      </c>
    </row>
    <row r="39" spans="1:12">
      <c r="A39" s="11" t="e">
        <f>IF(I32=0,A40,I31)</f>
        <v>#REF!</v>
      </c>
      <c r="B39" s="4"/>
      <c r="C39" s="4"/>
      <c r="D39" s="32" t="e">
        <f>IF(G31=0,H38,H31)</f>
        <v>#REF!</v>
      </c>
      <c r="E39" s="14" t="e">
        <f>IF(L49=2,E40,E43)</f>
        <v>#REF!</v>
      </c>
      <c r="F39" s="32" t="e">
        <f>IF(L48=0,H41,F40)</f>
        <v>#REF!</v>
      </c>
      <c r="G39" s="11" t="e">
        <f>IF(L49=0,0,H42)</f>
        <v>#REF!</v>
      </c>
      <c r="H39" s="11" t="e">
        <f>IF(I32=0,K31,H40)</f>
        <v>#REF!</v>
      </c>
      <c r="I39" s="11" t="e">
        <f>IF(L47=3,L31,I40)</f>
        <v>#REF!</v>
      </c>
      <c r="J39" s="4"/>
      <c r="K39" s="4"/>
      <c r="L39" s="11" t="e">
        <f>SUM(A32:G32)</f>
        <v>#REF!</v>
      </c>
    </row>
    <row r="40" spans="1:12">
      <c r="A40" s="11" t="e">
        <f>IF(J32=0,A41,J31)</f>
        <v>#REF!</v>
      </c>
      <c r="B40" s="4"/>
      <c r="C40" s="4"/>
      <c r="D40" s="32" t="e">
        <f>IF(F32=0,D41,F31)</f>
        <v>#REF!</v>
      </c>
      <c r="E40" s="11" t="e">
        <f>IF(F32=0,E41,E42)</f>
        <v>#REF!</v>
      </c>
      <c r="F40" s="32" t="e">
        <f>IF(G32=0,H38,H34)</f>
        <v>#REF!</v>
      </c>
      <c r="G40" s="4"/>
      <c r="H40" s="11" t="e">
        <f>IF(J32=0,K31,J31)</f>
        <v>#REF!</v>
      </c>
      <c r="I40" s="11" t="e">
        <f>IF(L47=2,L31,0)</f>
        <v>#REF!</v>
      </c>
      <c r="J40" s="4"/>
      <c r="K40" s="4"/>
      <c r="L40" s="11" t="e">
        <f>SUM(A32:F32)</f>
        <v>#REF!</v>
      </c>
    </row>
    <row r="41" spans="1:12">
      <c r="A41" s="11" t="e">
        <f>IF(K32=0,0,K31)</f>
        <v>#REF!</v>
      </c>
      <c r="B41" s="4"/>
      <c r="C41" s="4"/>
      <c r="D41" s="32" t="e">
        <f>IF(G32=0,H31,G31)</f>
        <v>#REF!</v>
      </c>
      <c r="E41" s="11" t="e">
        <f>IF(G32=0,H38,H31)</f>
        <v>#REF!</v>
      </c>
      <c r="F41" s="14" t="e">
        <f>IF(L49=0,F43,F42)</f>
        <v>#REF!</v>
      </c>
      <c r="G41" s="4"/>
      <c r="H41" s="32" t="e">
        <f>IF(L47=3,K31,IF(L47=2,L31,0))</f>
        <v>#REF!</v>
      </c>
      <c r="I41" s="4"/>
      <c r="J41" s="4"/>
      <c r="K41" s="4"/>
      <c r="L41" s="33" t="e">
        <f>SUM(A32:E32)</f>
        <v>#REF!</v>
      </c>
    </row>
    <row r="42" spans="1:12">
      <c r="A42" s="4"/>
      <c r="B42" s="4"/>
      <c r="C42" s="4"/>
      <c r="D42" s="32" t="e">
        <f>IF(G32=0,H31,G31)</f>
        <v>#REF!</v>
      </c>
      <c r="E42" s="11" t="e">
        <f>IF(G32=0,H31,G31)</f>
        <v>#REF!</v>
      </c>
      <c r="F42" s="14" t="e">
        <f>IF(G32=0,H41,H38)</f>
        <v>#REF!</v>
      </c>
      <c r="G42" s="4"/>
      <c r="H42" s="33" t="e">
        <f>IF(L47=3,L31,0)</f>
        <v>#REF!</v>
      </c>
      <c r="I42" s="4"/>
      <c r="J42" s="4"/>
      <c r="K42" s="4"/>
      <c r="L42" s="10" t="e">
        <f>SUM(A32:D32)</f>
        <v>#REF!</v>
      </c>
    </row>
    <row r="43" spans="1:12">
      <c r="A43" s="4"/>
      <c r="B43" s="4"/>
      <c r="C43" s="4"/>
      <c r="D43" s="11" t="e">
        <f>IF(L48=3,H31,IF(L48=2,H34,IF(L48=1,H38,IF(L48=0,H42))))</f>
        <v>#REF!</v>
      </c>
      <c r="E43" s="14" t="e">
        <f>IF(F32=0,E44,E45)</f>
        <v>#REF!</v>
      </c>
      <c r="F43" s="14" t="e">
        <f>IF(G31=0,H42,H41)</f>
        <v>#REF!</v>
      </c>
      <c r="G43" s="4"/>
      <c r="H43" s="14" t="e">
        <f>IF(L49=0,H42,H41)</f>
        <v>#REF!</v>
      </c>
      <c r="I43" s="4"/>
      <c r="J43" s="4"/>
      <c r="K43" s="4"/>
      <c r="L43" s="10" t="e">
        <f>SUM(A32:C32)</f>
        <v>#REF!</v>
      </c>
    </row>
    <row r="44" spans="1:12">
      <c r="A44" s="4"/>
      <c r="B44" s="4"/>
      <c r="C44" s="4"/>
      <c r="D44" s="4"/>
      <c r="E44" s="14" t="e">
        <f>IF(G32=0,H34,H31)</f>
        <v>#REF!</v>
      </c>
      <c r="F44" s="14" t="e">
        <f>IF(G31=0,0,H42)</f>
        <v>#REF!</v>
      </c>
      <c r="G44" s="4"/>
      <c r="H44" s="11" t="e">
        <f>IF(L49=0,0,H42)</f>
        <v>#REF!</v>
      </c>
      <c r="I44" s="4"/>
      <c r="J44" s="4"/>
      <c r="K44" s="4"/>
      <c r="L44" s="10" t="e">
        <f>SUM(A32:B32)</f>
        <v>#REF!</v>
      </c>
    </row>
    <row r="45" spans="1:12">
      <c r="A45" s="4"/>
      <c r="B45" s="4"/>
      <c r="C45" s="4"/>
      <c r="D45" s="4"/>
      <c r="E45" s="14" t="e">
        <f>IF(G32=0,H31,G31)</f>
        <v>#REF!</v>
      </c>
      <c r="F45" s="4"/>
      <c r="G45" s="4"/>
      <c r="H45" s="4"/>
      <c r="I45" s="4"/>
      <c r="J45" s="4"/>
      <c r="K45" s="4"/>
      <c r="L45" s="10" t="e">
        <f>SUM(A32)</f>
        <v>#REF!</v>
      </c>
    </row>
    <row r="46" spans="1:12">
      <c r="A46" s="4"/>
      <c r="B46" s="4"/>
      <c r="C46" s="4"/>
      <c r="D46" s="4"/>
      <c r="E46" s="33" t="e">
        <f>IF(F32=0,E47,E48)</f>
        <v>#REF!</v>
      </c>
      <c r="F46" s="4"/>
      <c r="G46" s="4"/>
      <c r="H46" s="4"/>
      <c r="I46" s="4"/>
      <c r="J46" s="4"/>
      <c r="K46" s="4"/>
      <c r="L46" s="11" t="e">
        <f>SUM(J32:L32)</f>
        <v>#REF!</v>
      </c>
    </row>
    <row r="47" spans="1:12">
      <c r="A47" s="4"/>
      <c r="B47" s="4"/>
      <c r="C47" s="4"/>
      <c r="D47" s="4"/>
      <c r="E47" s="33" t="e">
        <f>IF(G32=0,H41,H34)</f>
        <v>#REF!</v>
      </c>
      <c r="F47" s="4"/>
      <c r="G47" s="4"/>
      <c r="H47" s="4"/>
      <c r="I47" s="4"/>
      <c r="J47" s="4"/>
      <c r="K47" s="4"/>
      <c r="L47" s="33" t="e">
        <f>SUM(I32:K32)</f>
        <v>#REF!</v>
      </c>
    </row>
    <row r="48" spans="1:12">
      <c r="A48" s="4"/>
      <c r="B48" s="4"/>
      <c r="C48" s="4"/>
      <c r="D48" s="4"/>
      <c r="E48" s="33" t="e">
        <f>IF(G31=0,H34,H31)</f>
        <v>#REF!</v>
      </c>
      <c r="F48" s="4"/>
      <c r="G48" s="4"/>
      <c r="H48" s="4"/>
      <c r="I48" s="4"/>
      <c r="J48" s="4"/>
      <c r="K48" s="4"/>
      <c r="L48" s="10" t="e">
        <f>SUM(E32:G32)</f>
        <v>#REF!</v>
      </c>
    </row>
    <row r="49" spans="1:12">
      <c r="A49" s="4"/>
      <c r="B49" s="4"/>
      <c r="C49" s="4"/>
      <c r="D49" s="4"/>
      <c r="E49" s="32" t="e">
        <f>IF(F31=0,E50,E51)</f>
        <v>#REF!</v>
      </c>
      <c r="F49" s="4"/>
      <c r="G49" s="4"/>
      <c r="H49" s="4"/>
      <c r="I49" s="4"/>
      <c r="J49" s="4"/>
      <c r="K49" s="4"/>
      <c r="L49" s="33" t="e">
        <f>SUM(A32:C32)</f>
        <v>#REF!</v>
      </c>
    </row>
    <row r="50" spans="1:12">
      <c r="A50" s="4"/>
      <c r="B50" s="4"/>
      <c r="C50" s="4"/>
      <c r="D50" s="4"/>
      <c r="E50" s="32" t="e">
        <f>IF(G31=0,0,H41)</f>
        <v>#REF!</v>
      </c>
      <c r="F50" s="4"/>
      <c r="G50" s="4"/>
      <c r="H50" s="4"/>
      <c r="I50" s="4"/>
      <c r="J50" s="4"/>
      <c r="K50" s="4"/>
      <c r="L50" s="4"/>
    </row>
    <row r="51" spans="1:12">
      <c r="A51" s="4"/>
      <c r="B51" s="4"/>
      <c r="C51" s="4"/>
      <c r="D51" s="4"/>
      <c r="E51" s="32" t="e">
        <f>IF(G32=0,H41,H38)</f>
        <v>#REF!</v>
      </c>
      <c r="F51" s="4"/>
      <c r="G51" s="4"/>
      <c r="H51" s="4"/>
      <c r="I51" s="4"/>
      <c r="J51" s="4"/>
      <c r="K51" s="4"/>
      <c r="L51" s="4"/>
    </row>
    <row r="52" spans="1:12">
      <c r="A52" s="4"/>
      <c r="B52" s="4"/>
      <c r="C52" s="4"/>
      <c r="D52" s="4"/>
      <c r="E52" s="33" t="e">
        <f>IF(L49=0,E53,E46)</f>
        <v>#REF!</v>
      </c>
      <c r="F52" s="4"/>
      <c r="G52" s="4"/>
      <c r="H52" s="4"/>
      <c r="I52" s="4"/>
      <c r="J52" s="4"/>
      <c r="K52" s="4"/>
      <c r="L52" s="4"/>
    </row>
    <row r="53" spans="1:12">
      <c r="A53" s="4"/>
      <c r="B53" s="4"/>
      <c r="C53" s="4"/>
      <c r="D53" s="4"/>
      <c r="E53" s="33" t="e">
        <f>IF(L48=3,H34,IF(L48=2,H38,IF(L48=1,H41,0)))</f>
        <v>#REF!</v>
      </c>
      <c r="F53" s="4"/>
      <c r="G53" s="4"/>
      <c r="H53" s="4"/>
      <c r="I53" s="4"/>
      <c r="J53" s="4"/>
      <c r="K53" s="4"/>
      <c r="L53" s="4"/>
    </row>
    <row r="54" spans="1:12">
      <c r="A54" s="8" t="e">
        <f t="shared" ref="A54:L54" si="2">LEN(A33)</f>
        <v>#REF!</v>
      </c>
      <c r="B54" s="8" t="e">
        <f t="shared" si="2"/>
        <v>#REF!</v>
      </c>
      <c r="C54" s="8" t="e">
        <f t="shared" si="2"/>
        <v>#REF!</v>
      </c>
      <c r="D54" s="8" t="e">
        <f t="shared" si="2"/>
        <v>#REF!</v>
      </c>
      <c r="E54" s="8" t="e">
        <f t="shared" si="2"/>
        <v>#REF!</v>
      </c>
      <c r="F54" s="8" t="e">
        <f t="shared" si="2"/>
        <v>#REF!</v>
      </c>
      <c r="G54" s="8" t="e">
        <f t="shared" si="2"/>
        <v>#REF!</v>
      </c>
      <c r="H54" s="8" t="e">
        <f t="shared" si="2"/>
        <v>#REF!</v>
      </c>
      <c r="I54" s="8" t="e">
        <f t="shared" si="2"/>
        <v>#REF!</v>
      </c>
      <c r="J54" s="8" t="e">
        <f t="shared" si="2"/>
        <v>#REF!</v>
      </c>
      <c r="K54" s="8" t="e">
        <f t="shared" si="2"/>
        <v>#REF!</v>
      </c>
      <c r="L54" s="8" t="e">
        <f t="shared" si="2"/>
        <v>#REF!</v>
      </c>
    </row>
    <row r="55" spans="1:12">
      <c r="A55" s="11"/>
      <c r="B55" s="11"/>
      <c r="C55" s="11"/>
      <c r="D55" s="11"/>
      <c r="E55" s="11" t="e">
        <f>SUM(A54:E54)</f>
        <v>#REF!</v>
      </c>
      <c r="F55" s="11" t="e">
        <f>SUM(A54:F54)</f>
        <v>#REF!</v>
      </c>
      <c r="G55" s="11" t="e">
        <f>SUM(A54:G54)</f>
        <v>#REF!</v>
      </c>
      <c r="H55" s="11" t="e">
        <f>SUM(A54:H54)</f>
        <v>#REF!</v>
      </c>
      <c r="I55" s="11" t="e">
        <f>SUM(A54:I54)</f>
        <v>#REF!</v>
      </c>
      <c r="J55" s="11" t="e">
        <f>SUM(A54:J54)</f>
        <v>#REF!</v>
      </c>
      <c r="K55" s="11" t="e">
        <f>SUM(A54:K54)</f>
        <v>#REF!</v>
      </c>
      <c r="L55" s="11" t="e">
        <f>SUM(A54:L54)</f>
        <v>#REF!</v>
      </c>
    </row>
    <row r="56" spans="1:12">
      <c r="A56" s="10" t="e">
        <f>IF(A33=0,"    ",A33)</f>
        <v>#REF!</v>
      </c>
      <c r="B56" s="10" t="e">
        <f>IF(B33=0,"    ",B33)</f>
        <v>#REF!</v>
      </c>
      <c r="C56" s="10" t="e">
        <f t="shared" ref="C56:K56" si="3">IF(C33=0," ",C33)</f>
        <v>#REF!</v>
      </c>
      <c r="D56" s="10" t="e">
        <f t="shared" si="3"/>
        <v>#REF!</v>
      </c>
      <c r="E56" s="10" t="e">
        <f t="shared" si="3"/>
        <v>#REF!</v>
      </c>
      <c r="F56" s="10" t="e">
        <f t="shared" si="3"/>
        <v>#REF!</v>
      </c>
      <c r="G56" s="10" t="e">
        <f t="shared" si="3"/>
        <v>#REF!</v>
      </c>
      <c r="H56" s="10" t="e">
        <f t="shared" si="3"/>
        <v>#REF!</v>
      </c>
      <c r="I56" s="10" t="e">
        <f t="shared" si="3"/>
        <v>#REF!</v>
      </c>
      <c r="J56" s="10" t="e">
        <f t="shared" si="3"/>
        <v>#REF!</v>
      </c>
      <c r="K56" s="10" t="e">
        <f t="shared" si="3"/>
        <v>#REF!</v>
      </c>
      <c r="L56" s="10" t="str">
        <f>IF(B61=0,"    ",B61)</f>
        <v>qəp.</v>
      </c>
    </row>
    <row r="57" spans="1:12">
      <c r="A57" s="10" t="e">
        <f>CONCATENATE(D57,A56,B56,C56,D56,E56,F56,G56,H56,I56,J56,L56,K56)</f>
        <v>#REF!</v>
      </c>
      <c r="B57" s="10"/>
      <c r="C57" s="10"/>
      <c r="D57" s="10" t="s">
        <v>82</v>
      </c>
      <c r="E57" s="10"/>
      <c r="F57" s="10"/>
      <c r="G57" s="10"/>
      <c r="H57" s="10"/>
      <c r="I57" s="10"/>
      <c r="J57" s="10"/>
      <c r="K57" s="10"/>
      <c r="L57" s="10"/>
    </row>
    <row r="58" spans="1:12">
      <c r="A58" s="36"/>
      <c r="B58" s="37">
        <f>ROUND(A58,0)</f>
        <v>0</v>
      </c>
    </row>
    <row r="59" spans="1:12">
      <c r="A59" s="6" t="s">
        <v>83</v>
      </c>
      <c r="B59" s="38" t="e">
        <f>M13/6</f>
        <v>#REF!</v>
      </c>
      <c r="C59" s="6" t="s">
        <v>84</v>
      </c>
      <c r="D59" s="39"/>
    </row>
    <row r="60" spans="1:12">
      <c r="A60" s="13" t="e">
        <f>CONCATENATE(A59,B59,C59)</f>
        <v>#REF!</v>
      </c>
      <c r="D60" s="39"/>
    </row>
    <row r="61" spans="1:12">
      <c r="A61" s="6" t="e">
        <f>(M5-M8)*100</f>
        <v>#REF!</v>
      </c>
      <c r="B61" s="6" t="s">
        <v>85</v>
      </c>
      <c r="D61" s="39"/>
    </row>
    <row r="62" spans="1:12">
      <c r="A62" s="19">
        <f>M11</f>
        <v>0</v>
      </c>
      <c r="B62" s="12">
        <f>M12/6</f>
        <v>0</v>
      </c>
      <c r="D62" s="39"/>
    </row>
    <row r="63" spans="1:12">
      <c r="A63" s="40" t="str">
        <f>CONCATENATE(B62,C59)</f>
        <v>0ман.</v>
      </c>
    </row>
    <row r="64" spans="1:12">
      <c r="A64" s="6" t="e">
        <f>CONCATENATE(A56,B56)</f>
        <v>#REF!</v>
      </c>
      <c r="L64" s="6" t="e">
        <f>IF(L33=0,"    ",L33)</f>
        <v>#REF!</v>
      </c>
    </row>
  </sheetData>
  <sheetProtection sheet="1" objects="1" scenarios="1"/>
  <phoneticPr fontId="5" type="noConversion"/>
  <pageMargins left="0.75" right="0.75" top="1" bottom="1" header="0.5" footer="0.5"/>
  <pageSetup paperSize="9" orientation="portrait" r:id="rId1"/>
  <headerFooter alignWithMargin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codeName="Sheet6"/>
  <dimension ref="A1:P64"/>
  <sheetViews>
    <sheetView topLeftCell="E1" workbookViewId="0"/>
  </sheetViews>
  <sheetFormatPr defaultRowHeight="12.75"/>
  <cols>
    <col min="1" max="1" width="35" style="6" customWidth="1"/>
    <col min="2" max="2" width="11.140625" style="6" customWidth="1"/>
    <col min="3" max="3" width="13.28515625" style="6" customWidth="1"/>
    <col min="4" max="4" width="13.5703125" style="6" customWidth="1"/>
    <col min="5" max="5" width="12.42578125" style="6" customWidth="1"/>
    <col min="6" max="6" width="12.7109375" style="6" customWidth="1"/>
    <col min="7" max="7" width="10.28515625" style="6" customWidth="1"/>
    <col min="8" max="8" width="13.28515625" style="6" customWidth="1"/>
    <col min="9" max="9" width="10.5703125" style="6" customWidth="1"/>
    <col min="10" max="11" width="7.5703125" style="6" customWidth="1"/>
    <col min="12" max="12" width="6.7109375" style="6" customWidth="1"/>
    <col min="13" max="13" width="18.140625" style="6" customWidth="1"/>
    <col min="14" max="14" width="8.42578125" style="6" customWidth="1"/>
    <col min="15" max="15" width="9.140625" style="6"/>
    <col min="16" max="16" width="8.42578125" style="6" customWidth="1"/>
    <col min="17" max="16384" width="9.140625" style="6"/>
  </cols>
  <sheetData>
    <row r="1" spans="1:16" ht="13.5" thickBot="1">
      <c r="A1" s="2">
        <f>M8</f>
        <v>12</v>
      </c>
      <c r="B1" s="3"/>
      <c r="C1" s="3"/>
      <c r="D1" s="3"/>
      <c r="E1" s="3"/>
      <c r="F1" s="3"/>
      <c r="G1" s="3"/>
      <c r="H1" s="3"/>
      <c r="I1" s="3"/>
      <c r="J1" s="4"/>
      <c r="K1" s="5"/>
      <c r="L1" s="4"/>
    </row>
    <row r="2" spans="1:16">
      <c r="A2" s="7">
        <f>(MOD(A1,1000000000)-MOD(A1,100000000))/100000000</f>
        <v>0</v>
      </c>
      <c r="B2" s="7">
        <f>(MOD(A1,100000000)-MOD(A1,10000000))/10000000</f>
        <v>0</v>
      </c>
      <c r="C2" s="7">
        <f>(MOD(A1,10000000)-MOD(A1,1000000))/1000000</f>
        <v>0</v>
      </c>
      <c r="D2" s="7">
        <f>(MOD(A1,1000000)-MOD(A1,100000))/100000</f>
        <v>0</v>
      </c>
      <c r="E2" s="7">
        <f>(MOD(A1,100000)-MOD(A1,10000))/10000</f>
        <v>0</v>
      </c>
      <c r="F2" s="7">
        <f>(MOD(A1,10000)-MOD(A1,1000))/1000</f>
        <v>0</v>
      </c>
      <c r="G2" s="7">
        <f>(MOD(A1,1000)-MOD(A1,100))/100</f>
        <v>0</v>
      </c>
      <c r="H2" s="7">
        <f>(MOD(A1,100)-MOD(A1,10))/10</f>
        <v>1</v>
      </c>
      <c r="I2" s="7">
        <f>MOD(A1,10)</f>
        <v>2</v>
      </c>
      <c r="J2" s="4"/>
      <c r="K2" s="5"/>
      <c r="L2" s="4"/>
      <c r="M2" s="6" t="str">
        <f>IF(H2=1," ",IF(I2=1," ",IF(N2=TRUE," "," ")))</f>
        <v xml:space="preserve"> </v>
      </c>
      <c r="N2" s="6" t="b">
        <f>OR(I2=2,I2=3,I2=4)</f>
        <v>1</v>
      </c>
      <c r="P2" s="6" t="b">
        <f>OR(K2=2,K2=3,K2=4)</f>
        <v>0</v>
      </c>
    </row>
    <row r="3" spans="1:16">
      <c r="A3" s="8">
        <f>IF(A2=0,0,A5)</f>
        <v>0</v>
      </c>
      <c r="B3" s="8">
        <f t="shared" ref="B3:I3" si="0">IF(B2=0,0,B4)</f>
        <v>0</v>
      </c>
      <c r="C3" s="9">
        <f t="shared" si="0"/>
        <v>0</v>
      </c>
      <c r="D3" s="8">
        <f t="shared" si="0"/>
        <v>0</v>
      </c>
      <c r="E3" s="8">
        <f t="shared" si="0"/>
        <v>0</v>
      </c>
      <c r="F3" s="9">
        <f t="shared" si="0"/>
        <v>0</v>
      </c>
      <c r="G3" s="8">
        <f t="shared" si="0"/>
        <v>0</v>
      </c>
      <c r="H3" s="8" t="str">
        <f t="shared" si="0"/>
        <v xml:space="preserve"> On iki</v>
      </c>
      <c r="I3" s="9">
        <f t="shared" si="0"/>
        <v>0</v>
      </c>
      <c r="J3" s="4"/>
      <c r="K3" s="5"/>
      <c r="L3" s="4"/>
      <c r="M3" s="6" t="str">
        <f>IF(E2=1," min",IF(F2=1," min",IF(N3=TRUE," min"," min")))</f>
        <v xml:space="preserve"> min</v>
      </c>
      <c r="N3" s="6" t="b">
        <f>OR(F2=2,F2=3,F2=4)</f>
        <v>0</v>
      </c>
      <c r="P3" s="6" t="b">
        <f>OR(H2=2,H2=3,H2=4)</f>
        <v>0</v>
      </c>
    </row>
    <row r="4" spans="1:16">
      <c r="A4" s="10"/>
      <c r="B4" s="10" t="b">
        <f>IF(A1&gt;99999999,B5,B6)</f>
        <v>0</v>
      </c>
      <c r="C4" s="10" t="b">
        <f>IF(B2=1,0,C5)</f>
        <v>0</v>
      </c>
      <c r="D4" s="10" t="b">
        <f>IF(A1&gt;999999,D5,D7)</f>
        <v>0</v>
      </c>
      <c r="E4" s="10" t="b">
        <f>IF(A1&gt;99999,E5,E6)</f>
        <v>0</v>
      </c>
      <c r="F4" s="10" t="b">
        <f>IF(E2=1,0,F5)</f>
        <v>0</v>
      </c>
      <c r="G4" s="10" t="b">
        <f>IF(A1&gt;999,G5,G7)</f>
        <v>0</v>
      </c>
      <c r="H4" s="10" t="str">
        <f>IF(A1&gt;99,H5,H6)</f>
        <v xml:space="preserve"> On iki</v>
      </c>
      <c r="I4" s="10">
        <f>IF(H2=1,0,I5)</f>
        <v>0</v>
      </c>
      <c r="J4" s="4"/>
      <c r="K4" s="5"/>
      <c r="L4" s="4"/>
      <c r="M4" s="6" t="str">
        <f>IF(B2=1," milyon",IF(C2=1," milyon",IF(N4=TRUE," milyon"," milyon")))</f>
        <v xml:space="preserve"> milyon</v>
      </c>
      <c r="N4" s="6" t="b">
        <f>OR(C2=2,C2=3,C2=4)</f>
        <v>0</v>
      </c>
      <c r="P4" s="6" t="b">
        <f>OR(E2=2,E2=3,E2=4)</f>
        <v>0</v>
      </c>
    </row>
    <row r="5" spans="1:16">
      <c r="A5" s="11" t="b">
        <f>IF(A2=1,H20,IF(A2=2,H21,IF(A2=3,H22,IF(A2=4,H23,IF(A2=5,H24,IF(A2=6,H25,IF(A2=7,H26,IF(A2&gt;7,A6))))))))</f>
        <v>0</v>
      </c>
      <c r="B5" s="10" t="b">
        <f>IF(B2=1,B7,B11)</f>
        <v>0</v>
      </c>
      <c r="C5" s="10" t="b">
        <f>IF(A1&gt;9999999,C6,C7)</f>
        <v>0</v>
      </c>
      <c r="D5" s="11" t="b">
        <f>IF(D2=1,I20,IF(D2=2,I21,IF(D2=3,I22,IF(D2=4,I23,IF(D2=5,I24,IF(D2=6,I25,IF(D2=7,I26,IF(D2&gt;7,D6))))))))</f>
        <v>0</v>
      </c>
      <c r="E5" s="10" t="b">
        <f>IF(E2=1,E7,E11)</f>
        <v>0</v>
      </c>
      <c r="F5" s="10" t="b">
        <f>IF(A1&gt;9999,F6,F7)</f>
        <v>0</v>
      </c>
      <c r="G5" s="11" t="b">
        <f>IF(G2=1,I20,IF(G2=2,I21,IF(G2=3,I22,IF(G2=4,I23,IF(G2=5,I24,IF(G2=6,I25,IF(G2=7,I26,IF(G2&gt;7,G6))))))))</f>
        <v>0</v>
      </c>
      <c r="H5" s="10" t="str">
        <f>IF(H2=1,H7,H11)</f>
        <v xml:space="preserve"> on iki</v>
      </c>
      <c r="I5" s="10" t="str">
        <f>IF(A1&gt;9,I6,I7)</f>
        <v xml:space="preserve"> iki</v>
      </c>
      <c r="J5" s="4"/>
      <c r="K5" s="5"/>
      <c r="L5" s="4"/>
      <c r="M5" s="12">
        <f>Data!C78</f>
        <v>12</v>
      </c>
    </row>
    <row r="6" spans="1:16">
      <c r="A6" s="11" t="b">
        <f>IF(A2=8,H27,IF(A2=9,H28))</f>
        <v>0</v>
      </c>
      <c r="B6" s="10" t="b">
        <f>IF(B2=1,B9,B12)</f>
        <v>0</v>
      </c>
      <c r="C6" s="10" t="b">
        <f>IF(C2=1,B20,IF(C2=2,B21,IF(C2=3,B22,IF(C2=4,B23,IF(C2=5,B24,IF(C2=6,B25,IF(C2=7,B26,IF(C2&gt;7,C8))))))))</f>
        <v>0</v>
      </c>
      <c r="D6" s="11" t="b">
        <f>IF(D2=8,I27,IF(D2=9,I28))</f>
        <v>0</v>
      </c>
      <c r="E6" s="10" t="b">
        <f>IF(E2=1,E9,E12)</f>
        <v>0</v>
      </c>
      <c r="F6" s="10" t="b">
        <f>IF(F2=1,G22,IF(F2=2,G23,IF(F2=3,B22,IF(F2=4,B23,IF(F2=5,B24,IF(F2=6,B25,IF(F2=7,B26,IF(F2&gt;7,F8))))))))</f>
        <v>0</v>
      </c>
      <c r="G6" s="11" t="b">
        <f>IF(G2=8,I27,IF(G2=9,I28))</f>
        <v>0</v>
      </c>
      <c r="H6" s="10" t="str">
        <f>IF(H2=1,H9,H12)</f>
        <v xml:space="preserve"> On iki</v>
      </c>
      <c r="I6" s="10" t="str">
        <f>IF(I2=1,B20,IF(I2=2,B21,IF(I2=3,B22,IF(I2=4,B23,IF(I2=5,B24,IF(I2=6,B25,IF(I2=7,B26,IF(I2&gt;7,I8))))))))</f>
        <v xml:space="preserve"> iki</v>
      </c>
      <c r="J6" s="4"/>
      <c r="K6" s="5"/>
      <c r="L6" s="4"/>
      <c r="M6" s="13" t="str">
        <f>CONCATENATE(M8,M9,M11)</f>
        <v>12-</v>
      </c>
    </row>
    <row r="7" spans="1:16">
      <c r="A7" s="4"/>
      <c r="B7" s="11" t="str">
        <f>IF(C2=0,F20,IF(C2=1,D20,IF(C2=2,D21,IF(C2=3,D22,IF(C2=4,D23,IF(C2=5,D24,IF(C2=6,D25,IF(C2&gt;6,B8))))))))</f>
        <v xml:space="preserve"> on</v>
      </c>
      <c r="C7" s="10" t="b">
        <f>IF(C2=1,A20,IF(C2=2,A21,IF(C2=3,A22,IF(C2=4,A23,IF(C2=5,A24,IF(C2=6,A25,IF(C2=7,A26,IF(C2&gt;7,C9))))))))</f>
        <v>0</v>
      </c>
      <c r="D7" s="14" t="b">
        <f>IF(D2=1,H20,IF(D2=2,H21,IF(D2=3,H22,IF(D2=4,H23,IF(D2=5,H24,IF(D2=6,H25,IF(D2=7,H26,IF(D2&gt;7,D8))))))))</f>
        <v>0</v>
      </c>
      <c r="E7" s="11" t="str">
        <f>IF(F2=0,F20,IF(F2=1,D20,IF(F2=2,D21,IF(F2=3,D22,IF(F2=4,D23,IF(F2=5,D24,IF(F2=6,D25,IF(F2&gt;6,E8))))))))</f>
        <v xml:space="preserve"> on</v>
      </c>
      <c r="F7" s="10" t="b">
        <f>IF(F2=1,G20,IF(F2=2,G21,IF(F2=3,A22,IF(F2=4,A23,IF(F2=5,A24,IF(F2=6,A25,IF(F2=7,A26,IF(F2&gt;7,F9))))))))</f>
        <v>0</v>
      </c>
      <c r="G7" s="14" t="b">
        <f>IF(G2=1,H20,IF(G2=2,H21,IF(G2=3,H22,IF(G2=4,H23,IF(G2=5,H24,IF(G2=6,H25,IF(G2=7,H26,IF(G2&gt;7,G8))))))))</f>
        <v>0</v>
      </c>
      <c r="H7" s="11" t="str">
        <f>IF(I2=0,F20,IF(I2=1,D20,IF(I2=2,D21,IF(I2=3,D22,IF(I2=4,D23,IF(I2=5,D24,IF(I2=6,D25,IF(I2&gt;6,H8))))))))</f>
        <v xml:space="preserve"> on iki</v>
      </c>
      <c r="I7" s="10" t="str">
        <f>IF(I2=1,A20,IF(I2=2,A21,IF(I2=3,A22,IF(I2=4,A23,IF(I2=5,A24,IF(I2=6,A25,IF(I2=7,A26,IF(I2&gt;7,I9))))))))</f>
        <v xml:space="preserve"> İki</v>
      </c>
      <c r="J7" s="4"/>
      <c r="K7" s="5"/>
      <c r="L7" s="4"/>
      <c r="M7" s="15"/>
    </row>
    <row r="8" spans="1:16">
      <c r="A8" s="4"/>
      <c r="B8" s="11" t="b">
        <f>IF(C2=7,D26,IF(C2=8,D27,IF(C2=9,D28)))</f>
        <v>0</v>
      </c>
      <c r="C8" s="10" t="b">
        <f>IF(C2=8,B27,IF(C2=9,B28))</f>
        <v>0</v>
      </c>
      <c r="D8" s="14" t="b">
        <f>IF(D2=8,H27,IF(D2=9,H28))</f>
        <v>0</v>
      </c>
      <c r="E8" s="11" t="b">
        <f>IF(F2=7,D26,IF(F2=8,D27,IF(F2=9,D28)))</f>
        <v>0</v>
      </c>
      <c r="F8" s="10" t="b">
        <f>IF(F2=8,B27,IF(F2=9,B28))</f>
        <v>0</v>
      </c>
      <c r="G8" s="14" t="b">
        <f>IF(G2=8,H27,IF(G2=9,H28))</f>
        <v>0</v>
      </c>
      <c r="H8" s="11" t="b">
        <f>IF(I2=7,D26,IF(I2=8,D27,IF(I2=9,D28)))</f>
        <v>0</v>
      </c>
      <c r="I8" s="10" t="b">
        <f>IF(I2=8,B27,IF(I2=9,B28))</f>
        <v>0</v>
      </c>
      <c r="J8" s="4"/>
      <c r="K8" s="5"/>
      <c r="L8" s="4"/>
      <c r="M8" s="16">
        <f>TRUNC(M5,0)</f>
        <v>12</v>
      </c>
    </row>
    <row r="9" spans="1:16">
      <c r="A9" s="4"/>
      <c r="B9" s="14" t="str">
        <f>IF(C2=0,E20,IF(C2=1,C20,IF(C2=2,C21,IF(C2=3,C22,IF(C2=4,C23,IF(C2=5,C24,IF(C2=6,C25,IF(C2&gt;6,B10))))))))</f>
        <v xml:space="preserve"> On</v>
      </c>
      <c r="C9" s="10" t="b">
        <f>IF(C2=8,A27,IF(C2=9,A28))</f>
        <v>0</v>
      </c>
      <c r="D9" s="4"/>
      <c r="E9" s="14" t="str">
        <f>IF(F2=0,E20,IF(F2=1,C20,IF(F2=2,C21,IF(F2=3,C22,IF(F2=4,C23,IF(F2=5,C24,IF(F2=6,C25,IF(F2&gt;6,E10))))))))</f>
        <v xml:space="preserve"> On</v>
      </c>
      <c r="F9" s="10" t="b">
        <f>IF(F2=8,A27,IF(F2=9,A28))</f>
        <v>0</v>
      </c>
      <c r="G9" s="4"/>
      <c r="H9" s="14" t="str">
        <f>IF(I2=0,E20,IF(I2=1,C20,IF(I2=2,C21,IF(I2=3,C22,IF(I2=4,C23,IF(I2=5,C24,IF(I2=6,C25,IF(I2&gt;6,H10))))))))</f>
        <v xml:space="preserve"> On iki</v>
      </c>
      <c r="I9" s="10" t="b">
        <f>IF(I2=8,A27,IF(I2=9,A28))</f>
        <v>0</v>
      </c>
      <c r="J9" s="4"/>
      <c r="K9" s="5"/>
      <c r="L9" s="4"/>
      <c r="M9" s="17" t="s">
        <v>9</v>
      </c>
    </row>
    <row r="10" spans="1:16">
      <c r="A10" s="4"/>
      <c r="B10" s="14" t="b">
        <f>IF(C2=7,C26,IF(C2=8,C27,IF(C2=9,C28)))</f>
        <v>0</v>
      </c>
      <c r="C10" s="4"/>
      <c r="D10" s="4"/>
      <c r="E10" s="14" t="b">
        <f>IF(F2=7,C26,IF(F2=8,C27,IF(F2=9,C28)))</f>
        <v>0</v>
      </c>
      <c r="F10" s="4"/>
      <c r="G10" s="4"/>
      <c r="H10" s="14" t="b">
        <f>IF(I2=7,C26,IF(I2=8,C27,IF(I2=9,C28)))</f>
        <v>0</v>
      </c>
      <c r="I10" s="4"/>
      <c r="J10" s="4"/>
      <c r="K10" s="5"/>
      <c r="L10" s="4"/>
      <c r="M10" s="18">
        <f>(M5-M8)*100</f>
        <v>0</v>
      </c>
    </row>
    <row r="11" spans="1:16">
      <c r="A11" s="4"/>
      <c r="B11" s="11" t="b">
        <f>IF(B2=2,F21,IF(B2=3,F22,IF(B2=4,F23,IF(B2=5,F24,IF(B2=6,F25,IF(B2=7,F26,IF(B2=8,F27,IF(B2=9,F28))))))))</f>
        <v>0</v>
      </c>
      <c r="C11" s="4"/>
      <c r="D11" s="4"/>
      <c r="E11" s="11" t="b">
        <f>IF(E2=2,F21,IF(E2=3,F22,IF(E2=4,F23,IF(E2=5,F24,IF(E2=6,F25,IF(E2=7,F26,IF(E2=8,F27,IF(E2=9,F28))))))))</f>
        <v>0</v>
      </c>
      <c r="F11" s="4"/>
      <c r="G11" s="4"/>
      <c r="H11" s="11" t="b">
        <f>IF(H2=2,F21,IF(H2=3,F22,IF(H2=4,F23,IF(H2=5,F24,IF(H2=6,F25,IF(H2=7,F26,IF(H2=8,F27,IF(H2=9,F28))))))))</f>
        <v>0</v>
      </c>
      <c r="I11" s="4"/>
      <c r="J11" s="4"/>
      <c r="K11" s="5"/>
      <c r="L11" s="4"/>
      <c r="M11" s="19"/>
    </row>
    <row r="12" spans="1:16">
      <c r="A12" s="4"/>
      <c r="B12" s="14" t="b">
        <f>IF(B2=2,E21,IF(B2=3,E22,IF(B2=4,E23,IF(B2=5,E24,IF(B2=6,E25,IF(B2=7,E26,IF(B2=8,E27,IF(B2=9,E28))))))))</f>
        <v>0</v>
      </c>
      <c r="C12" s="4"/>
      <c r="D12" s="4"/>
      <c r="E12" s="14" t="b">
        <f>IF(E2=2,E21,IF(E2=3,E22,IF(E2=4,E23,IF(E2=5,E24,IF(E2=6,E25,IF(E2=7,E26,IF(E2=8,E27,IF(E2=9,E28))))))))</f>
        <v>0</v>
      </c>
      <c r="F12" s="4"/>
      <c r="G12" s="4"/>
      <c r="H12" s="14" t="b">
        <f>IF(H2=2,E21,IF(H2=3,E22,IF(H2=4,E23,IF(H2=5,E24,IF(H2=6,E25,IF(H2=7,E26,IF(H2=8,E27,IF(H2=9,E28))))))))</f>
        <v>0</v>
      </c>
      <c r="I12" s="4"/>
      <c r="J12" s="4"/>
      <c r="K12" s="5"/>
      <c r="L12" s="4"/>
      <c r="M12" s="12"/>
    </row>
    <row r="13" spans="1:16">
      <c r="A13" s="4"/>
      <c r="B13" s="4"/>
      <c r="C13" s="4"/>
      <c r="D13" s="4"/>
      <c r="E13" s="4"/>
      <c r="F13" s="4"/>
      <c r="G13" s="4"/>
      <c r="H13" s="4"/>
      <c r="I13" s="4"/>
      <c r="J13" s="4"/>
      <c r="K13" s="5"/>
      <c r="L13" s="4"/>
      <c r="M13" s="6">
        <f>M5+M11/100</f>
        <v>12</v>
      </c>
    </row>
    <row r="14" spans="1:16">
      <c r="A14" s="4"/>
      <c r="B14" s="4"/>
      <c r="C14" s="4"/>
      <c r="D14" s="4"/>
      <c r="E14" s="4"/>
      <c r="F14" s="4"/>
      <c r="G14" s="4"/>
      <c r="H14" s="4"/>
      <c r="I14" s="4"/>
      <c r="J14" s="4"/>
      <c r="K14" s="5"/>
      <c r="L14" s="4"/>
      <c r="M14" s="20">
        <f>M13/6</f>
        <v>2</v>
      </c>
    </row>
    <row r="15" spans="1:16">
      <c r="A15" s="4"/>
      <c r="B15" s="4"/>
      <c r="C15" s="4"/>
      <c r="D15" s="4"/>
      <c r="E15" s="4"/>
      <c r="F15" s="4"/>
      <c r="G15" s="4"/>
      <c r="H15" s="4"/>
      <c r="I15" s="4"/>
      <c r="J15" s="4"/>
      <c r="K15" s="5"/>
      <c r="L15" s="4"/>
      <c r="M15" s="21">
        <f>M13/6</f>
        <v>2</v>
      </c>
    </row>
    <row r="16" spans="1:16">
      <c r="A16" s="4"/>
      <c r="B16" s="4"/>
      <c r="C16" s="4"/>
      <c r="D16" s="4"/>
      <c r="E16" s="4"/>
      <c r="F16" s="4"/>
      <c r="G16" s="4"/>
      <c r="H16" s="4"/>
      <c r="I16" s="4"/>
      <c r="J16" s="4"/>
      <c r="K16" s="5"/>
      <c r="L16" s="4"/>
      <c r="M16" s="22">
        <f>TRUNC(M15,0)</f>
        <v>2</v>
      </c>
    </row>
    <row r="17" spans="1:13">
      <c r="A17" s="4"/>
      <c r="B17" s="4"/>
      <c r="C17" s="4"/>
      <c r="D17" s="4"/>
      <c r="E17" s="4"/>
      <c r="F17" s="4"/>
      <c r="G17" s="4"/>
      <c r="H17" s="4"/>
      <c r="I17" s="4"/>
      <c r="J17" s="4"/>
      <c r="K17" s="5"/>
      <c r="L17" s="4"/>
      <c r="M17" s="23">
        <f>M16</f>
        <v>2</v>
      </c>
    </row>
    <row r="18" spans="1:13">
      <c r="A18" s="4"/>
      <c r="B18" s="4"/>
      <c r="C18" s="4"/>
      <c r="D18" s="4"/>
      <c r="E18" s="4"/>
      <c r="F18" s="4"/>
      <c r="G18" s="4"/>
      <c r="H18" s="4"/>
      <c r="I18" s="4"/>
      <c r="J18" s="4"/>
      <c r="K18" s="5"/>
      <c r="L18" s="4"/>
      <c r="M18" s="19">
        <f>(M15-M17)*100</f>
        <v>0</v>
      </c>
    </row>
    <row r="19" spans="1:13">
      <c r="A19" s="4"/>
      <c r="B19" s="4"/>
      <c r="C19" s="4"/>
      <c r="D19" s="4"/>
      <c r="E19" s="4"/>
      <c r="F19" s="4"/>
      <c r="G19" s="4"/>
      <c r="H19" s="4"/>
      <c r="I19" s="4"/>
      <c r="J19" s="4"/>
      <c r="K19" s="5"/>
      <c r="L19" s="4"/>
      <c r="M19" s="24" t="str">
        <f>CONCATENATE(M17,M9,M18)</f>
        <v>2-0</v>
      </c>
    </row>
    <row r="20" spans="1:13">
      <c r="A20" s="25" t="s">
        <v>10</v>
      </c>
      <c r="B20" s="25" t="s">
        <v>11</v>
      </c>
      <c r="C20" s="25" t="s">
        <v>12</v>
      </c>
      <c r="D20" s="25" t="s">
        <v>13</v>
      </c>
      <c r="E20" s="25" t="s">
        <v>14</v>
      </c>
      <c r="F20" s="25" t="s">
        <v>15</v>
      </c>
      <c r="G20" s="25" t="s">
        <v>10</v>
      </c>
      <c r="H20" s="25" t="s">
        <v>16</v>
      </c>
      <c r="I20" s="25" t="s">
        <v>17</v>
      </c>
      <c r="J20" s="4"/>
      <c r="K20" s="5"/>
      <c r="L20" s="4"/>
    </row>
    <row r="21" spans="1:13">
      <c r="A21" s="25" t="s">
        <v>18</v>
      </c>
      <c r="B21" s="25" t="s">
        <v>19</v>
      </c>
      <c r="C21" s="25" t="s">
        <v>20</v>
      </c>
      <c r="D21" s="25" t="s">
        <v>21</v>
      </c>
      <c r="E21" s="25" t="s">
        <v>22</v>
      </c>
      <c r="F21" s="25" t="s">
        <v>23</v>
      </c>
      <c r="G21" s="25" t="s">
        <v>18</v>
      </c>
      <c r="H21" s="25" t="s">
        <v>24</v>
      </c>
      <c r="I21" s="25" t="s">
        <v>25</v>
      </c>
      <c r="J21" s="4"/>
      <c r="K21" s="5"/>
      <c r="L21" s="4"/>
      <c r="M21" s="19">
        <v>1.9999999999996021</v>
      </c>
    </row>
    <row r="22" spans="1:13">
      <c r="A22" s="25" t="s">
        <v>26</v>
      </c>
      <c r="B22" s="25" t="s">
        <v>27</v>
      </c>
      <c r="C22" s="25" t="s">
        <v>28</v>
      </c>
      <c r="D22" s="25" t="s">
        <v>29</v>
      </c>
      <c r="E22" s="25" t="s">
        <v>30</v>
      </c>
      <c r="F22" s="25" t="s">
        <v>31</v>
      </c>
      <c r="G22" s="25" t="s">
        <v>11</v>
      </c>
      <c r="H22" s="25" t="s">
        <v>32</v>
      </c>
      <c r="I22" s="25" t="s">
        <v>33</v>
      </c>
      <c r="J22" s="4"/>
      <c r="K22" s="5"/>
      <c r="L22" s="4"/>
    </row>
    <row r="23" spans="1:13">
      <c r="A23" s="25" t="s">
        <v>34</v>
      </c>
      <c r="B23" s="25" t="s">
        <v>35</v>
      </c>
      <c r="C23" s="25" t="s">
        <v>36</v>
      </c>
      <c r="D23" s="25" t="s">
        <v>37</v>
      </c>
      <c r="E23" s="26" t="s">
        <v>38</v>
      </c>
      <c r="F23" s="25" t="s">
        <v>39</v>
      </c>
      <c r="G23" s="25" t="s">
        <v>19</v>
      </c>
      <c r="H23" s="27" t="s">
        <v>40</v>
      </c>
      <c r="I23" s="25" t="s">
        <v>41</v>
      </c>
      <c r="J23" s="4"/>
      <c r="K23" s="5"/>
      <c r="L23" s="4"/>
    </row>
    <row r="24" spans="1:13">
      <c r="A24" s="25" t="s">
        <v>42</v>
      </c>
      <c r="B24" s="25" t="s">
        <v>43</v>
      </c>
      <c r="C24" s="25" t="s">
        <v>44</v>
      </c>
      <c r="D24" s="25" t="s">
        <v>45</v>
      </c>
      <c r="E24" s="25" t="s">
        <v>46</v>
      </c>
      <c r="F24" s="25" t="s">
        <v>47</v>
      </c>
      <c r="G24" s="25"/>
      <c r="H24" s="25" t="s">
        <v>48</v>
      </c>
      <c r="I24" s="25" t="s">
        <v>49</v>
      </c>
      <c r="J24" s="4"/>
      <c r="K24" s="5"/>
      <c r="L24" s="4"/>
    </row>
    <row r="25" spans="1:13">
      <c r="A25" s="25" t="s">
        <v>50</v>
      </c>
      <c r="B25" s="25" t="s">
        <v>51</v>
      </c>
      <c r="C25" s="25" t="s">
        <v>52</v>
      </c>
      <c r="D25" s="25" t="s">
        <v>53</v>
      </c>
      <c r="E25" s="25" t="s">
        <v>54</v>
      </c>
      <c r="F25" s="25" t="s">
        <v>55</v>
      </c>
      <c r="G25" s="25"/>
      <c r="H25" s="25" t="s">
        <v>56</v>
      </c>
      <c r="I25" s="25" t="s">
        <v>57</v>
      </c>
      <c r="J25" s="4"/>
      <c r="K25" s="5"/>
      <c r="L25" s="4"/>
    </row>
    <row r="26" spans="1:13">
      <c r="A26" s="25" t="s">
        <v>58</v>
      </c>
      <c r="B26" s="25" t="s">
        <v>59</v>
      </c>
      <c r="C26" s="25" t="s">
        <v>60</v>
      </c>
      <c r="D26" s="25" t="s">
        <v>61</v>
      </c>
      <c r="E26" s="25" t="s">
        <v>62</v>
      </c>
      <c r="F26" s="25" t="s">
        <v>63</v>
      </c>
      <c r="G26" s="25"/>
      <c r="H26" s="25" t="s">
        <v>64</v>
      </c>
      <c r="I26" s="25" t="s">
        <v>65</v>
      </c>
      <c r="J26" s="4"/>
      <c r="K26" s="5"/>
      <c r="L26" s="4"/>
    </row>
    <row r="27" spans="1:13">
      <c r="A27" s="25" t="s">
        <v>66</v>
      </c>
      <c r="B27" s="25" t="s">
        <v>67</v>
      </c>
      <c r="C27" s="25" t="s">
        <v>68</v>
      </c>
      <c r="D27" s="25" t="s">
        <v>69</v>
      </c>
      <c r="E27" s="25" t="s">
        <v>70</v>
      </c>
      <c r="F27" s="25" t="s">
        <v>71</v>
      </c>
      <c r="G27" s="25"/>
      <c r="H27" s="25" t="s">
        <v>72</v>
      </c>
      <c r="I27" s="25" t="s">
        <v>73</v>
      </c>
      <c r="J27" s="4"/>
      <c r="K27" s="5"/>
      <c r="L27" s="4"/>
    </row>
    <row r="28" spans="1:13">
      <c r="A28" s="25" t="s">
        <v>74</v>
      </c>
      <c r="B28" s="25" t="s">
        <v>75</v>
      </c>
      <c r="C28" s="25" t="s">
        <v>76</v>
      </c>
      <c r="D28" s="25" t="s">
        <v>77</v>
      </c>
      <c r="E28" s="25" t="s">
        <v>78</v>
      </c>
      <c r="F28" s="25" t="s">
        <v>79</v>
      </c>
      <c r="G28" s="25"/>
      <c r="H28" s="25" t="s">
        <v>80</v>
      </c>
      <c r="I28" s="25" t="s">
        <v>81</v>
      </c>
      <c r="J28" s="4"/>
      <c r="K28" s="5"/>
      <c r="L28" s="4"/>
    </row>
    <row r="29" spans="1:13">
      <c r="A29" s="4"/>
      <c r="B29" s="4"/>
      <c r="C29" s="4"/>
      <c r="D29" s="4"/>
      <c r="E29" s="4"/>
      <c r="F29" s="4"/>
      <c r="G29" s="4"/>
      <c r="H29" s="4"/>
      <c r="I29" s="4"/>
      <c r="J29" s="4"/>
      <c r="K29" s="5"/>
      <c r="L29" s="4"/>
    </row>
    <row r="30" spans="1:13">
      <c r="A30" s="28">
        <f t="shared" ref="A30:I30" si="1">A3</f>
        <v>0</v>
      </c>
      <c r="B30" s="28">
        <f t="shared" si="1"/>
        <v>0</v>
      </c>
      <c r="C30" s="28">
        <f t="shared" si="1"/>
        <v>0</v>
      </c>
      <c r="D30" s="28">
        <f t="shared" si="1"/>
        <v>0</v>
      </c>
      <c r="E30" s="28">
        <f t="shared" si="1"/>
        <v>0</v>
      </c>
      <c r="F30" s="28">
        <f t="shared" si="1"/>
        <v>0</v>
      </c>
      <c r="G30" s="28">
        <f t="shared" si="1"/>
        <v>0</v>
      </c>
      <c r="H30" s="28" t="str">
        <f t="shared" si="1"/>
        <v xml:space="preserve"> On iki</v>
      </c>
      <c r="I30" s="28">
        <f t="shared" si="1"/>
        <v>0</v>
      </c>
      <c r="J30" s="3"/>
      <c r="K30" s="4"/>
      <c r="L30" s="4"/>
    </row>
    <row r="31" spans="1:13">
      <c r="A31" s="29">
        <f>A30</f>
        <v>0</v>
      </c>
      <c r="B31" s="29">
        <f>B30</f>
        <v>0</v>
      </c>
      <c r="C31" s="29">
        <f>C30</f>
        <v>0</v>
      </c>
      <c r="D31" s="14" t="str">
        <f>M4</f>
        <v xml:space="preserve"> milyon</v>
      </c>
      <c r="E31" s="29">
        <f>D30</f>
        <v>0</v>
      </c>
      <c r="F31" s="29">
        <f>E30</f>
        <v>0</v>
      </c>
      <c r="G31" s="29">
        <f>F30</f>
        <v>0</v>
      </c>
      <c r="H31" s="14" t="str">
        <f>M3</f>
        <v xml:space="preserve"> min</v>
      </c>
      <c r="I31" s="29">
        <f>G30</f>
        <v>0</v>
      </c>
      <c r="J31" s="29" t="str">
        <f>H30</f>
        <v xml:space="preserve"> On iki</v>
      </c>
      <c r="K31" s="29">
        <f>I30</f>
        <v>0</v>
      </c>
      <c r="L31" s="14" t="str">
        <f>M2</f>
        <v xml:space="preserve"> </v>
      </c>
    </row>
    <row r="32" spans="1:13">
      <c r="A32" s="30">
        <f>IF(A31=0,0,1)</f>
        <v>0</v>
      </c>
      <c r="B32" s="30">
        <f>IF(B31=0,0,1)</f>
        <v>0</v>
      </c>
      <c r="C32" s="30">
        <f>IF(C31=0,0,1)</f>
        <v>0</v>
      </c>
      <c r="D32" s="30">
        <v>1</v>
      </c>
      <c r="E32" s="30">
        <f>IF(E31=0,0,1)</f>
        <v>0</v>
      </c>
      <c r="F32" s="30">
        <f>IF(F31=0,0,1)</f>
        <v>0</v>
      </c>
      <c r="G32" s="30">
        <f>IF(G31=0,0,1)</f>
        <v>0</v>
      </c>
      <c r="H32" s="30">
        <v>1</v>
      </c>
      <c r="I32" s="30">
        <f>IF(I31=0,0,1)</f>
        <v>0</v>
      </c>
      <c r="J32" s="30">
        <f>IF(J31=0,0,1)</f>
        <v>1</v>
      </c>
      <c r="K32" s="30">
        <f>IF(K31=0,0,1)</f>
        <v>0</v>
      </c>
      <c r="L32" s="30">
        <v>1</v>
      </c>
    </row>
    <row r="33" spans="1:12">
      <c r="A33" s="31" t="str">
        <f>IF(L45=1,A31,A34)</f>
        <v xml:space="preserve"> On iki</v>
      </c>
      <c r="B33" s="31" t="str">
        <f>IF(L44=2,B31,IF(L44=1,B34,IF(L44=0,B35)))</f>
        <v xml:space="preserve"> </v>
      </c>
      <c r="C33" s="31">
        <f>IF(L43=3,C31,IF(L43=2,D31,IF(L43=1,D35,IF(L43=0,C34))))</f>
        <v>0</v>
      </c>
      <c r="D33" s="31">
        <f>IF(L42=4,D31,IF(L42=3,D35,IF(L42=2,D34,IF(L42=1,D43))))</f>
        <v>0</v>
      </c>
      <c r="E33" s="31">
        <f>IF(L41=5,E31,IF(L41=4,E34,IF(L41=3,E39,IF(L41=2,E52,E49))))</f>
        <v>0</v>
      </c>
      <c r="F33" s="31">
        <f>IF(L40=6,F31,IF(L40=5,F34,IF(L40=4,F35,IF(L40=3,F37,IF(L40=2,F41,IF(L40=1,F44))))))</f>
        <v>0</v>
      </c>
      <c r="G33" s="31">
        <f>IF(L39=7,G31,IF(L39=6,H31,IF(L39=5,H34,IF(L39=4,G34,IF(L39=3,G38,IF(L39=2,G36,0))))))</f>
        <v>0</v>
      </c>
      <c r="H33" s="31">
        <f>IF(L38=8,H31,IF(L38=7,H34,IF(L38=6,H38,IF(L38=5,H43,IF(L38=4,H44,0)))))</f>
        <v>0</v>
      </c>
      <c r="I33" s="31">
        <f>IF(L37=9,I31,IF(L37=8,I34,IF(L37=7,I36,IF(L37=6,I37,0))))</f>
        <v>0</v>
      </c>
      <c r="J33" s="31">
        <f>IF(L36=10,J31,IF(L36=9,J34,IF(L36=8,J35,0)))</f>
        <v>0</v>
      </c>
      <c r="K33" s="31">
        <f>IF(L35=11,K31,IF(L35=10,L31,))</f>
        <v>0</v>
      </c>
      <c r="L33" s="31">
        <f>IF(L34=12,L31,0)</f>
        <v>0</v>
      </c>
    </row>
    <row r="34" spans="1:12">
      <c r="A34" s="11" t="str">
        <f>IF(B32=0,A35,B31)</f>
        <v xml:space="preserve"> On iki</v>
      </c>
      <c r="B34" s="11" t="str">
        <f>IF(C32=0,D31,C31)</f>
        <v xml:space="preserve"> milyon</v>
      </c>
      <c r="C34" s="11">
        <f>IF(L48=3,G31,IF(L48=2,H31,IF(L48=1,H34,H41)))</f>
        <v>0</v>
      </c>
      <c r="D34" s="32" t="str">
        <f>IF(E31=0,D38,D40)</f>
        <v xml:space="preserve"> </v>
      </c>
      <c r="E34" s="33" t="str">
        <f>IF(L49=3,E35,E37)</f>
        <v xml:space="preserve"> min</v>
      </c>
      <c r="F34" s="11" t="str">
        <f>IF(G31=0,H31,G31)</f>
        <v xml:space="preserve"> min</v>
      </c>
      <c r="G34" s="33">
        <f>IF(L48=0,H41,G37)</f>
        <v>0</v>
      </c>
      <c r="H34" s="33" t="str">
        <f>IF(L47=0,L31,IF(L47=1,H35,IF(L47=2,H37,IF(L47=3,I31))))</f>
        <v xml:space="preserve"> On iki</v>
      </c>
      <c r="I34" s="33" t="str">
        <f>IF(L46=1,L31,IF(L46=2,I35,IF(L46=3,J31)))</f>
        <v xml:space="preserve"> On iki</v>
      </c>
      <c r="J34" s="11" t="str">
        <f>IF(K32=0,L31,K31)</f>
        <v xml:space="preserve"> </v>
      </c>
      <c r="K34" s="4"/>
      <c r="L34" s="34">
        <f>SUM(A32:L32)</f>
        <v>4</v>
      </c>
    </row>
    <row r="35" spans="1:12">
      <c r="A35" s="11" t="str">
        <f>IF(C31=0,A36,C31)</f>
        <v xml:space="preserve"> On iki</v>
      </c>
      <c r="B35" s="11" t="str">
        <f>IF(C31=0,D34,D31)</f>
        <v xml:space="preserve"> </v>
      </c>
      <c r="C35" s="4"/>
      <c r="D35" s="11" t="str">
        <f>IF(E32=0,D36,E31)</f>
        <v xml:space="preserve"> On iki</v>
      </c>
      <c r="E35" s="33" t="str">
        <f>IF(F32=0,E36,F31)</f>
        <v xml:space="preserve"> On iki</v>
      </c>
      <c r="F35" s="35" t="str">
        <f>IF(L48=0,H38,F36)</f>
        <v xml:space="preserve"> </v>
      </c>
      <c r="G35" s="11">
        <f>IF(L48=0,H42,H41)</f>
        <v>0</v>
      </c>
      <c r="H35" s="14" t="str">
        <f>IF(I32=0,H36,I31)</f>
        <v xml:space="preserve"> On iki</v>
      </c>
      <c r="I35" s="33" t="str">
        <f>IF(J32=0,K31,J31)</f>
        <v xml:space="preserve"> On iki</v>
      </c>
      <c r="J35" s="11">
        <f>IF(K32=0,0,L31)</f>
        <v>0</v>
      </c>
      <c r="K35" s="4"/>
      <c r="L35" s="14">
        <f>SUM(A32:K32)</f>
        <v>3</v>
      </c>
    </row>
    <row r="36" spans="1:12">
      <c r="A36" s="11" t="str">
        <f>IF(E32=0,A37,E31)</f>
        <v xml:space="preserve"> On iki</v>
      </c>
      <c r="B36" s="4"/>
      <c r="C36" s="4"/>
      <c r="D36" s="11" t="str">
        <f>IF(F32=0,D37,F31)</f>
        <v xml:space="preserve"> On iki</v>
      </c>
      <c r="E36" s="33" t="str">
        <f>IF(G32=0,H34,G31)</f>
        <v xml:space="preserve"> On iki</v>
      </c>
      <c r="F36" s="33" t="str">
        <f>IF(G32=0,H34,H31)</f>
        <v xml:space="preserve"> On iki</v>
      </c>
      <c r="G36" s="11">
        <f>IF(L48=0,0,G39)</f>
        <v>0</v>
      </c>
      <c r="H36" s="14" t="str">
        <f>IF(J32=0,K31,J31)</f>
        <v xml:space="preserve"> On iki</v>
      </c>
      <c r="I36" s="11" t="str">
        <f>IF(L46=3,K31,IF(L46=2,L31,IF(L46=1,0)))</f>
        <v xml:space="preserve"> </v>
      </c>
      <c r="J36" s="4"/>
      <c r="K36" s="4"/>
      <c r="L36" s="14">
        <f>SUM(A32:J32)</f>
        <v>3</v>
      </c>
    </row>
    <row r="37" spans="1:12">
      <c r="A37" s="11" t="str">
        <f>IF(F32=0,A38,F31)</f>
        <v xml:space="preserve"> On iki</v>
      </c>
      <c r="B37" s="4"/>
      <c r="C37" s="4"/>
      <c r="D37" s="11" t="str">
        <f>IF(G32=0,H34,G31)</f>
        <v xml:space="preserve"> On iki</v>
      </c>
      <c r="E37" s="33" t="str">
        <f>IF(F32=0,E38,F31)</f>
        <v xml:space="preserve"> min</v>
      </c>
      <c r="F37" s="11">
        <f>IF(L49=0,F38,F39)</f>
        <v>0</v>
      </c>
      <c r="G37" s="11">
        <f>IF(L49=0,H41,H38)</f>
        <v>0</v>
      </c>
      <c r="H37" s="11" t="str">
        <f>IF(I32=0,J31,I31)</f>
        <v xml:space="preserve"> On iki</v>
      </c>
      <c r="I37" s="11">
        <f>IF(L49=0,0,I38)</f>
        <v>0</v>
      </c>
      <c r="J37" s="4"/>
      <c r="K37" s="4"/>
      <c r="L37" s="14">
        <f>SUM(A32:I32)</f>
        <v>2</v>
      </c>
    </row>
    <row r="38" spans="1:12">
      <c r="A38" s="11" t="str">
        <f>IF(G32=0,A39,G31)</f>
        <v xml:space="preserve"> On iki</v>
      </c>
      <c r="B38" s="4"/>
      <c r="C38" s="4"/>
      <c r="D38" s="32" t="str">
        <f>IF(F31=0,D39,D42)</f>
        <v xml:space="preserve"> </v>
      </c>
      <c r="E38" s="33" t="str">
        <f>IF(G32=0,H31,G31)</f>
        <v xml:space="preserve"> min</v>
      </c>
      <c r="F38" s="11">
        <f>IF(G31=0,H41,H38)</f>
        <v>0</v>
      </c>
      <c r="G38" s="14">
        <f>IF(L49=0,H42,G35)</f>
        <v>0</v>
      </c>
      <c r="H38" s="32" t="str">
        <f>IF(L47=0,0,IF(L47=1,L31,IF(L47=2,H39,IF(L47=3,J31))))</f>
        <v xml:space="preserve"> </v>
      </c>
      <c r="I38" s="11">
        <f>IF(L48=0,0,I39)</f>
        <v>0</v>
      </c>
      <c r="J38" s="4"/>
      <c r="K38" s="4"/>
      <c r="L38" s="33">
        <f>SUM(A32:H32)</f>
        <v>2</v>
      </c>
    </row>
    <row r="39" spans="1:12">
      <c r="A39" s="11" t="str">
        <f>IF(I32=0,A40,I31)</f>
        <v xml:space="preserve"> On iki</v>
      </c>
      <c r="B39" s="4"/>
      <c r="C39" s="4"/>
      <c r="D39" s="32" t="str">
        <f>IF(G31=0,H38,H31)</f>
        <v xml:space="preserve"> </v>
      </c>
      <c r="E39" s="14" t="str">
        <f>IF(L49=2,E40,E43)</f>
        <v xml:space="preserve"> On iki</v>
      </c>
      <c r="F39" s="32">
        <f>IF(L48=0,H41,F40)</f>
        <v>0</v>
      </c>
      <c r="G39" s="11">
        <f>IF(L49=0,0,H42)</f>
        <v>0</v>
      </c>
      <c r="H39" s="11">
        <f>IF(I32=0,K31,H40)</f>
        <v>0</v>
      </c>
      <c r="I39" s="11">
        <f>IF(L47=3,L31,I40)</f>
        <v>0</v>
      </c>
      <c r="J39" s="4"/>
      <c r="K39" s="4"/>
      <c r="L39" s="11">
        <f>SUM(A32:G32)</f>
        <v>1</v>
      </c>
    </row>
    <row r="40" spans="1:12">
      <c r="A40" s="11" t="str">
        <f>IF(J32=0,A41,J31)</f>
        <v xml:space="preserve"> On iki</v>
      </c>
      <c r="B40" s="4"/>
      <c r="C40" s="4"/>
      <c r="D40" s="32" t="str">
        <f>IF(F32=0,D41,F31)</f>
        <v xml:space="preserve"> min</v>
      </c>
      <c r="E40" s="11" t="str">
        <f>IF(F32=0,E41,E42)</f>
        <v xml:space="preserve"> </v>
      </c>
      <c r="F40" s="32" t="str">
        <f>IF(G32=0,H38,H34)</f>
        <v xml:space="preserve"> </v>
      </c>
      <c r="G40" s="4"/>
      <c r="H40" s="11" t="str">
        <f>IF(J32=0,K31,J31)</f>
        <v xml:space="preserve"> On iki</v>
      </c>
      <c r="I40" s="11">
        <f>IF(L47=2,L31,0)</f>
        <v>0</v>
      </c>
      <c r="J40" s="4"/>
      <c r="K40" s="4"/>
      <c r="L40" s="11">
        <f>SUM(A32:F32)</f>
        <v>1</v>
      </c>
    </row>
    <row r="41" spans="1:12">
      <c r="A41" s="11">
        <f>IF(K32=0,0,K31)</f>
        <v>0</v>
      </c>
      <c r="B41" s="4"/>
      <c r="C41" s="4"/>
      <c r="D41" s="32" t="str">
        <f>IF(G32=0,H31,G31)</f>
        <v xml:space="preserve"> min</v>
      </c>
      <c r="E41" s="11" t="str">
        <f>IF(G32=0,H38,H31)</f>
        <v xml:space="preserve"> </v>
      </c>
      <c r="F41" s="14">
        <f>IF(L49=0,F43,F42)</f>
        <v>0</v>
      </c>
      <c r="G41" s="4"/>
      <c r="H41" s="32">
        <f>IF(L47=3,K31,IF(L47=2,L31,0))</f>
        <v>0</v>
      </c>
      <c r="I41" s="4"/>
      <c r="J41" s="4"/>
      <c r="K41" s="4"/>
      <c r="L41" s="33">
        <f>SUM(A32:E32)</f>
        <v>1</v>
      </c>
    </row>
    <row r="42" spans="1:12">
      <c r="A42" s="4"/>
      <c r="B42" s="4"/>
      <c r="C42" s="4"/>
      <c r="D42" s="32" t="str">
        <f>IF(G32=0,H31,G31)</f>
        <v xml:space="preserve"> min</v>
      </c>
      <c r="E42" s="11" t="str">
        <f>IF(G32=0,H31,G31)</f>
        <v xml:space="preserve"> min</v>
      </c>
      <c r="F42" s="14">
        <f>IF(G32=0,H41,H38)</f>
        <v>0</v>
      </c>
      <c r="G42" s="4"/>
      <c r="H42" s="33">
        <f>IF(L47=3,L31,0)</f>
        <v>0</v>
      </c>
      <c r="I42" s="4"/>
      <c r="J42" s="4"/>
      <c r="K42" s="4"/>
      <c r="L42" s="10">
        <f>SUM(A32:D32)</f>
        <v>1</v>
      </c>
    </row>
    <row r="43" spans="1:12">
      <c r="A43" s="4"/>
      <c r="B43" s="4"/>
      <c r="C43" s="4"/>
      <c r="D43" s="11">
        <f>IF(L48=3,H31,IF(L48=2,H34,IF(L48=1,H38,IF(L48=0,H42))))</f>
        <v>0</v>
      </c>
      <c r="E43" s="14" t="str">
        <f>IF(F32=0,E44,E45)</f>
        <v xml:space="preserve"> On iki</v>
      </c>
      <c r="F43" s="14">
        <f>IF(G31=0,H42,H41)</f>
        <v>0</v>
      </c>
      <c r="G43" s="4"/>
      <c r="H43" s="14">
        <f>IF(L49=0,H42,H41)</f>
        <v>0</v>
      </c>
      <c r="I43" s="4"/>
      <c r="J43" s="4"/>
      <c r="K43" s="4"/>
      <c r="L43" s="10">
        <f>SUM(A32:C32)</f>
        <v>0</v>
      </c>
    </row>
    <row r="44" spans="1:12">
      <c r="A44" s="4"/>
      <c r="B44" s="4"/>
      <c r="C44" s="4"/>
      <c r="D44" s="4"/>
      <c r="E44" s="14" t="str">
        <f>IF(G32=0,H34,H31)</f>
        <v xml:space="preserve"> On iki</v>
      </c>
      <c r="F44" s="14">
        <f>IF(G31=0,0,H42)</f>
        <v>0</v>
      </c>
      <c r="G44" s="4"/>
      <c r="H44" s="11">
        <f>IF(L49=0,0,H42)</f>
        <v>0</v>
      </c>
      <c r="I44" s="4"/>
      <c r="J44" s="4"/>
      <c r="K44" s="4"/>
      <c r="L44" s="10">
        <f>SUM(A32:B32)</f>
        <v>0</v>
      </c>
    </row>
    <row r="45" spans="1:12">
      <c r="A45" s="4"/>
      <c r="B45" s="4"/>
      <c r="C45" s="4"/>
      <c r="D45" s="4"/>
      <c r="E45" s="14" t="str">
        <f>IF(G32=0,H31,G31)</f>
        <v xml:space="preserve"> min</v>
      </c>
      <c r="F45" s="4"/>
      <c r="G45" s="4"/>
      <c r="H45" s="4"/>
      <c r="I45" s="4"/>
      <c r="J45" s="4"/>
      <c r="K45" s="4"/>
      <c r="L45" s="10">
        <f>SUM(A32)</f>
        <v>0</v>
      </c>
    </row>
    <row r="46" spans="1:12">
      <c r="A46" s="4"/>
      <c r="B46" s="4"/>
      <c r="C46" s="4"/>
      <c r="D46" s="4"/>
      <c r="E46" s="33">
        <f>IF(F32=0,E47,E48)</f>
        <v>0</v>
      </c>
      <c r="F46" s="4"/>
      <c r="G46" s="4"/>
      <c r="H46" s="4"/>
      <c r="I46" s="4"/>
      <c r="J46" s="4"/>
      <c r="K46" s="4"/>
      <c r="L46" s="11">
        <f>SUM(J32:L32)</f>
        <v>2</v>
      </c>
    </row>
    <row r="47" spans="1:12">
      <c r="A47" s="4"/>
      <c r="B47" s="4"/>
      <c r="C47" s="4"/>
      <c r="D47" s="4"/>
      <c r="E47" s="33">
        <f>IF(G32=0,H41,H34)</f>
        <v>0</v>
      </c>
      <c r="F47" s="4"/>
      <c r="G47" s="4"/>
      <c r="H47" s="4"/>
      <c r="I47" s="4"/>
      <c r="J47" s="4"/>
      <c r="K47" s="4"/>
      <c r="L47" s="33">
        <f>SUM(I32:K32)</f>
        <v>1</v>
      </c>
    </row>
    <row r="48" spans="1:12">
      <c r="A48" s="4"/>
      <c r="B48" s="4"/>
      <c r="C48" s="4"/>
      <c r="D48" s="4"/>
      <c r="E48" s="33" t="str">
        <f>IF(G31=0,H34,H31)</f>
        <v xml:space="preserve"> On iki</v>
      </c>
      <c r="F48" s="4"/>
      <c r="G48" s="4"/>
      <c r="H48" s="4"/>
      <c r="I48" s="4"/>
      <c r="J48" s="4"/>
      <c r="K48" s="4"/>
      <c r="L48" s="10">
        <f>SUM(E32:G32)</f>
        <v>0</v>
      </c>
    </row>
    <row r="49" spans="1:12">
      <c r="A49" s="4"/>
      <c r="B49" s="4"/>
      <c r="C49" s="4"/>
      <c r="D49" s="4"/>
      <c r="E49" s="32">
        <f>IF(F31=0,E50,E51)</f>
        <v>0</v>
      </c>
      <c r="F49" s="4"/>
      <c r="G49" s="4"/>
      <c r="H49" s="4"/>
      <c r="I49" s="4"/>
      <c r="J49" s="4"/>
      <c r="K49" s="4"/>
      <c r="L49" s="33">
        <f>SUM(A32:C32)</f>
        <v>0</v>
      </c>
    </row>
    <row r="50" spans="1:12">
      <c r="A50" s="4"/>
      <c r="B50" s="4"/>
      <c r="C50" s="4"/>
      <c r="D50" s="4"/>
      <c r="E50" s="32">
        <f>IF(G31=0,0,H41)</f>
        <v>0</v>
      </c>
      <c r="F50" s="4"/>
      <c r="G50" s="4"/>
      <c r="H50" s="4"/>
      <c r="I50" s="4"/>
      <c r="J50" s="4"/>
      <c r="K50" s="4"/>
      <c r="L50" s="4"/>
    </row>
    <row r="51" spans="1:12">
      <c r="A51" s="4"/>
      <c r="B51" s="4"/>
      <c r="C51" s="4"/>
      <c r="D51" s="4"/>
      <c r="E51" s="32">
        <f>IF(G32=0,H41,H38)</f>
        <v>0</v>
      </c>
      <c r="F51" s="4"/>
      <c r="G51" s="4"/>
      <c r="H51" s="4"/>
      <c r="I51" s="4"/>
      <c r="J51" s="4"/>
      <c r="K51" s="4"/>
      <c r="L51" s="4"/>
    </row>
    <row r="52" spans="1:12">
      <c r="A52" s="4"/>
      <c r="B52" s="4"/>
      <c r="C52" s="4"/>
      <c r="D52" s="4"/>
      <c r="E52" s="33">
        <f>IF(L49=0,E53,E46)</f>
        <v>0</v>
      </c>
      <c r="F52" s="4"/>
      <c r="G52" s="4"/>
      <c r="H52" s="4"/>
      <c r="I52" s="4"/>
      <c r="J52" s="4"/>
      <c r="K52" s="4"/>
      <c r="L52" s="4"/>
    </row>
    <row r="53" spans="1:12">
      <c r="A53" s="4"/>
      <c r="B53" s="4"/>
      <c r="C53" s="4"/>
      <c r="D53" s="4"/>
      <c r="E53" s="33">
        <f>IF(L48=3,H34,IF(L48=2,H38,IF(L48=1,H41,0)))</f>
        <v>0</v>
      </c>
      <c r="F53" s="4"/>
      <c r="G53" s="4"/>
      <c r="H53" s="4"/>
      <c r="I53" s="4"/>
      <c r="J53" s="4"/>
      <c r="K53" s="4"/>
      <c r="L53" s="4"/>
    </row>
    <row r="54" spans="1:12">
      <c r="A54" s="8">
        <f t="shared" ref="A54:L54" si="2">LEN(A33)</f>
        <v>7</v>
      </c>
      <c r="B54" s="8">
        <f t="shared" si="2"/>
        <v>1</v>
      </c>
      <c r="C54" s="8">
        <f t="shared" si="2"/>
        <v>1</v>
      </c>
      <c r="D54" s="8">
        <f t="shared" si="2"/>
        <v>1</v>
      </c>
      <c r="E54" s="8">
        <f t="shared" si="2"/>
        <v>1</v>
      </c>
      <c r="F54" s="8">
        <f t="shared" si="2"/>
        <v>1</v>
      </c>
      <c r="G54" s="8">
        <f t="shared" si="2"/>
        <v>1</v>
      </c>
      <c r="H54" s="8">
        <f t="shared" si="2"/>
        <v>1</v>
      </c>
      <c r="I54" s="8">
        <f t="shared" si="2"/>
        <v>1</v>
      </c>
      <c r="J54" s="8">
        <f t="shared" si="2"/>
        <v>1</v>
      </c>
      <c r="K54" s="8">
        <f t="shared" si="2"/>
        <v>1</v>
      </c>
      <c r="L54" s="8">
        <f t="shared" si="2"/>
        <v>1</v>
      </c>
    </row>
    <row r="55" spans="1:12">
      <c r="A55" s="11"/>
      <c r="B55" s="11"/>
      <c r="C55" s="11"/>
      <c r="D55" s="11"/>
      <c r="E55" s="11">
        <f>SUM(A54:E54)</f>
        <v>11</v>
      </c>
      <c r="F55" s="11">
        <f>SUM(A54:F54)</f>
        <v>12</v>
      </c>
      <c r="G55" s="11">
        <f>SUM(A54:G54)</f>
        <v>13</v>
      </c>
      <c r="H55" s="11">
        <f>SUM(A54:H54)</f>
        <v>14</v>
      </c>
      <c r="I55" s="11">
        <f>SUM(A54:I54)</f>
        <v>15</v>
      </c>
      <c r="J55" s="11">
        <f>SUM(A54:J54)</f>
        <v>16</v>
      </c>
      <c r="K55" s="11">
        <f>SUM(A54:K54)</f>
        <v>17</v>
      </c>
      <c r="L55" s="11">
        <f>SUM(A54:L54)</f>
        <v>18</v>
      </c>
    </row>
    <row r="56" spans="1:12">
      <c r="A56" s="10" t="str">
        <f>IF(A33=0,"    ",A33)</f>
        <v xml:space="preserve"> On iki</v>
      </c>
      <c r="B56" s="10" t="str">
        <f>IF(B33=0,"    ",B33)</f>
        <v xml:space="preserve"> </v>
      </c>
      <c r="C56" s="10" t="str">
        <f t="shared" ref="C56:K56" si="3">IF(C33=0," ",C33)</f>
        <v xml:space="preserve"> </v>
      </c>
      <c r="D56" s="10" t="str">
        <f t="shared" si="3"/>
        <v xml:space="preserve"> </v>
      </c>
      <c r="E56" s="10" t="str">
        <f t="shared" si="3"/>
        <v xml:space="preserve"> </v>
      </c>
      <c r="F56" s="10" t="str">
        <f t="shared" si="3"/>
        <v xml:space="preserve"> </v>
      </c>
      <c r="G56" s="10" t="str">
        <f t="shared" si="3"/>
        <v xml:space="preserve"> </v>
      </c>
      <c r="H56" s="10" t="str">
        <f t="shared" si="3"/>
        <v xml:space="preserve"> </v>
      </c>
      <c r="I56" s="10" t="str">
        <f t="shared" si="3"/>
        <v xml:space="preserve"> </v>
      </c>
      <c r="J56" s="10" t="str">
        <f t="shared" si="3"/>
        <v xml:space="preserve"> </v>
      </c>
      <c r="K56" s="10" t="str">
        <f t="shared" si="3"/>
        <v xml:space="preserve"> </v>
      </c>
      <c r="L56" s="10" t="str">
        <f>IF(B61=0,"    ",B61)</f>
        <v>qəp.</v>
      </c>
    </row>
    <row r="57" spans="1:12">
      <c r="A57" s="10" t="str">
        <f>CONCATENATE(D57,A56,B56,C56,D56,E56,F56,G56,H56,I56,J56,L56,K56)</f>
        <v xml:space="preserve">Man.   On iki         qəp. </v>
      </c>
      <c r="B57" s="10"/>
      <c r="C57" s="10"/>
      <c r="D57" s="10" t="s">
        <v>82</v>
      </c>
      <c r="E57" s="10"/>
      <c r="F57" s="10"/>
      <c r="G57" s="10"/>
      <c r="H57" s="10"/>
      <c r="I57" s="10"/>
      <c r="J57" s="10"/>
      <c r="K57" s="10"/>
      <c r="L57" s="10"/>
    </row>
    <row r="58" spans="1:12">
      <c r="A58" s="36"/>
      <c r="B58" s="37">
        <f>ROUND(A58,0)</f>
        <v>0</v>
      </c>
    </row>
    <row r="59" spans="1:12">
      <c r="A59" s="6" t="s">
        <v>83</v>
      </c>
      <c r="B59" s="38">
        <f>M13/6</f>
        <v>2</v>
      </c>
      <c r="C59" s="6" t="s">
        <v>84</v>
      </c>
      <c r="D59" s="39"/>
    </row>
    <row r="60" spans="1:12">
      <c r="A60" s="13" t="str">
        <f>CONCATENATE(A59,B59,C59)</f>
        <v>в том числе НДС2ман.</v>
      </c>
      <c r="D60" s="39"/>
    </row>
    <row r="61" spans="1:12">
      <c r="A61" s="6">
        <f>(M5-M8)*100</f>
        <v>0</v>
      </c>
      <c r="B61" s="6" t="s">
        <v>85</v>
      </c>
      <c r="D61" s="39"/>
    </row>
    <row r="62" spans="1:12">
      <c r="A62" s="19">
        <f>M11</f>
        <v>0</v>
      </c>
      <c r="B62" s="12">
        <f>M12/6</f>
        <v>0</v>
      </c>
      <c r="D62" s="39"/>
    </row>
    <row r="63" spans="1:12">
      <c r="A63" s="40" t="str">
        <f>CONCATENATE(B62,C59)</f>
        <v>0ман.</v>
      </c>
    </row>
    <row r="64" spans="1:12">
      <c r="A64" s="6" t="str">
        <f>CONCATENATE(A56,B56)</f>
        <v xml:space="preserve"> On iki </v>
      </c>
      <c r="L64" s="6" t="str">
        <f>IF(L33=0,"    ",L33)</f>
        <v xml:space="preserve">    </v>
      </c>
    </row>
  </sheetData>
  <sheetProtection sheet="1" objects="1" scenarios="1"/>
  <phoneticPr fontId="5" type="noConversion"/>
  <pageMargins left="0.75" right="0.75" top="1" bottom="1" header="0.5" footer="0.5"/>
  <pageSetup paperSize="9" orientation="portrait" r:id="rId1"/>
  <headerFooter alignWithMargin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codeName="Sheet11"/>
  <dimension ref="A1:P64"/>
  <sheetViews>
    <sheetView topLeftCell="A43" workbookViewId="0"/>
  </sheetViews>
  <sheetFormatPr defaultRowHeight="12.75"/>
  <cols>
    <col min="1" max="1" width="35" style="6" customWidth="1"/>
    <col min="2" max="2" width="11.140625" style="6" customWidth="1"/>
    <col min="3" max="3" width="13.28515625" style="6" customWidth="1"/>
    <col min="4" max="4" width="13.5703125" style="6" customWidth="1"/>
    <col min="5" max="5" width="12.42578125" style="6" customWidth="1"/>
    <col min="6" max="6" width="12.7109375" style="6" customWidth="1"/>
    <col min="7" max="7" width="10.28515625" style="6" customWidth="1"/>
    <col min="8" max="8" width="13.28515625" style="6" customWidth="1"/>
    <col min="9" max="9" width="10.5703125" style="6" customWidth="1"/>
    <col min="10" max="11" width="7.5703125" style="6" customWidth="1"/>
    <col min="12" max="12" width="6.7109375" style="6" customWidth="1"/>
    <col min="13" max="13" width="18.140625" style="6" customWidth="1"/>
    <col min="14" max="14" width="8.42578125" style="6" customWidth="1"/>
    <col min="15" max="15" width="9.140625" style="6"/>
    <col min="16" max="16" width="8.42578125" style="6" customWidth="1"/>
    <col min="17" max="16384" width="9.140625" style="6"/>
  </cols>
  <sheetData>
    <row r="1" spans="1:16" ht="13.5" thickBot="1">
      <c r="A1" s="2" t="e">
        <f>M8</f>
        <v>#REF!</v>
      </c>
      <c r="B1" s="3"/>
      <c r="C1" s="3"/>
      <c r="D1" s="3"/>
      <c r="E1" s="3"/>
      <c r="F1" s="3"/>
      <c r="G1" s="3"/>
      <c r="H1" s="3"/>
      <c r="I1" s="3"/>
      <c r="J1" s="4"/>
      <c r="K1" s="5"/>
      <c r="L1" s="4"/>
    </row>
    <row r="2" spans="1:16">
      <c r="A2" s="7" t="e">
        <f>(MOD(A1,1000000000)-MOD(A1,100000000))/100000000</f>
        <v>#REF!</v>
      </c>
      <c r="B2" s="7" t="e">
        <f>(MOD(A1,100000000)-MOD(A1,10000000))/10000000</f>
        <v>#REF!</v>
      </c>
      <c r="C2" s="7" t="e">
        <f>(MOD(A1,10000000)-MOD(A1,1000000))/1000000</f>
        <v>#REF!</v>
      </c>
      <c r="D2" s="7" t="e">
        <f>(MOD(A1,1000000)-MOD(A1,100000))/100000</f>
        <v>#REF!</v>
      </c>
      <c r="E2" s="7" t="e">
        <f>(MOD(A1,100000)-MOD(A1,10000))/10000</f>
        <v>#REF!</v>
      </c>
      <c r="F2" s="7" t="e">
        <f>(MOD(A1,10000)-MOD(A1,1000))/1000</f>
        <v>#REF!</v>
      </c>
      <c r="G2" s="7" t="e">
        <f>(MOD(A1,1000)-MOD(A1,100))/100</f>
        <v>#REF!</v>
      </c>
      <c r="H2" s="7" t="e">
        <f>(MOD(A1,100)-MOD(A1,10))/10</f>
        <v>#REF!</v>
      </c>
      <c r="I2" s="7" t="e">
        <f>MOD(A1,10)</f>
        <v>#REF!</v>
      </c>
      <c r="J2" s="4"/>
      <c r="K2" s="5"/>
      <c r="L2" s="4"/>
      <c r="M2" s="6" t="e">
        <f>IF(H2=1," ",IF(I2=1," ",IF(N2=TRUE," "," ")))</f>
        <v>#REF!</v>
      </c>
      <c r="N2" s="6" t="e">
        <f>OR(I2=2,I2=3,I2=4)</f>
        <v>#REF!</v>
      </c>
      <c r="P2" s="6" t="b">
        <f>OR(K2=2,K2=3,K2=4)</f>
        <v>0</v>
      </c>
    </row>
    <row r="3" spans="1:16">
      <c r="A3" s="8" t="e">
        <f>IF(A2=0,0,A5)</f>
        <v>#REF!</v>
      </c>
      <c r="B3" s="8" t="e">
        <f t="shared" ref="B3:I3" si="0">IF(B2=0,0,B4)</f>
        <v>#REF!</v>
      </c>
      <c r="C3" s="9" t="e">
        <f t="shared" si="0"/>
        <v>#REF!</v>
      </c>
      <c r="D3" s="8" t="e">
        <f t="shared" si="0"/>
        <v>#REF!</v>
      </c>
      <c r="E3" s="8" t="e">
        <f t="shared" si="0"/>
        <v>#REF!</v>
      </c>
      <c r="F3" s="9" t="e">
        <f t="shared" si="0"/>
        <v>#REF!</v>
      </c>
      <c r="G3" s="8" t="e">
        <f t="shared" si="0"/>
        <v>#REF!</v>
      </c>
      <c r="H3" s="8" t="e">
        <f t="shared" si="0"/>
        <v>#REF!</v>
      </c>
      <c r="I3" s="9" t="e">
        <f t="shared" si="0"/>
        <v>#REF!</v>
      </c>
      <c r="J3" s="4"/>
      <c r="K3" s="5"/>
      <c r="L3" s="4"/>
      <c r="M3" s="6" t="e">
        <f>IF(E2=1," min",IF(F2=1," min",IF(N3=TRUE," min"," min")))</f>
        <v>#REF!</v>
      </c>
      <c r="N3" s="6" t="e">
        <f>OR(F2=2,F2=3,F2=4)</f>
        <v>#REF!</v>
      </c>
      <c r="P3" s="6" t="e">
        <f>OR(H2=2,H2=3,H2=4)</f>
        <v>#REF!</v>
      </c>
    </row>
    <row r="4" spans="1:16">
      <c r="A4" s="10"/>
      <c r="B4" s="10" t="e">
        <f>IF(A1&gt;99999999,B5,B6)</f>
        <v>#REF!</v>
      </c>
      <c r="C4" s="10" t="e">
        <f>IF(B2=1,0,C5)</f>
        <v>#REF!</v>
      </c>
      <c r="D4" s="10" t="e">
        <f>IF(A1&gt;999999,D5,D7)</f>
        <v>#REF!</v>
      </c>
      <c r="E4" s="10" t="e">
        <f>IF(A1&gt;99999,E5,E6)</f>
        <v>#REF!</v>
      </c>
      <c r="F4" s="10" t="e">
        <f>IF(E2=1,0,F5)</f>
        <v>#REF!</v>
      </c>
      <c r="G4" s="10" t="e">
        <f>IF(A1&gt;999,G5,G7)</f>
        <v>#REF!</v>
      </c>
      <c r="H4" s="10" t="e">
        <f>IF(A1&gt;99,H5,H6)</f>
        <v>#REF!</v>
      </c>
      <c r="I4" s="10" t="e">
        <f>IF(H2=1,0,I5)</f>
        <v>#REF!</v>
      </c>
      <c r="J4" s="4"/>
      <c r="K4" s="5"/>
      <c r="L4" s="4"/>
      <c r="M4" s="6" t="e">
        <f>IF(B2=1," milyon",IF(C2=1," milyon",IF(N4=TRUE," milyon"," milyon")))</f>
        <v>#REF!</v>
      </c>
      <c r="N4" s="6" t="e">
        <f>OR(C2=2,C2=3,C2=4)</f>
        <v>#REF!</v>
      </c>
      <c r="P4" s="6" t="e">
        <f>OR(E2=2,E2=3,E2=4)</f>
        <v>#REF!</v>
      </c>
    </row>
    <row r="5" spans="1:16">
      <c r="A5" s="11" t="e">
        <f>IF(A2=1,H20,IF(A2=2,H21,IF(A2=3,H22,IF(A2=4,H23,IF(A2=5,H24,IF(A2=6,H25,IF(A2=7,H26,IF(A2&gt;7,A6))))))))</f>
        <v>#REF!</v>
      </c>
      <c r="B5" s="10" t="e">
        <f>IF(B2=1,B7,B11)</f>
        <v>#REF!</v>
      </c>
      <c r="C5" s="10" t="e">
        <f>IF(A1&gt;9999999,C6,C7)</f>
        <v>#REF!</v>
      </c>
      <c r="D5" s="11" t="e">
        <f>IF(D2=1,I20,IF(D2=2,I21,IF(D2=3,I22,IF(D2=4,I23,IF(D2=5,I24,IF(D2=6,I25,IF(D2=7,I26,IF(D2&gt;7,D6))))))))</f>
        <v>#REF!</v>
      </c>
      <c r="E5" s="10" t="e">
        <f>IF(E2=1,E7,E11)</f>
        <v>#REF!</v>
      </c>
      <c r="F5" s="10" t="e">
        <f>IF(A1&gt;9999,F6,F7)</f>
        <v>#REF!</v>
      </c>
      <c r="G5" s="11" t="e">
        <f>IF(G2=1,I20,IF(G2=2,I21,IF(G2=3,I22,IF(G2=4,I23,IF(G2=5,I24,IF(G2=6,I25,IF(G2=7,I26,IF(G2&gt;7,G6))))))))</f>
        <v>#REF!</v>
      </c>
      <c r="H5" s="10" t="e">
        <f>IF(H2=1,H7,H11)</f>
        <v>#REF!</v>
      </c>
      <c r="I5" s="10" t="e">
        <f>IF(A1&gt;9,I6,I7)</f>
        <v>#REF!</v>
      </c>
      <c r="J5" s="4"/>
      <c r="K5" s="5"/>
      <c r="L5" s="4"/>
      <c r="M5" s="12" t="e">
        <f>#REF!</f>
        <v>#REF!</v>
      </c>
    </row>
    <row r="6" spans="1:16">
      <c r="A6" s="11" t="e">
        <f>IF(A2=8,H27,IF(A2=9,H28))</f>
        <v>#REF!</v>
      </c>
      <c r="B6" s="10" t="e">
        <f>IF(B2=1,B9,B12)</f>
        <v>#REF!</v>
      </c>
      <c r="C6" s="10" t="e">
        <f>IF(C2=1,B20,IF(C2=2,B21,IF(C2=3,B22,IF(C2=4,B23,IF(C2=5,B24,IF(C2=6,B25,IF(C2=7,B26,IF(C2&gt;7,C8))))))))</f>
        <v>#REF!</v>
      </c>
      <c r="D6" s="11" t="e">
        <f>IF(D2=8,I27,IF(D2=9,I28))</f>
        <v>#REF!</v>
      </c>
      <c r="E6" s="10" t="e">
        <f>IF(E2=1,E9,E12)</f>
        <v>#REF!</v>
      </c>
      <c r="F6" s="10" t="e">
        <f>IF(F2=1,G22,IF(F2=2,G23,IF(F2=3,B22,IF(F2=4,B23,IF(F2=5,B24,IF(F2=6,B25,IF(F2=7,B26,IF(F2&gt;7,F8))))))))</f>
        <v>#REF!</v>
      </c>
      <c r="G6" s="11" t="e">
        <f>IF(G2=8,I27,IF(G2=9,I28))</f>
        <v>#REF!</v>
      </c>
      <c r="H6" s="10" t="e">
        <f>IF(H2=1,H9,H12)</f>
        <v>#REF!</v>
      </c>
      <c r="I6" s="10" t="e">
        <f>IF(I2=1,B20,IF(I2=2,B21,IF(I2=3,B22,IF(I2=4,B23,IF(I2=5,B24,IF(I2=6,B25,IF(I2=7,B26,IF(I2&gt;7,I8))))))))</f>
        <v>#REF!</v>
      </c>
      <c r="J6" s="4"/>
      <c r="K6" s="5"/>
      <c r="L6" s="4"/>
      <c r="M6" s="13" t="e">
        <f>CONCATENATE(M8,M9,M11)</f>
        <v>#REF!</v>
      </c>
    </row>
    <row r="7" spans="1:16">
      <c r="A7" s="4"/>
      <c r="B7" s="11" t="e">
        <f>IF(C2=0,F20,IF(C2=1,D20,IF(C2=2,D21,IF(C2=3,D22,IF(C2=4,D23,IF(C2=5,D24,IF(C2=6,D25,IF(C2&gt;6,B8))))))))</f>
        <v>#REF!</v>
      </c>
      <c r="C7" s="10" t="e">
        <f>IF(C2=1,A20,IF(C2=2,A21,IF(C2=3,A22,IF(C2=4,A23,IF(C2=5,A24,IF(C2=6,A25,IF(C2=7,A26,IF(C2&gt;7,C9))))))))</f>
        <v>#REF!</v>
      </c>
      <c r="D7" s="14" t="e">
        <f>IF(D2=1,H20,IF(D2=2,H21,IF(D2=3,H22,IF(D2=4,H23,IF(D2=5,H24,IF(D2=6,H25,IF(D2=7,H26,IF(D2&gt;7,D8))))))))</f>
        <v>#REF!</v>
      </c>
      <c r="E7" s="11" t="e">
        <f>IF(F2=0,F20,IF(F2=1,D20,IF(F2=2,D21,IF(F2=3,D22,IF(F2=4,D23,IF(F2=5,D24,IF(F2=6,D25,IF(F2&gt;6,E8))))))))</f>
        <v>#REF!</v>
      </c>
      <c r="F7" s="10" t="e">
        <f>IF(F2=1,G20,IF(F2=2,G21,IF(F2=3,A22,IF(F2=4,A23,IF(F2=5,A24,IF(F2=6,A25,IF(F2=7,A26,IF(F2&gt;7,F9))))))))</f>
        <v>#REF!</v>
      </c>
      <c r="G7" s="14" t="e">
        <f>IF(G2=1,H20,IF(G2=2,H21,IF(G2=3,H22,IF(G2=4,H23,IF(G2=5,H24,IF(G2=6,H25,IF(G2=7,H26,IF(G2&gt;7,G8))))))))</f>
        <v>#REF!</v>
      </c>
      <c r="H7" s="11" t="e">
        <f>IF(I2=0,F20,IF(I2=1,D20,IF(I2=2,D21,IF(I2=3,D22,IF(I2=4,D23,IF(I2=5,D24,IF(I2=6,D25,IF(I2&gt;6,H8))))))))</f>
        <v>#REF!</v>
      </c>
      <c r="I7" s="10" t="e">
        <f>IF(I2=1,A20,IF(I2=2,A21,IF(I2=3,A22,IF(I2=4,A23,IF(I2=5,A24,IF(I2=6,A25,IF(I2=7,A26,IF(I2&gt;7,I9))))))))</f>
        <v>#REF!</v>
      </c>
      <c r="J7" s="4"/>
      <c r="K7" s="5"/>
      <c r="L7" s="4"/>
      <c r="M7" s="15"/>
    </row>
    <row r="8" spans="1:16">
      <c r="A8" s="4"/>
      <c r="B8" s="11" t="e">
        <f>IF(C2=7,D26,IF(C2=8,D27,IF(C2=9,D28)))</f>
        <v>#REF!</v>
      </c>
      <c r="C8" s="10" t="e">
        <f>IF(C2=8,B27,IF(C2=9,B28))</f>
        <v>#REF!</v>
      </c>
      <c r="D8" s="14" t="e">
        <f>IF(D2=8,H27,IF(D2=9,H28))</f>
        <v>#REF!</v>
      </c>
      <c r="E8" s="11" t="e">
        <f>IF(F2=7,D26,IF(F2=8,D27,IF(F2=9,D28)))</f>
        <v>#REF!</v>
      </c>
      <c r="F8" s="10" t="e">
        <f>IF(F2=8,B27,IF(F2=9,B28))</f>
        <v>#REF!</v>
      </c>
      <c r="G8" s="14" t="e">
        <f>IF(G2=8,H27,IF(G2=9,H28))</f>
        <v>#REF!</v>
      </c>
      <c r="H8" s="11" t="e">
        <f>IF(I2=7,D26,IF(I2=8,D27,IF(I2=9,D28)))</f>
        <v>#REF!</v>
      </c>
      <c r="I8" s="10" t="e">
        <f>IF(I2=8,B27,IF(I2=9,B28))</f>
        <v>#REF!</v>
      </c>
      <c r="J8" s="4"/>
      <c r="K8" s="5"/>
      <c r="L8" s="4"/>
      <c r="M8" s="16" t="e">
        <f>TRUNC(M5,0)</f>
        <v>#REF!</v>
      </c>
    </row>
    <row r="9" spans="1:16">
      <c r="A9" s="4"/>
      <c r="B9" s="14" t="e">
        <f>IF(C2=0,E20,IF(C2=1,C20,IF(C2=2,C21,IF(C2=3,C22,IF(C2=4,C23,IF(C2=5,C24,IF(C2=6,C25,IF(C2&gt;6,B10))))))))</f>
        <v>#REF!</v>
      </c>
      <c r="C9" s="10" t="e">
        <f>IF(C2=8,A27,IF(C2=9,A28))</f>
        <v>#REF!</v>
      </c>
      <c r="D9" s="4"/>
      <c r="E9" s="14" t="e">
        <f>IF(F2=0,E20,IF(F2=1,C20,IF(F2=2,C21,IF(F2=3,C22,IF(F2=4,C23,IF(F2=5,C24,IF(F2=6,C25,IF(F2&gt;6,E10))))))))</f>
        <v>#REF!</v>
      </c>
      <c r="F9" s="10" t="e">
        <f>IF(F2=8,A27,IF(F2=9,A28))</f>
        <v>#REF!</v>
      </c>
      <c r="G9" s="4"/>
      <c r="H9" s="14" t="e">
        <f>IF(I2=0,E20,IF(I2=1,C20,IF(I2=2,C21,IF(I2=3,C22,IF(I2=4,C23,IF(I2=5,C24,IF(I2=6,C25,IF(I2&gt;6,H10))))))))</f>
        <v>#REF!</v>
      </c>
      <c r="I9" s="10" t="e">
        <f>IF(I2=8,A27,IF(I2=9,A28))</f>
        <v>#REF!</v>
      </c>
      <c r="J9" s="4"/>
      <c r="K9" s="5"/>
      <c r="L9" s="4"/>
      <c r="M9" s="17" t="s">
        <v>9</v>
      </c>
    </row>
    <row r="10" spans="1:16">
      <c r="A10" s="4"/>
      <c r="B10" s="14" t="e">
        <f>IF(C2=7,C26,IF(C2=8,C27,IF(C2=9,C28)))</f>
        <v>#REF!</v>
      </c>
      <c r="C10" s="4"/>
      <c r="D10" s="4"/>
      <c r="E10" s="14" t="e">
        <f>IF(F2=7,C26,IF(F2=8,C27,IF(F2=9,C28)))</f>
        <v>#REF!</v>
      </c>
      <c r="F10" s="4"/>
      <c r="G10" s="4"/>
      <c r="H10" s="14" t="e">
        <f>IF(I2=7,C26,IF(I2=8,C27,IF(I2=9,C28)))</f>
        <v>#REF!</v>
      </c>
      <c r="I10" s="4"/>
      <c r="J10" s="4"/>
      <c r="K10" s="5"/>
      <c r="L10" s="4"/>
      <c r="M10" s="18" t="e">
        <f>(M5-M8)*100</f>
        <v>#REF!</v>
      </c>
    </row>
    <row r="11" spans="1:16">
      <c r="A11" s="4"/>
      <c r="B11" s="11" t="e">
        <f>IF(B2=2,F21,IF(B2=3,F22,IF(B2=4,F23,IF(B2=5,F24,IF(B2=6,F25,IF(B2=7,F26,IF(B2=8,F27,IF(B2=9,F28))))))))</f>
        <v>#REF!</v>
      </c>
      <c r="C11" s="4"/>
      <c r="D11" s="4"/>
      <c r="E11" s="11" t="e">
        <f>IF(E2=2,F21,IF(E2=3,F22,IF(E2=4,F23,IF(E2=5,F24,IF(E2=6,F25,IF(E2=7,F26,IF(E2=8,F27,IF(E2=9,F28))))))))</f>
        <v>#REF!</v>
      </c>
      <c r="F11" s="4"/>
      <c r="G11" s="4"/>
      <c r="H11" s="11" t="e">
        <f>IF(H2=2,F21,IF(H2=3,F22,IF(H2=4,F23,IF(H2=5,F24,IF(H2=6,F25,IF(H2=7,F26,IF(H2=8,F27,IF(H2=9,F28))))))))</f>
        <v>#REF!</v>
      </c>
      <c r="I11" s="4"/>
      <c r="J11" s="4"/>
      <c r="K11" s="5"/>
      <c r="L11" s="4"/>
      <c r="M11" s="19"/>
    </row>
    <row r="12" spans="1:16">
      <c r="A12" s="4"/>
      <c r="B12" s="14" t="e">
        <f>IF(B2=2,E21,IF(B2=3,E22,IF(B2=4,E23,IF(B2=5,E24,IF(B2=6,E25,IF(B2=7,E26,IF(B2=8,E27,IF(B2=9,E28))))))))</f>
        <v>#REF!</v>
      </c>
      <c r="C12" s="4"/>
      <c r="D12" s="4"/>
      <c r="E12" s="14" t="e">
        <f>IF(E2=2,E21,IF(E2=3,E22,IF(E2=4,E23,IF(E2=5,E24,IF(E2=6,E25,IF(E2=7,E26,IF(E2=8,E27,IF(E2=9,E28))))))))</f>
        <v>#REF!</v>
      </c>
      <c r="F12" s="4"/>
      <c r="G12" s="4"/>
      <c r="H12" s="14" t="e">
        <f>IF(H2=2,E21,IF(H2=3,E22,IF(H2=4,E23,IF(H2=5,E24,IF(H2=6,E25,IF(H2=7,E26,IF(H2=8,E27,IF(H2=9,E28))))))))</f>
        <v>#REF!</v>
      </c>
      <c r="I12" s="4"/>
      <c r="J12" s="4"/>
      <c r="K12" s="5"/>
      <c r="L12" s="4"/>
      <c r="M12" s="12"/>
    </row>
    <row r="13" spans="1:16">
      <c r="A13" s="4"/>
      <c r="B13" s="4"/>
      <c r="C13" s="4"/>
      <c r="D13" s="4"/>
      <c r="E13" s="4"/>
      <c r="F13" s="4"/>
      <c r="G13" s="4"/>
      <c r="H13" s="4"/>
      <c r="I13" s="4"/>
      <c r="J13" s="4"/>
      <c r="K13" s="5"/>
      <c r="L13" s="4"/>
      <c r="M13" s="6" t="e">
        <f>M5+M11/100</f>
        <v>#REF!</v>
      </c>
    </row>
    <row r="14" spans="1:16">
      <c r="A14" s="4"/>
      <c r="B14" s="4"/>
      <c r="C14" s="4"/>
      <c r="D14" s="4"/>
      <c r="E14" s="4"/>
      <c r="F14" s="4"/>
      <c r="G14" s="4"/>
      <c r="H14" s="4"/>
      <c r="I14" s="4"/>
      <c r="J14" s="4"/>
      <c r="K14" s="5"/>
      <c r="L14" s="4"/>
      <c r="M14" s="20" t="e">
        <f>M13/6</f>
        <v>#REF!</v>
      </c>
    </row>
    <row r="15" spans="1:16">
      <c r="A15" s="4"/>
      <c r="B15" s="4"/>
      <c r="C15" s="4"/>
      <c r="D15" s="4"/>
      <c r="E15" s="4"/>
      <c r="F15" s="4"/>
      <c r="G15" s="4"/>
      <c r="H15" s="4"/>
      <c r="I15" s="4"/>
      <c r="J15" s="4"/>
      <c r="K15" s="5"/>
      <c r="L15" s="4"/>
      <c r="M15" s="21" t="e">
        <f>M13/6</f>
        <v>#REF!</v>
      </c>
    </row>
    <row r="16" spans="1:16">
      <c r="A16" s="4"/>
      <c r="B16" s="4"/>
      <c r="C16" s="4"/>
      <c r="D16" s="4"/>
      <c r="E16" s="4"/>
      <c r="F16" s="4"/>
      <c r="G16" s="4"/>
      <c r="H16" s="4"/>
      <c r="I16" s="4"/>
      <c r="J16" s="4"/>
      <c r="K16" s="5"/>
      <c r="L16" s="4"/>
      <c r="M16" s="22" t="e">
        <f>TRUNC(M15,0)</f>
        <v>#REF!</v>
      </c>
    </row>
    <row r="17" spans="1:13">
      <c r="A17" s="4"/>
      <c r="B17" s="4"/>
      <c r="C17" s="4"/>
      <c r="D17" s="4"/>
      <c r="E17" s="4"/>
      <c r="F17" s="4"/>
      <c r="G17" s="4"/>
      <c r="H17" s="4"/>
      <c r="I17" s="4"/>
      <c r="J17" s="4"/>
      <c r="K17" s="5"/>
      <c r="L17" s="4"/>
      <c r="M17" s="23" t="e">
        <f>M16</f>
        <v>#REF!</v>
      </c>
    </row>
    <row r="18" spans="1:13">
      <c r="A18" s="4"/>
      <c r="B18" s="4"/>
      <c r="C18" s="4"/>
      <c r="D18" s="4"/>
      <c r="E18" s="4"/>
      <c r="F18" s="4"/>
      <c r="G18" s="4"/>
      <c r="H18" s="4"/>
      <c r="I18" s="4"/>
      <c r="J18" s="4"/>
      <c r="K18" s="5"/>
      <c r="L18" s="4"/>
      <c r="M18" s="19" t="e">
        <f>(M15-M17)*100</f>
        <v>#REF!</v>
      </c>
    </row>
    <row r="19" spans="1:13">
      <c r="A19" s="4"/>
      <c r="B19" s="4"/>
      <c r="C19" s="4"/>
      <c r="D19" s="4"/>
      <c r="E19" s="4"/>
      <c r="F19" s="4"/>
      <c r="G19" s="4"/>
      <c r="H19" s="4"/>
      <c r="I19" s="4"/>
      <c r="J19" s="4"/>
      <c r="K19" s="5"/>
      <c r="L19" s="4"/>
      <c r="M19" s="24" t="e">
        <f>CONCATENATE(M17,M9,M18)</f>
        <v>#REF!</v>
      </c>
    </row>
    <row r="20" spans="1:13">
      <c r="A20" s="25" t="s">
        <v>10</v>
      </c>
      <c r="B20" s="25" t="s">
        <v>11</v>
      </c>
      <c r="C20" s="25" t="s">
        <v>12</v>
      </c>
      <c r="D20" s="25" t="s">
        <v>13</v>
      </c>
      <c r="E20" s="25" t="s">
        <v>14</v>
      </c>
      <c r="F20" s="25" t="s">
        <v>15</v>
      </c>
      <c r="G20" s="25" t="s">
        <v>10</v>
      </c>
      <c r="H20" s="25" t="s">
        <v>16</v>
      </c>
      <c r="I20" s="25" t="s">
        <v>17</v>
      </c>
      <c r="J20" s="4"/>
      <c r="K20" s="5"/>
      <c r="L20" s="4"/>
    </row>
    <row r="21" spans="1:13">
      <c r="A21" s="25" t="s">
        <v>18</v>
      </c>
      <c r="B21" s="25" t="s">
        <v>19</v>
      </c>
      <c r="C21" s="25" t="s">
        <v>20</v>
      </c>
      <c r="D21" s="25" t="s">
        <v>21</v>
      </c>
      <c r="E21" s="25" t="s">
        <v>22</v>
      </c>
      <c r="F21" s="25" t="s">
        <v>23</v>
      </c>
      <c r="G21" s="25" t="s">
        <v>18</v>
      </c>
      <c r="H21" s="25" t="s">
        <v>24</v>
      </c>
      <c r="I21" s="25" t="s">
        <v>25</v>
      </c>
      <c r="J21" s="4"/>
      <c r="K21" s="5"/>
      <c r="L21" s="4"/>
      <c r="M21" s="19">
        <v>1.9999999999996021</v>
      </c>
    </row>
    <row r="22" spans="1:13">
      <c r="A22" s="25" t="s">
        <v>26</v>
      </c>
      <c r="B22" s="25" t="s">
        <v>27</v>
      </c>
      <c r="C22" s="25" t="s">
        <v>28</v>
      </c>
      <c r="D22" s="25" t="s">
        <v>29</v>
      </c>
      <c r="E22" s="25" t="s">
        <v>30</v>
      </c>
      <c r="F22" s="25" t="s">
        <v>31</v>
      </c>
      <c r="G22" s="25" t="s">
        <v>11</v>
      </c>
      <c r="H22" s="25" t="s">
        <v>32</v>
      </c>
      <c r="I22" s="25" t="s">
        <v>33</v>
      </c>
      <c r="J22" s="4"/>
      <c r="K22" s="5"/>
      <c r="L22" s="4"/>
    </row>
    <row r="23" spans="1:13">
      <c r="A23" s="25" t="s">
        <v>34</v>
      </c>
      <c r="B23" s="25" t="s">
        <v>35</v>
      </c>
      <c r="C23" s="25" t="s">
        <v>36</v>
      </c>
      <c r="D23" s="25" t="s">
        <v>37</v>
      </c>
      <c r="E23" s="26" t="s">
        <v>38</v>
      </c>
      <c r="F23" s="25" t="s">
        <v>39</v>
      </c>
      <c r="G23" s="25" t="s">
        <v>19</v>
      </c>
      <c r="H23" s="27" t="s">
        <v>40</v>
      </c>
      <c r="I23" s="25" t="s">
        <v>41</v>
      </c>
      <c r="J23" s="4"/>
      <c r="K23" s="5"/>
      <c r="L23" s="4"/>
    </row>
    <row r="24" spans="1:13">
      <c r="A24" s="25" t="s">
        <v>42</v>
      </c>
      <c r="B24" s="25" t="s">
        <v>43</v>
      </c>
      <c r="C24" s="25" t="s">
        <v>44</v>
      </c>
      <c r="D24" s="25" t="s">
        <v>45</v>
      </c>
      <c r="E24" s="25" t="s">
        <v>46</v>
      </c>
      <c r="F24" s="25" t="s">
        <v>47</v>
      </c>
      <c r="G24" s="25"/>
      <c r="H24" s="25" t="s">
        <v>48</v>
      </c>
      <c r="I24" s="25" t="s">
        <v>49</v>
      </c>
      <c r="J24" s="4"/>
      <c r="K24" s="5"/>
      <c r="L24" s="4"/>
    </row>
    <row r="25" spans="1:13">
      <c r="A25" s="25" t="s">
        <v>50</v>
      </c>
      <c r="B25" s="25" t="s">
        <v>51</v>
      </c>
      <c r="C25" s="25" t="s">
        <v>52</v>
      </c>
      <c r="D25" s="25" t="s">
        <v>53</v>
      </c>
      <c r="E25" s="25" t="s">
        <v>54</v>
      </c>
      <c r="F25" s="25" t="s">
        <v>55</v>
      </c>
      <c r="G25" s="25"/>
      <c r="H25" s="25" t="s">
        <v>56</v>
      </c>
      <c r="I25" s="25" t="s">
        <v>57</v>
      </c>
      <c r="J25" s="4"/>
      <c r="K25" s="5"/>
      <c r="L25" s="4"/>
    </row>
    <row r="26" spans="1:13">
      <c r="A26" s="25" t="s">
        <v>58</v>
      </c>
      <c r="B26" s="25" t="s">
        <v>59</v>
      </c>
      <c r="C26" s="25" t="s">
        <v>60</v>
      </c>
      <c r="D26" s="25" t="s">
        <v>61</v>
      </c>
      <c r="E26" s="25" t="s">
        <v>62</v>
      </c>
      <c r="F26" s="25" t="s">
        <v>63</v>
      </c>
      <c r="G26" s="25"/>
      <c r="H26" s="25" t="s">
        <v>64</v>
      </c>
      <c r="I26" s="25" t="s">
        <v>65</v>
      </c>
      <c r="J26" s="4"/>
      <c r="K26" s="5"/>
      <c r="L26" s="4"/>
    </row>
    <row r="27" spans="1:13">
      <c r="A27" s="25" t="s">
        <v>66</v>
      </c>
      <c r="B27" s="25" t="s">
        <v>67</v>
      </c>
      <c r="C27" s="25" t="s">
        <v>68</v>
      </c>
      <c r="D27" s="25" t="s">
        <v>69</v>
      </c>
      <c r="E27" s="25" t="s">
        <v>70</v>
      </c>
      <c r="F27" s="25" t="s">
        <v>71</v>
      </c>
      <c r="G27" s="25"/>
      <c r="H27" s="25" t="s">
        <v>72</v>
      </c>
      <c r="I27" s="25" t="s">
        <v>73</v>
      </c>
      <c r="J27" s="4"/>
      <c r="K27" s="5"/>
      <c r="L27" s="4"/>
    </row>
    <row r="28" spans="1:13">
      <c r="A28" s="25" t="s">
        <v>74</v>
      </c>
      <c r="B28" s="25" t="s">
        <v>75</v>
      </c>
      <c r="C28" s="25" t="s">
        <v>76</v>
      </c>
      <c r="D28" s="25" t="s">
        <v>77</v>
      </c>
      <c r="E28" s="25" t="s">
        <v>78</v>
      </c>
      <c r="F28" s="25" t="s">
        <v>79</v>
      </c>
      <c r="G28" s="25"/>
      <c r="H28" s="25" t="s">
        <v>80</v>
      </c>
      <c r="I28" s="25" t="s">
        <v>81</v>
      </c>
      <c r="J28" s="4"/>
      <c r="K28" s="5"/>
      <c r="L28" s="4"/>
    </row>
    <row r="29" spans="1:13">
      <c r="A29" s="4"/>
      <c r="B29" s="4"/>
      <c r="C29" s="4"/>
      <c r="D29" s="4"/>
      <c r="E29" s="4"/>
      <c r="F29" s="4"/>
      <c r="G29" s="4"/>
      <c r="H29" s="4"/>
      <c r="I29" s="4"/>
      <c r="J29" s="4"/>
      <c r="K29" s="5"/>
      <c r="L29" s="4"/>
    </row>
    <row r="30" spans="1:13">
      <c r="A30" s="28" t="e">
        <f t="shared" ref="A30:I30" si="1">A3</f>
        <v>#REF!</v>
      </c>
      <c r="B30" s="28" t="e">
        <f t="shared" si="1"/>
        <v>#REF!</v>
      </c>
      <c r="C30" s="28" t="e">
        <f t="shared" si="1"/>
        <v>#REF!</v>
      </c>
      <c r="D30" s="28" t="e">
        <f t="shared" si="1"/>
        <v>#REF!</v>
      </c>
      <c r="E30" s="28" t="e">
        <f t="shared" si="1"/>
        <v>#REF!</v>
      </c>
      <c r="F30" s="28" t="e">
        <f t="shared" si="1"/>
        <v>#REF!</v>
      </c>
      <c r="G30" s="28" t="e">
        <f t="shared" si="1"/>
        <v>#REF!</v>
      </c>
      <c r="H30" s="28" t="e">
        <f t="shared" si="1"/>
        <v>#REF!</v>
      </c>
      <c r="I30" s="28" t="e">
        <f t="shared" si="1"/>
        <v>#REF!</v>
      </c>
      <c r="J30" s="3"/>
      <c r="K30" s="4"/>
      <c r="L30" s="4"/>
    </row>
    <row r="31" spans="1:13">
      <c r="A31" s="29" t="e">
        <f>A30</f>
        <v>#REF!</v>
      </c>
      <c r="B31" s="29" t="e">
        <f>B30</f>
        <v>#REF!</v>
      </c>
      <c r="C31" s="29" t="e">
        <f>C30</f>
        <v>#REF!</v>
      </c>
      <c r="D31" s="14" t="e">
        <f>M4</f>
        <v>#REF!</v>
      </c>
      <c r="E31" s="29" t="e">
        <f>D30</f>
        <v>#REF!</v>
      </c>
      <c r="F31" s="29" t="e">
        <f>E30</f>
        <v>#REF!</v>
      </c>
      <c r="G31" s="29" t="e">
        <f>F30</f>
        <v>#REF!</v>
      </c>
      <c r="H31" s="14" t="e">
        <f>M3</f>
        <v>#REF!</v>
      </c>
      <c r="I31" s="29" t="e">
        <f>G30</f>
        <v>#REF!</v>
      </c>
      <c r="J31" s="29" t="e">
        <f>H30</f>
        <v>#REF!</v>
      </c>
      <c r="K31" s="29" t="e">
        <f>I30</f>
        <v>#REF!</v>
      </c>
      <c r="L31" s="14" t="e">
        <f>M2</f>
        <v>#REF!</v>
      </c>
    </row>
    <row r="32" spans="1:13">
      <c r="A32" s="30" t="e">
        <f>IF(A31=0,0,1)</f>
        <v>#REF!</v>
      </c>
      <c r="B32" s="30" t="e">
        <f>IF(B31=0,0,1)</f>
        <v>#REF!</v>
      </c>
      <c r="C32" s="30" t="e">
        <f>IF(C31=0,0,1)</f>
        <v>#REF!</v>
      </c>
      <c r="D32" s="30">
        <v>1</v>
      </c>
      <c r="E32" s="30" t="e">
        <f>IF(E31=0,0,1)</f>
        <v>#REF!</v>
      </c>
      <c r="F32" s="30" t="e">
        <f>IF(F31=0,0,1)</f>
        <v>#REF!</v>
      </c>
      <c r="G32" s="30" t="e">
        <f>IF(G31=0,0,1)</f>
        <v>#REF!</v>
      </c>
      <c r="H32" s="30">
        <v>1</v>
      </c>
      <c r="I32" s="30" t="e">
        <f>IF(I31=0,0,1)</f>
        <v>#REF!</v>
      </c>
      <c r="J32" s="30" t="e">
        <f>IF(J31=0,0,1)</f>
        <v>#REF!</v>
      </c>
      <c r="K32" s="30" t="e">
        <f>IF(K31=0,0,1)</f>
        <v>#REF!</v>
      </c>
      <c r="L32" s="30">
        <v>1</v>
      </c>
    </row>
    <row r="33" spans="1:12">
      <c r="A33" s="31" t="e">
        <f>IF(L45=1,A31,A34)</f>
        <v>#REF!</v>
      </c>
      <c r="B33" s="31" t="e">
        <f>IF(L44=2,B31,IF(L44=1,B34,IF(L44=0,B35)))</f>
        <v>#REF!</v>
      </c>
      <c r="C33" s="31" t="e">
        <f>IF(L43=3,C31,IF(L43=2,D31,IF(L43=1,D35,IF(L43=0,C34))))</f>
        <v>#REF!</v>
      </c>
      <c r="D33" s="31" t="e">
        <f>IF(L42=4,D31,IF(L42=3,D35,IF(L42=2,D34,IF(L42=1,D43))))</f>
        <v>#REF!</v>
      </c>
      <c r="E33" s="31" t="e">
        <f>IF(L41=5,E31,IF(L41=4,E34,IF(L41=3,E39,IF(L41=2,E52,E49))))</f>
        <v>#REF!</v>
      </c>
      <c r="F33" s="31" t="e">
        <f>IF(L40=6,F31,IF(L40=5,F34,IF(L40=4,F35,IF(L40=3,F37,IF(L40=2,F41,IF(L40=1,F44))))))</f>
        <v>#REF!</v>
      </c>
      <c r="G33" s="31" t="e">
        <f>IF(L39=7,G31,IF(L39=6,H31,IF(L39=5,H34,IF(L39=4,G34,IF(L39=3,G38,IF(L39=2,G36,0))))))</f>
        <v>#REF!</v>
      </c>
      <c r="H33" s="31" t="e">
        <f>IF(L38=8,H31,IF(L38=7,H34,IF(L38=6,H38,IF(L38=5,H43,IF(L38=4,H44,0)))))</f>
        <v>#REF!</v>
      </c>
      <c r="I33" s="31" t="e">
        <f>IF(L37=9,I31,IF(L37=8,I34,IF(L37=7,I36,IF(L37=6,I37,0))))</f>
        <v>#REF!</v>
      </c>
      <c r="J33" s="31" t="e">
        <f>IF(L36=10,J31,IF(L36=9,J34,IF(L36=8,J35,0)))</f>
        <v>#REF!</v>
      </c>
      <c r="K33" s="31" t="e">
        <f>IF(L35=11,K31,IF(L35=10,L31,))</f>
        <v>#REF!</v>
      </c>
      <c r="L33" s="31" t="e">
        <f>IF(L34=12,L31,0)</f>
        <v>#REF!</v>
      </c>
    </row>
    <row r="34" spans="1:12">
      <c r="A34" s="11" t="e">
        <f>IF(B32=0,A35,B31)</f>
        <v>#REF!</v>
      </c>
      <c r="B34" s="11" t="e">
        <f>IF(C32=0,D31,C31)</f>
        <v>#REF!</v>
      </c>
      <c r="C34" s="11" t="e">
        <f>IF(L48=3,G31,IF(L48=2,H31,IF(L48=1,H34,H41)))</f>
        <v>#REF!</v>
      </c>
      <c r="D34" s="32" t="e">
        <f>IF(E31=0,D38,D40)</f>
        <v>#REF!</v>
      </c>
      <c r="E34" s="33" t="e">
        <f>IF(L49=3,E35,E37)</f>
        <v>#REF!</v>
      </c>
      <c r="F34" s="11" t="e">
        <f>IF(G31=0,H31,G31)</f>
        <v>#REF!</v>
      </c>
      <c r="G34" s="33" t="e">
        <f>IF(L48=0,H41,G37)</f>
        <v>#REF!</v>
      </c>
      <c r="H34" s="33" t="e">
        <f>IF(L47=0,L31,IF(L47=1,H35,IF(L47=2,H37,IF(L47=3,I31))))</f>
        <v>#REF!</v>
      </c>
      <c r="I34" s="33" t="e">
        <f>IF(L46=1,L31,IF(L46=2,I35,IF(L46=3,J31)))</f>
        <v>#REF!</v>
      </c>
      <c r="J34" s="11" t="e">
        <f>IF(K32=0,L31,K31)</f>
        <v>#REF!</v>
      </c>
      <c r="K34" s="4"/>
      <c r="L34" s="34" t="e">
        <f>SUM(A32:L32)</f>
        <v>#REF!</v>
      </c>
    </row>
    <row r="35" spans="1:12">
      <c r="A35" s="11" t="e">
        <f>IF(C31=0,A36,C31)</f>
        <v>#REF!</v>
      </c>
      <c r="B35" s="11" t="e">
        <f>IF(C31=0,D34,D31)</f>
        <v>#REF!</v>
      </c>
      <c r="C35" s="4"/>
      <c r="D35" s="11" t="e">
        <f>IF(E32=0,D36,E31)</f>
        <v>#REF!</v>
      </c>
      <c r="E35" s="33" t="e">
        <f>IF(F32=0,E36,F31)</f>
        <v>#REF!</v>
      </c>
      <c r="F35" s="35" t="e">
        <f>IF(L48=0,H38,F36)</f>
        <v>#REF!</v>
      </c>
      <c r="G35" s="11" t="e">
        <f>IF(L48=0,H42,H41)</f>
        <v>#REF!</v>
      </c>
      <c r="H35" s="14" t="e">
        <f>IF(I32=0,H36,I31)</f>
        <v>#REF!</v>
      </c>
      <c r="I35" s="33" t="e">
        <f>IF(J32=0,K31,J31)</f>
        <v>#REF!</v>
      </c>
      <c r="J35" s="11" t="e">
        <f>IF(K32=0,0,L31)</f>
        <v>#REF!</v>
      </c>
      <c r="K35" s="4"/>
      <c r="L35" s="14" t="e">
        <f>SUM(A32:K32)</f>
        <v>#REF!</v>
      </c>
    </row>
    <row r="36" spans="1:12">
      <c r="A36" s="11" t="e">
        <f>IF(E32=0,A37,E31)</f>
        <v>#REF!</v>
      </c>
      <c r="B36" s="4"/>
      <c r="C36" s="4"/>
      <c r="D36" s="11" t="e">
        <f>IF(F32=0,D37,F31)</f>
        <v>#REF!</v>
      </c>
      <c r="E36" s="33" t="e">
        <f>IF(G32=0,H34,G31)</f>
        <v>#REF!</v>
      </c>
      <c r="F36" s="33" t="e">
        <f>IF(G32=0,H34,H31)</f>
        <v>#REF!</v>
      </c>
      <c r="G36" s="11" t="e">
        <f>IF(L48=0,0,G39)</f>
        <v>#REF!</v>
      </c>
      <c r="H36" s="14" t="e">
        <f>IF(J32=0,K31,J31)</f>
        <v>#REF!</v>
      </c>
      <c r="I36" s="11" t="e">
        <f>IF(L46=3,K31,IF(L46=2,L31,IF(L46=1,0)))</f>
        <v>#REF!</v>
      </c>
      <c r="J36" s="4"/>
      <c r="K36" s="4"/>
      <c r="L36" s="14" t="e">
        <f>SUM(A32:J32)</f>
        <v>#REF!</v>
      </c>
    </row>
    <row r="37" spans="1:12">
      <c r="A37" s="11" t="e">
        <f>IF(F32=0,A38,F31)</f>
        <v>#REF!</v>
      </c>
      <c r="B37" s="4"/>
      <c r="C37" s="4"/>
      <c r="D37" s="11" t="e">
        <f>IF(G32=0,H34,G31)</f>
        <v>#REF!</v>
      </c>
      <c r="E37" s="33" t="e">
        <f>IF(F32=0,E38,F31)</f>
        <v>#REF!</v>
      </c>
      <c r="F37" s="11" t="e">
        <f>IF(L49=0,F38,F39)</f>
        <v>#REF!</v>
      </c>
      <c r="G37" s="11" t="e">
        <f>IF(L49=0,H41,H38)</f>
        <v>#REF!</v>
      </c>
      <c r="H37" s="11" t="e">
        <f>IF(I32=0,J31,I31)</f>
        <v>#REF!</v>
      </c>
      <c r="I37" s="11" t="e">
        <f>IF(L49=0,0,I38)</f>
        <v>#REF!</v>
      </c>
      <c r="J37" s="4"/>
      <c r="K37" s="4"/>
      <c r="L37" s="14" t="e">
        <f>SUM(A32:I32)</f>
        <v>#REF!</v>
      </c>
    </row>
    <row r="38" spans="1:12">
      <c r="A38" s="11" t="e">
        <f>IF(G32=0,A39,G31)</f>
        <v>#REF!</v>
      </c>
      <c r="B38" s="4"/>
      <c r="C38" s="4"/>
      <c r="D38" s="32" t="e">
        <f>IF(F31=0,D39,D42)</f>
        <v>#REF!</v>
      </c>
      <c r="E38" s="33" t="e">
        <f>IF(G32=0,H31,G31)</f>
        <v>#REF!</v>
      </c>
      <c r="F38" s="11" t="e">
        <f>IF(G31=0,H41,H38)</f>
        <v>#REF!</v>
      </c>
      <c r="G38" s="14" t="e">
        <f>IF(L49=0,H42,G35)</f>
        <v>#REF!</v>
      </c>
      <c r="H38" s="32" t="e">
        <f>IF(L47=0,0,IF(L47=1,L31,IF(L47=2,H39,IF(L47=3,J31))))</f>
        <v>#REF!</v>
      </c>
      <c r="I38" s="11" t="e">
        <f>IF(L48=0,0,I39)</f>
        <v>#REF!</v>
      </c>
      <c r="J38" s="4"/>
      <c r="K38" s="4"/>
      <c r="L38" s="33" t="e">
        <f>SUM(A32:H32)</f>
        <v>#REF!</v>
      </c>
    </row>
    <row r="39" spans="1:12">
      <c r="A39" s="11" t="e">
        <f>IF(I32=0,A40,I31)</f>
        <v>#REF!</v>
      </c>
      <c r="B39" s="4"/>
      <c r="C39" s="4"/>
      <c r="D39" s="32" t="e">
        <f>IF(G31=0,H38,H31)</f>
        <v>#REF!</v>
      </c>
      <c r="E39" s="14" t="e">
        <f>IF(L49=2,E40,E43)</f>
        <v>#REF!</v>
      </c>
      <c r="F39" s="32" t="e">
        <f>IF(L48=0,H41,F40)</f>
        <v>#REF!</v>
      </c>
      <c r="G39" s="11" t="e">
        <f>IF(L49=0,0,H42)</f>
        <v>#REF!</v>
      </c>
      <c r="H39" s="11" t="e">
        <f>IF(I32=0,K31,H40)</f>
        <v>#REF!</v>
      </c>
      <c r="I39" s="11" t="e">
        <f>IF(L47=3,L31,I40)</f>
        <v>#REF!</v>
      </c>
      <c r="J39" s="4"/>
      <c r="K39" s="4"/>
      <c r="L39" s="11" t="e">
        <f>SUM(A32:G32)</f>
        <v>#REF!</v>
      </c>
    </row>
    <row r="40" spans="1:12">
      <c r="A40" s="11" t="e">
        <f>IF(J32=0,A41,J31)</f>
        <v>#REF!</v>
      </c>
      <c r="B40" s="4"/>
      <c r="C40" s="4"/>
      <c r="D40" s="32" t="e">
        <f>IF(F32=0,D41,F31)</f>
        <v>#REF!</v>
      </c>
      <c r="E40" s="11" t="e">
        <f>IF(F32=0,E41,E42)</f>
        <v>#REF!</v>
      </c>
      <c r="F40" s="32" t="e">
        <f>IF(G32=0,H38,H34)</f>
        <v>#REF!</v>
      </c>
      <c r="G40" s="4"/>
      <c r="H40" s="11" t="e">
        <f>IF(J32=0,K31,J31)</f>
        <v>#REF!</v>
      </c>
      <c r="I40" s="11" t="e">
        <f>IF(L47=2,L31,0)</f>
        <v>#REF!</v>
      </c>
      <c r="J40" s="4"/>
      <c r="K40" s="4"/>
      <c r="L40" s="11" t="e">
        <f>SUM(A32:F32)</f>
        <v>#REF!</v>
      </c>
    </row>
    <row r="41" spans="1:12">
      <c r="A41" s="11" t="e">
        <f>IF(K32=0,0,K31)</f>
        <v>#REF!</v>
      </c>
      <c r="B41" s="4"/>
      <c r="C41" s="4"/>
      <c r="D41" s="32" t="e">
        <f>IF(G32=0,H31,G31)</f>
        <v>#REF!</v>
      </c>
      <c r="E41" s="11" t="e">
        <f>IF(G32=0,H38,H31)</f>
        <v>#REF!</v>
      </c>
      <c r="F41" s="14" t="e">
        <f>IF(L49=0,F43,F42)</f>
        <v>#REF!</v>
      </c>
      <c r="G41" s="4"/>
      <c r="H41" s="32" t="e">
        <f>IF(L47=3,K31,IF(L47=2,L31,0))</f>
        <v>#REF!</v>
      </c>
      <c r="I41" s="4"/>
      <c r="J41" s="4"/>
      <c r="K41" s="4"/>
      <c r="L41" s="33" t="e">
        <f>SUM(A32:E32)</f>
        <v>#REF!</v>
      </c>
    </row>
    <row r="42" spans="1:12">
      <c r="A42" s="4"/>
      <c r="B42" s="4"/>
      <c r="C42" s="4"/>
      <c r="D42" s="32" t="e">
        <f>IF(G32=0,H31,G31)</f>
        <v>#REF!</v>
      </c>
      <c r="E42" s="11" t="e">
        <f>IF(G32=0,H31,G31)</f>
        <v>#REF!</v>
      </c>
      <c r="F42" s="14" t="e">
        <f>IF(G32=0,H41,H38)</f>
        <v>#REF!</v>
      </c>
      <c r="G42" s="4"/>
      <c r="H42" s="33" t="e">
        <f>IF(L47=3,L31,0)</f>
        <v>#REF!</v>
      </c>
      <c r="I42" s="4"/>
      <c r="J42" s="4"/>
      <c r="K42" s="4"/>
      <c r="L42" s="10" t="e">
        <f>SUM(A32:D32)</f>
        <v>#REF!</v>
      </c>
    </row>
    <row r="43" spans="1:12">
      <c r="A43" s="4"/>
      <c r="B43" s="4"/>
      <c r="C43" s="4"/>
      <c r="D43" s="11" t="e">
        <f>IF(L48=3,H31,IF(L48=2,H34,IF(L48=1,H38,IF(L48=0,H42))))</f>
        <v>#REF!</v>
      </c>
      <c r="E43" s="14" t="e">
        <f>IF(F32=0,E44,E45)</f>
        <v>#REF!</v>
      </c>
      <c r="F43" s="14" t="e">
        <f>IF(G31=0,H42,H41)</f>
        <v>#REF!</v>
      </c>
      <c r="G43" s="4"/>
      <c r="H43" s="14" t="e">
        <f>IF(L49=0,H42,H41)</f>
        <v>#REF!</v>
      </c>
      <c r="I43" s="4"/>
      <c r="J43" s="4"/>
      <c r="K43" s="4"/>
      <c r="L43" s="10" t="e">
        <f>SUM(A32:C32)</f>
        <v>#REF!</v>
      </c>
    </row>
    <row r="44" spans="1:12">
      <c r="A44" s="4"/>
      <c r="B44" s="4"/>
      <c r="C44" s="4"/>
      <c r="D44" s="4"/>
      <c r="E44" s="14" t="e">
        <f>IF(G32=0,H34,H31)</f>
        <v>#REF!</v>
      </c>
      <c r="F44" s="14" t="e">
        <f>IF(G31=0,0,H42)</f>
        <v>#REF!</v>
      </c>
      <c r="G44" s="4"/>
      <c r="H44" s="11" t="e">
        <f>IF(L49=0,0,H42)</f>
        <v>#REF!</v>
      </c>
      <c r="I44" s="4"/>
      <c r="J44" s="4"/>
      <c r="K44" s="4"/>
      <c r="L44" s="10" t="e">
        <f>SUM(A32:B32)</f>
        <v>#REF!</v>
      </c>
    </row>
    <row r="45" spans="1:12">
      <c r="A45" s="4"/>
      <c r="B45" s="4"/>
      <c r="C45" s="4"/>
      <c r="D45" s="4"/>
      <c r="E45" s="14" t="e">
        <f>IF(G32=0,H31,G31)</f>
        <v>#REF!</v>
      </c>
      <c r="F45" s="4"/>
      <c r="G45" s="4"/>
      <c r="H45" s="4"/>
      <c r="I45" s="4"/>
      <c r="J45" s="4"/>
      <c r="K45" s="4"/>
      <c r="L45" s="10" t="e">
        <f>SUM(A32)</f>
        <v>#REF!</v>
      </c>
    </row>
    <row r="46" spans="1:12">
      <c r="A46" s="4"/>
      <c r="B46" s="4"/>
      <c r="C46" s="4"/>
      <c r="D46" s="4"/>
      <c r="E46" s="33" t="e">
        <f>IF(F32=0,E47,E48)</f>
        <v>#REF!</v>
      </c>
      <c r="F46" s="4"/>
      <c r="G46" s="4"/>
      <c r="H46" s="4"/>
      <c r="I46" s="4"/>
      <c r="J46" s="4"/>
      <c r="K46" s="4"/>
      <c r="L46" s="11" t="e">
        <f>SUM(J32:L32)</f>
        <v>#REF!</v>
      </c>
    </row>
    <row r="47" spans="1:12">
      <c r="A47" s="4"/>
      <c r="B47" s="4"/>
      <c r="C47" s="4"/>
      <c r="D47" s="4"/>
      <c r="E47" s="33" t="e">
        <f>IF(G32=0,H41,H34)</f>
        <v>#REF!</v>
      </c>
      <c r="F47" s="4"/>
      <c r="G47" s="4"/>
      <c r="H47" s="4"/>
      <c r="I47" s="4"/>
      <c r="J47" s="4"/>
      <c r="K47" s="4"/>
      <c r="L47" s="33" t="e">
        <f>SUM(I32:K32)</f>
        <v>#REF!</v>
      </c>
    </row>
    <row r="48" spans="1:12">
      <c r="A48" s="4"/>
      <c r="B48" s="4"/>
      <c r="C48" s="4"/>
      <c r="D48" s="4"/>
      <c r="E48" s="33" t="e">
        <f>IF(G31=0,H34,H31)</f>
        <v>#REF!</v>
      </c>
      <c r="F48" s="4"/>
      <c r="G48" s="4"/>
      <c r="H48" s="4"/>
      <c r="I48" s="4"/>
      <c r="J48" s="4"/>
      <c r="K48" s="4"/>
      <c r="L48" s="10" t="e">
        <f>SUM(E32:G32)</f>
        <v>#REF!</v>
      </c>
    </row>
    <row r="49" spans="1:12">
      <c r="A49" s="4"/>
      <c r="B49" s="4"/>
      <c r="C49" s="4"/>
      <c r="D49" s="4"/>
      <c r="E49" s="32" t="e">
        <f>IF(F31=0,E50,E51)</f>
        <v>#REF!</v>
      </c>
      <c r="F49" s="4"/>
      <c r="G49" s="4"/>
      <c r="H49" s="4"/>
      <c r="I49" s="4"/>
      <c r="J49" s="4"/>
      <c r="K49" s="4"/>
      <c r="L49" s="33" t="e">
        <f>SUM(A32:C32)</f>
        <v>#REF!</v>
      </c>
    </row>
    <row r="50" spans="1:12">
      <c r="A50" s="4"/>
      <c r="B50" s="4"/>
      <c r="C50" s="4"/>
      <c r="D50" s="4"/>
      <c r="E50" s="32" t="e">
        <f>IF(G31=0,0,H41)</f>
        <v>#REF!</v>
      </c>
      <c r="F50" s="4"/>
      <c r="G50" s="4"/>
      <c r="H50" s="4"/>
      <c r="I50" s="4"/>
      <c r="J50" s="4"/>
      <c r="K50" s="4"/>
      <c r="L50" s="4"/>
    </row>
    <row r="51" spans="1:12">
      <c r="A51" s="4"/>
      <c r="B51" s="4"/>
      <c r="C51" s="4"/>
      <c r="D51" s="4"/>
      <c r="E51" s="32" t="e">
        <f>IF(G32=0,H41,H38)</f>
        <v>#REF!</v>
      </c>
      <c r="F51" s="4"/>
      <c r="G51" s="4"/>
      <c r="H51" s="4"/>
      <c r="I51" s="4"/>
      <c r="J51" s="4"/>
      <c r="K51" s="4"/>
      <c r="L51" s="4"/>
    </row>
    <row r="52" spans="1:12">
      <c r="A52" s="4"/>
      <c r="B52" s="4"/>
      <c r="C52" s="4"/>
      <c r="D52" s="4"/>
      <c r="E52" s="33" t="e">
        <f>IF(L49=0,E53,E46)</f>
        <v>#REF!</v>
      </c>
      <c r="F52" s="4"/>
      <c r="G52" s="4"/>
      <c r="H52" s="4"/>
      <c r="I52" s="4"/>
      <c r="J52" s="4"/>
      <c r="K52" s="4"/>
      <c r="L52" s="4"/>
    </row>
    <row r="53" spans="1:12">
      <c r="A53" s="4"/>
      <c r="B53" s="4"/>
      <c r="C53" s="4"/>
      <c r="D53" s="4"/>
      <c r="E53" s="33" t="e">
        <f>IF(L48=3,H34,IF(L48=2,H38,IF(L48=1,H41,0)))</f>
        <v>#REF!</v>
      </c>
      <c r="F53" s="4"/>
      <c r="G53" s="4"/>
      <c r="H53" s="4"/>
      <c r="I53" s="4"/>
      <c r="J53" s="4"/>
      <c r="K53" s="4"/>
      <c r="L53" s="4"/>
    </row>
    <row r="54" spans="1:12">
      <c r="A54" s="8" t="e">
        <f t="shared" ref="A54:L54" si="2">LEN(A33)</f>
        <v>#REF!</v>
      </c>
      <c r="B54" s="8" t="e">
        <f t="shared" si="2"/>
        <v>#REF!</v>
      </c>
      <c r="C54" s="8" t="e">
        <f t="shared" si="2"/>
        <v>#REF!</v>
      </c>
      <c r="D54" s="8" t="e">
        <f t="shared" si="2"/>
        <v>#REF!</v>
      </c>
      <c r="E54" s="8" t="e">
        <f t="shared" si="2"/>
        <v>#REF!</v>
      </c>
      <c r="F54" s="8" t="e">
        <f t="shared" si="2"/>
        <v>#REF!</v>
      </c>
      <c r="G54" s="8" t="e">
        <f t="shared" si="2"/>
        <v>#REF!</v>
      </c>
      <c r="H54" s="8" t="e">
        <f t="shared" si="2"/>
        <v>#REF!</v>
      </c>
      <c r="I54" s="8" t="e">
        <f t="shared" si="2"/>
        <v>#REF!</v>
      </c>
      <c r="J54" s="8" t="e">
        <f t="shared" si="2"/>
        <v>#REF!</v>
      </c>
      <c r="K54" s="8" t="e">
        <f t="shared" si="2"/>
        <v>#REF!</v>
      </c>
      <c r="L54" s="8" t="e">
        <f t="shared" si="2"/>
        <v>#REF!</v>
      </c>
    </row>
    <row r="55" spans="1:12">
      <c r="A55" s="11"/>
      <c r="B55" s="11"/>
      <c r="C55" s="11"/>
      <c r="D55" s="11"/>
      <c r="E55" s="11" t="e">
        <f>SUM(A54:E54)</f>
        <v>#REF!</v>
      </c>
      <c r="F55" s="11" t="e">
        <f>SUM(A54:F54)</f>
        <v>#REF!</v>
      </c>
      <c r="G55" s="11" t="e">
        <f>SUM(A54:G54)</f>
        <v>#REF!</v>
      </c>
      <c r="H55" s="11" t="e">
        <f>SUM(A54:H54)</f>
        <v>#REF!</v>
      </c>
      <c r="I55" s="11" t="e">
        <f>SUM(A54:I54)</f>
        <v>#REF!</v>
      </c>
      <c r="J55" s="11" t="e">
        <f>SUM(A54:J54)</f>
        <v>#REF!</v>
      </c>
      <c r="K55" s="11" t="e">
        <f>SUM(A54:K54)</f>
        <v>#REF!</v>
      </c>
      <c r="L55" s="11" t="e">
        <f>SUM(A54:L54)</f>
        <v>#REF!</v>
      </c>
    </row>
    <row r="56" spans="1:12">
      <c r="A56" s="10" t="e">
        <f>IF(A33=0,"    ",A33)</f>
        <v>#REF!</v>
      </c>
      <c r="B56" s="10" t="e">
        <f>IF(B33=0,"    ",B33)</f>
        <v>#REF!</v>
      </c>
      <c r="C56" s="10" t="e">
        <f t="shared" ref="C56:K56" si="3">IF(C33=0," ",C33)</f>
        <v>#REF!</v>
      </c>
      <c r="D56" s="10" t="e">
        <f t="shared" si="3"/>
        <v>#REF!</v>
      </c>
      <c r="E56" s="10" t="e">
        <f t="shared" si="3"/>
        <v>#REF!</v>
      </c>
      <c r="F56" s="10" t="e">
        <f t="shared" si="3"/>
        <v>#REF!</v>
      </c>
      <c r="G56" s="10" t="e">
        <f t="shared" si="3"/>
        <v>#REF!</v>
      </c>
      <c r="H56" s="10" t="e">
        <f t="shared" si="3"/>
        <v>#REF!</v>
      </c>
      <c r="I56" s="10" t="e">
        <f t="shared" si="3"/>
        <v>#REF!</v>
      </c>
      <c r="J56" s="10" t="e">
        <f t="shared" si="3"/>
        <v>#REF!</v>
      </c>
      <c r="K56" s="10" t="e">
        <f t="shared" si="3"/>
        <v>#REF!</v>
      </c>
      <c r="L56" s="10" t="str">
        <f>IF(B61=0,"    ",B61)</f>
        <v>qəp.</v>
      </c>
    </row>
    <row r="57" spans="1:12">
      <c r="A57" s="10" t="e">
        <f>CONCATENATE(D57,A56,B56,C56,D56,E56,F56,G56,H56,I56,J56,L56,K56)</f>
        <v>#REF!</v>
      </c>
      <c r="B57" s="10"/>
      <c r="C57" s="10"/>
      <c r="D57" s="10" t="s">
        <v>82</v>
      </c>
      <c r="E57" s="10"/>
      <c r="F57" s="10"/>
      <c r="G57" s="10"/>
      <c r="H57" s="10"/>
      <c r="I57" s="10"/>
      <c r="J57" s="10"/>
      <c r="K57" s="10"/>
      <c r="L57" s="10"/>
    </row>
    <row r="58" spans="1:12">
      <c r="A58" s="36"/>
      <c r="B58" s="37">
        <f>ROUND(A58,0)</f>
        <v>0</v>
      </c>
    </row>
    <row r="59" spans="1:12">
      <c r="A59" s="6" t="s">
        <v>83</v>
      </c>
      <c r="B59" s="38" t="e">
        <f>M13/6</f>
        <v>#REF!</v>
      </c>
      <c r="C59" s="6" t="s">
        <v>84</v>
      </c>
      <c r="D59" s="39"/>
    </row>
    <row r="60" spans="1:12">
      <c r="A60" s="13" t="e">
        <f>CONCATENATE(A59,B59,C59)</f>
        <v>#REF!</v>
      </c>
      <c r="D60" s="39"/>
    </row>
    <row r="61" spans="1:12">
      <c r="A61" s="6" t="e">
        <f>(M5-M8)*100</f>
        <v>#REF!</v>
      </c>
      <c r="B61" s="6" t="s">
        <v>85</v>
      </c>
      <c r="D61" s="39"/>
    </row>
    <row r="62" spans="1:12">
      <c r="A62" s="19">
        <f>M11</f>
        <v>0</v>
      </c>
      <c r="B62" s="12">
        <f>M12/6</f>
        <v>0</v>
      </c>
      <c r="D62" s="39"/>
    </row>
    <row r="63" spans="1:12">
      <c r="A63" s="40" t="str">
        <f>CONCATENATE(B62,C59)</f>
        <v>0ман.</v>
      </c>
    </row>
    <row r="64" spans="1:12">
      <c r="A64" s="6" t="e">
        <f>CONCATENATE(A56,B56)</f>
        <v>#REF!</v>
      </c>
      <c r="L64" s="6" t="e">
        <f>IF(L33=0,"    ",L33)</f>
        <v>#REF!</v>
      </c>
    </row>
  </sheetData>
  <sheetProtection sheet="1" objects="1" scenarios="1"/>
  <phoneticPr fontId="5" type="noConversion"/>
  <pageMargins left="0.75" right="0.75" top="1" bottom="1" header="0.5" footer="0.5"/>
  <pageSetup paperSize="9" orientation="portrait" r:id="rId1"/>
  <headerFooter alignWithMargin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codeName="Sheet12"/>
  <dimension ref="A1:P64"/>
  <sheetViews>
    <sheetView topLeftCell="A43" workbookViewId="0"/>
  </sheetViews>
  <sheetFormatPr defaultRowHeight="12.75"/>
  <cols>
    <col min="1" max="1" width="35" style="6" customWidth="1"/>
    <col min="2" max="2" width="11.140625" style="6" customWidth="1"/>
    <col min="3" max="3" width="13.28515625" style="6" customWidth="1"/>
    <col min="4" max="4" width="13.5703125" style="6" customWidth="1"/>
    <col min="5" max="5" width="12.42578125" style="6" customWidth="1"/>
    <col min="6" max="6" width="12.7109375" style="6" customWidth="1"/>
    <col min="7" max="7" width="10.28515625" style="6" customWidth="1"/>
    <col min="8" max="8" width="13.28515625" style="6" customWidth="1"/>
    <col min="9" max="9" width="10.5703125" style="6" customWidth="1"/>
    <col min="10" max="11" width="7.5703125" style="6" customWidth="1"/>
    <col min="12" max="12" width="6.7109375" style="6" customWidth="1"/>
    <col min="13" max="13" width="18.140625" style="6" customWidth="1"/>
    <col min="14" max="14" width="8.42578125" style="6" customWidth="1"/>
    <col min="15" max="15" width="9.140625" style="6"/>
    <col min="16" max="16" width="8.42578125" style="6" customWidth="1"/>
    <col min="17" max="16384" width="9.140625" style="6"/>
  </cols>
  <sheetData>
    <row r="1" spans="1:16" ht="13.5" thickBot="1">
      <c r="A1" s="2" t="e">
        <f>M8</f>
        <v>#REF!</v>
      </c>
      <c r="B1" s="3"/>
      <c r="C1" s="3"/>
      <c r="D1" s="3"/>
      <c r="E1" s="3"/>
      <c r="F1" s="3"/>
      <c r="G1" s="3"/>
      <c r="H1" s="3"/>
      <c r="I1" s="3"/>
      <c r="J1" s="4"/>
      <c r="K1" s="5"/>
      <c r="L1" s="4"/>
    </row>
    <row r="2" spans="1:16">
      <c r="A2" s="7" t="e">
        <f>(MOD(A1,1000000000)-MOD(A1,100000000))/100000000</f>
        <v>#REF!</v>
      </c>
      <c r="B2" s="7" t="e">
        <f>(MOD(A1,100000000)-MOD(A1,10000000))/10000000</f>
        <v>#REF!</v>
      </c>
      <c r="C2" s="7" t="e">
        <f>(MOD(A1,10000000)-MOD(A1,1000000))/1000000</f>
        <v>#REF!</v>
      </c>
      <c r="D2" s="7" t="e">
        <f>(MOD(A1,1000000)-MOD(A1,100000))/100000</f>
        <v>#REF!</v>
      </c>
      <c r="E2" s="7" t="e">
        <f>(MOD(A1,100000)-MOD(A1,10000))/10000</f>
        <v>#REF!</v>
      </c>
      <c r="F2" s="7" t="e">
        <f>(MOD(A1,10000)-MOD(A1,1000))/1000</f>
        <v>#REF!</v>
      </c>
      <c r="G2" s="7" t="e">
        <f>(MOD(A1,1000)-MOD(A1,100))/100</f>
        <v>#REF!</v>
      </c>
      <c r="H2" s="7" t="e">
        <f>(MOD(A1,100)-MOD(A1,10))/10</f>
        <v>#REF!</v>
      </c>
      <c r="I2" s="7" t="e">
        <f>MOD(A1,10)</f>
        <v>#REF!</v>
      </c>
      <c r="J2" s="4"/>
      <c r="K2" s="5"/>
      <c r="L2" s="4"/>
      <c r="M2" s="6" t="e">
        <f>IF(H2=1," ",IF(I2=1," ",IF(N2=TRUE," "," ")))</f>
        <v>#REF!</v>
      </c>
      <c r="N2" s="6" t="e">
        <f>OR(I2=2,I2=3,I2=4)</f>
        <v>#REF!</v>
      </c>
      <c r="P2" s="6" t="b">
        <f>OR(K2=2,K2=3,K2=4)</f>
        <v>0</v>
      </c>
    </row>
    <row r="3" spans="1:16">
      <c r="A3" s="8" t="e">
        <f>IF(A2=0,0,A5)</f>
        <v>#REF!</v>
      </c>
      <c r="B3" s="8" t="e">
        <f t="shared" ref="B3:I3" si="0">IF(B2=0,0,B4)</f>
        <v>#REF!</v>
      </c>
      <c r="C3" s="9" t="e">
        <f t="shared" si="0"/>
        <v>#REF!</v>
      </c>
      <c r="D3" s="8" t="e">
        <f t="shared" si="0"/>
        <v>#REF!</v>
      </c>
      <c r="E3" s="8" t="e">
        <f t="shared" si="0"/>
        <v>#REF!</v>
      </c>
      <c r="F3" s="9" t="e">
        <f t="shared" si="0"/>
        <v>#REF!</v>
      </c>
      <c r="G3" s="8" t="e">
        <f t="shared" si="0"/>
        <v>#REF!</v>
      </c>
      <c r="H3" s="8" t="e">
        <f t="shared" si="0"/>
        <v>#REF!</v>
      </c>
      <c r="I3" s="9" t="e">
        <f t="shared" si="0"/>
        <v>#REF!</v>
      </c>
      <c r="J3" s="4"/>
      <c r="K3" s="5"/>
      <c r="L3" s="4"/>
      <c r="M3" s="6" t="e">
        <f>IF(E2=1," min",IF(F2=1," min",IF(N3=TRUE," min"," min")))</f>
        <v>#REF!</v>
      </c>
      <c r="N3" s="6" t="e">
        <f>OR(F2=2,F2=3,F2=4)</f>
        <v>#REF!</v>
      </c>
      <c r="P3" s="6" t="e">
        <f>OR(H2=2,H2=3,H2=4)</f>
        <v>#REF!</v>
      </c>
    </row>
    <row r="4" spans="1:16">
      <c r="A4" s="10"/>
      <c r="B4" s="10" t="e">
        <f>IF(A1&gt;99999999,B5,B6)</f>
        <v>#REF!</v>
      </c>
      <c r="C4" s="10" t="e">
        <f>IF(B2=1,0,C5)</f>
        <v>#REF!</v>
      </c>
      <c r="D4" s="10" t="e">
        <f>IF(A1&gt;999999,D5,D7)</f>
        <v>#REF!</v>
      </c>
      <c r="E4" s="10" t="e">
        <f>IF(A1&gt;99999,E5,E6)</f>
        <v>#REF!</v>
      </c>
      <c r="F4" s="10" t="e">
        <f>IF(E2=1,0,F5)</f>
        <v>#REF!</v>
      </c>
      <c r="G4" s="10" t="e">
        <f>IF(A1&gt;999,G5,G7)</f>
        <v>#REF!</v>
      </c>
      <c r="H4" s="10" t="e">
        <f>IF(A1&gt;99,H5,H6)</f>
        <v>#REF!</v>
      </c>
      <c r="I4" s="10" t="e">
        <f>IF(H2=1,0,I5)</f>
        <v>#REF!</v>
      </c>
      <c r="J4" s="4"/>
      <c r="K4" s="5"/>
      <c r="L4" s="4"/>
      <c r="M4" s="6" t="e">
        <f>IF(B2=1," milyon",IF(C2=1," milyon",IF(N4=TRUE," milyon"," milyon")))</f>
        <v>#REF!</v>
      </c>
      <c r="N4" s="6" t="e">
        <f>OR(C2=2,C2=3,C2=4)</f>
        <v>#REF!</v>
      </c>
      <c r="P4" s="6" t="e">
        <f>OR(E2=2,E2=3,E2=4)</f>
        <v>#REF!</v>
      </c>
    </row>
    <row r="5" spans="1:16">
      <c r="A5" s="11" t="e">
        <f>IF(A2=1,H20,IF(A2=2,H21,IF(A2=3,H22,IF(A2=4,H23,IF(A2=5,H24,IF(A2=6,H25,IF(A2=7,H26,IF(A2&gt;7,A6))))))))</f>
        <v>#REF!</v>
      </c>
      <c r="B5" s="10" t="e">
        <f>IF(B2=1,B7,B11)</f>
        <v>#REF!</v>
      </c>
      <c r="C5" s="10" t="e">
        <f>IF(A1&gt;9999999,C6,C7)</f>
        <v>#REF!</v>
      </c>
      <c r="D5" s="11" t="e">
        <f>IF(D2=1,I20,IF(D2=2,I21,IF(D2=3,I22,IF(D2=4,I23,IF(D2=5,I24,IF(D2=6,I25,IF(D2=7,I26,IF(D2&gt;7,D6))))))))</f>
        <v>#REF!</v>
      </c>
      <c r="E5" s="10" t="e">
        <f>IF(E2=1,E7,E11)</f>
        <v>#REF!</v>
      </c>
      <c r="F5" s="10" t="e">
        <f>IF(A1&gt;9999,F6,F7)</f>
        <v>#REF!</v>
      </c>
      <c r="G5" s="11" t="e">
        <f>IF(G2=1,I20,IF(G2=2,I21,IF(G2=3,I22,IF(G2=4,I23,IF(G2=5,I24,IF(G2=6,I25,IF(G2=7,I26,IF(G2&gt;7,G6))))))))</f>
        <v>#REF!</v>
      </c>
      <c r="H5" s="10" t="e">
        <f>IF(H2=1,H7,H11)</f>
        <v>#REF!</v>
      </c>
      <c r="I5" s="10" t="e">
        <f>IF(A1&gt;9,I6,I7)</f>
        <v>#REF!</v>
      </c>
      <c r="J5" s="4"/>
      <c r="K5" s="5"/>
      <c r="L5" s="4"/>
      <c r="M5" s="12" t="e">
        <f>#REF!</f>
        <v>#REF!</v>
      </c>
    </row>
    <row r="6" spans="1:16">
      <c r="A6" s="11" t="e">
        <f>IF(A2=8,H27,IF(A2=9,H28))</f>
        <v>#REF!</v>
      </c>
      <c r="B6" s="10" t="e">
        <f>IF(B2=1,B9,B12)</f>
        <v>#REF!</v>
      </c>
      <c r="C6" s="10" t="e">
        <f>IF(C2=1,B20,IF(C2=2,B21,IF(C2=3,B22,IF(C2=4,B23,IF(C2=5,B24,IF(C2=6,B25,IF(C2=7,B26,IF(C2&gt;7,C8))))))))</f>
        <v>#REF!</v>
      </c>
      <c r="D6" s="11" t="e">
        <f>IF(D2=8,I27,IF(D2=9,I28))</f>
        <v>#REF!</v>
      </c>
      <c r="E6" s="10" t="e">
        <f>IF(E2=1,E9,E12)</f>
        <v>#REF!</v>
      </c>
      <c r="F6" s="10" t="e">
        <f>IF(F2=1,G22,IF(F2=2,G23,IF(F2=3,B22,IF(F2=4,B23,IF(F2=5,B24,IF(F2=6,B25,IF(F2=7,B26,IF(F2&gt;7,F8))))))))</f>
        <v>#REF!</v>
      </c>
      <c r="G6" s="11" t="e">
        <f>IF(G2=8,I27,IF(G2=9,I28))</f>
        <v>#REF!</v>
      </c>
      <c r="H6" s="10" t="e">
        <f>IF(H2=1,H9,H12)</f>
        <v>#REF!</v>
      </c>
      <c r="I6" s="10" t="e">
        <f>IF(I2=1,B20,IF(I2=2,B21,IF(I2=3,B22,IF(I2=4,B23,IF(I2=5,B24,IF(I2=6,B25,IF(I2=7,B26,IF(I2&gt;7,I8))))))))</f>
        <v>#REF!</v>
      </c>
      <c r="J6" s="4"/>
      <c r="K6" s="5"/>
      <c r="L6" s="4"/>
      <c r="M6" s="13" t="e">
        <f>CONCATENATE(M8,M9,M11)</f>
        <v>#REF!</v>
      </c>
    </row>
    <row r="7" spans="1:16">
      <c r="A7" s="4"/>
      <c r="B7" s="11" t="e">
        <f>IF(C2=0,F20,IF(C2=1,D20,IF(C2=2,D21,IF(C2=3,D22,IF(C2=4,D23,IF(C2=5,D24,IF(C2=6,D25,IF(C2&gt;6,B8))))))))</f>
        <v>#REF!</v>
      </c>
      <c r="C7" s="10" t="e">
        <f>IF(C2=1,A20,IF(C2=2,A21,IF(C2=3,A22,IF(C2=4,A23,IF(C2=5,A24,IF(C2=6,A25,IF(C2=7,A26,IF(C2&gt;7,C9))))))))</f>
        <v>#REF!</v>
      </c>
      <c r="D7" s="14" t="e">
        <f>IF(D2=1,H20,IF(D2=2,H21,IF(D2=3,H22,IF(D2=4,H23,IF(D2=5,H24,IF(D2=6,H25,IF(D2=7,H26,IF(D2&gt;7,D8))))))))</f>
        <v>#REF!</v>
      </c>
      <c r="E7" s="11" t="e">
        <f>IF(F2=0,F20,IF(F2=1,D20,IF(F2=2,D21,IF(F2=3,D22,IF(F2=4,D23,IF(F2=5,D24,IF(F2=6,D25,IF(F2&gt;6,E8))))))))</f>
        <v>#REF!</v>
      </c>
      <c r="F7" s="10" t="e">
        <f>IF(F2=1,G20,IF(F2=2,G21,IF(F2=3,A22,IF(F2=4,A23,IF(F2=5,A24,IF(F2=6,A25,IF(F2=7,A26,IF(F2&gt;7,F9))))))))</f>
        <v>#REF!</v>
      </c>
      <c r="G7" s="14" t="e">
        <f>IF(G2=1,H20,IF(G2=2,H21,IF(G2=3,H22,IF(G2=4,H23,IF(G2=5,H24,IF(G2=6,H25,IF(G2=7,H26,IF(G2&gt;7,G8))))))))</f>
        <v>#REF!</v>
      </c>
      <c r="H7" s="11" t="e">
        <f>IF(I2=0,F20,IF(I2=1,D20,IF(I2=2,D21,IF(I2=3,D22,IF(I2=4,D23,IF(I2=5,D24,IF(I2=6,D25,IF(I2&gt;6,H8))))))))</f>
        <v>#REF!</v>
      </c>
      <c r="I7" s="10" t="e">
        <f>IF(I2=1,A20,IF(I2=2,A21,IF(I2=3,A22,IF(I2=4,A23,IF(I2=5,A24,IF(I2=6,A25,IF(I2=7,A26,IF(I2&gt;7,I9))))))))</f>
        <v>#REF!</v>
      </c>
      <c r="J7" s="4"/>
      <c r="K7" s="5"/>
      <c r="L7" s="4"/>
      <c r="M7" s="15"/>
    </row>
    <row r="8" spans="1:16">
      <c r="A8" s="4"/>
      <c r="B8" s="11" t="e">
        <f>IF(C2=7,D26,IF(C2=8,D27,IF(C2=9,D28)))</f>
        <v>#REF!</v>
      </c>
      <c r="C8" s="10" t="e">
        <f>IF(C2=8,B27,IF(C2=9,B28))</f>
        <v>#REF!</v>
      </c>
      <c r="D8" s="14" t="e">
        <f>IF(D2=8,H27,IF(D2=9,H28))</f>
        <v>#REF!</v>
      </c>
      <c r="E8" s="11" t="e">
        <f>IF(F2=7,D26,IF(F2=8,D27,IF(F2=9,D28)))</f>
        <v>#REF!</v>
      </c>
      <c r="F8" s="10" t="e">
        <f>IF(F2=8,B27,IF(F2=9,B28))</f>
        <v>#REF!</v>
      </c>
      <c r="G8" s="14" t="e">
        <f>IF(G2=8,H27,IF(G2=9,H28))</f>
        <v>#REF!</v>
      </c>
      <c r="H8" s="11" t="e">
        <f>IF(I2=7,D26,IF(I2=8,D27,IF(I2=9,D28)))</f>
        <v>#REF!</v>
      </c>
      <c r="I8" s="10" t="e">
        <f>IF(I2=8,B27,IF(I2=9,B28))</f>
        <v>#REF!</v>
      </c>
      <c r="J8" s="4"/>
      <c r="K8" s="5"/>
      <c r="L8" s="4"/>
      <c r="M8" s="16" t="e">
        <f>TRUNC(M5,0)</f>
        <v>#REF!</v>
      </c>
    </row>
    <row r="9" spans="1:16">
      <c r="A9" s="4"/>
      <c r="B9" s="14" t="e">
        <f>IF(C2=0,E20,IF(C2=1,C20,IF(C2=2,C21,IF(C2=3,C22,IF(C2=4,C23,IF(C2=5,C24,IF(C2=6,C25,IF(C2&gt;6,B10))))))))</f>
        <v>#REF!</v>
      </c>
      <c r="C9" s="10" t="e">
        <f>IF(C2=8,A27,IF(C2=9,A28))</f>
        <v>#REF!</v>
      </c>
      <c r="D9" s="4"/>
      <c r="E9" s="14" t="e">
        <f>IF(F2=0,E20,IF(F2=1,C20,IF(F2=2,C21,IF(F2=3,C22,IF(F2=4,C23,IF(F2=5,C24,IF(F2=6,C25,IF(F2&gt;6,E10))))))))</f>
        <v>#REF!</v>
      </c>
      <c r="F9" s="10" t="e">
        <f>IF(F2=8,A27,IF(F2=9,A28))</f>
        <v>#REF!</v>
      </c>
      <c r="G9" s="4"/>
      <c r="H9" s="14" t="e">
        <f>IF(I2=0,E20,IF(I2=1,C20,IF(I2=2,C21,IF(I2=3,C22,IF(I2=4,C23,IF(I2=5,C24,IF(I2=6,C25,IF(I2&gt;6,H10))))))))</f>
        <v>#REF!</v>
      </c>
      <c r="I9" s="10" t="e">
        <f>IF(I2=8,A27,IF(I2=9,A28))</f>
        <v>#REF!</v>
      </c>
      <c r="J9" s="4"/>
      <c r="K9" s="5"/>
      <c r="L9" s="4"/>
      <c r="M9" s="17" t="s">
        <v>9</v>
      </c>
    </row>
    <row r="10" spans="1:16">
      <c r="A10" s="4"/>
      <c r="B10" s="14" t="e">
        <f>IF(C2=7,C26,IF(C2=8,C27,IF(C2=9,C28)))</f>
        <v>#REF!</v>
      </c>
      <c r="C10" s="4"/>
      <c r="D10" s="4"/>
      <c r="E10" s="14" t="e">
        <f>IF(F2=7,C26,IF(F2=8,C27,IF(F2=9,C28)))</f>
        <v>#REF!</v>
      </c>
      <c r="F10" s="4"/>
      <c r="G10" s="4"/>
      <c r="H10" s="14" t="e">
        <f>IF(I2=7,C26,IF(I2=8,C27,IF(I2=9,C28)))</f>
        <v>#REF!</v>
      </c>
      <c r="I10" s="4"/>
      <c r="J10" s="4"/>
      <c r="K10" s="5"/>
      <c r="L10" s="4"/>
      <c r="M10" s="18" t="e">
        <f>(M5-M8)*100</f>
        <v>#REF!</v>
      </c>
    </row>
    <row r="11" spans="1:16">
      <c r="A11" s="4"/>
      <c r="B11" s="11" t="e">
        <f>IF(B2=2,F21,IF(B2=3,F22,IF(B2=4,F23,IF(B2=5,F24,IF(B2=6,F25,IF(B2=7,F26,IF(B2=8,F27,IF(B2=9,F28))))))))</f>
        <v>#REF!</v>
      </c>
      <c r="C11" s="4"/>
      <c r="D11" s="4"/>
      <c r="E11" s="11" t="e">
        <f>IF(E2=2,F21,IF(E2=3,F22,IF(E2=4,F23,IF(E2=5,F24,IF(E2=6,F25,IF(E2=7,F26,IF(E2=8,F27,IF(E2=9,F28))))))))</f>
        <v>#REF!</v>
      </c>
      <c r="F11" s="4"/>
      <c r="G11" s="4"/>
      <c r="H11" s="11" t="e">
        <f>IF(H2=2,F21,IF(H2=3,F22,IF(H2=4,F23,IF(H2=5,F24,IF(H2=6,F25,IF(H2=7,F26,IF(H2=8,F27,IF(H2=9,F28))))))))</f>
        <v>#REF!</v>
      </c>
      <c r="I11" s="4"/>
      <c r="J11" s="4"/>
      <c r="K11" s="5"/>
      <c r="L11" s="4"/>
      <c r="M11" s="19"/>
    </row>
    <row r="12" spans="1:16">
      <c r="A12" s="4"/>
      <c r="B12" s="14" t="e">
        <f>IF(B2=2,E21,IF(B2=3,E22,IF(B2=4,E23,IF(B2=5,E24,IF(B2=6,E25,IF(B2=7,E26,IF(B2=8,E27,IF(B2=9,E28))))))))</f>
        <v>#REF!</v>
      </c>
      <c r="C12" s="4"/>
      <c r="D12" s="4"/>
      <c r="E12" s="14" t="e">
        <f>IF(E2=2,E21,IF(E2=3,E22,IF(E2=4,E23,IF(E2=5,E24,IF(E2=6,E25,IF(E2=7,E26,IF(E2=8,E27,IF(E2=9,E28))))))))</f>
        <v>#REF!</v>
      </c>
      <c r="F12" s="4"/>
      <c r="G12" s="4"/>
      <c r="H12" s="14" t="e">
        <f>IF(H2=2,E21,IF(H2=3,E22,IF(H2=4,E23,IF(H2=5,E24,IF(H2=6,E25,IF(H2=7,E26,IF(H2=8,E27,IF(H2=9,E28))))))))</f>
        <v>#REF!</v>
      </c>
      <c r="I12" s="4"/>
      <c r="J12" s="4"/>
      <c r="K12" s="5"/>
      <c r="L12" s="4"/>
      <c r="M12" s="12"/>
    </row>
    <row r="13" spans="1:16">
      <c r="A13" s="4"/>
      <c r="B13" s="4"/>
      <c r="C13" s="4"/>
      <c r="D13" s="4"/>
      <c r="E13" s="4"/>
      <c r="F13" s="4"/>
      <c r="G13" s="4"/>
      <c r="H13" s="4"/>
      <c r="I13" s="4"/>
      <c r="J13" s="4"/>
      <c r="K13" s="5"/>
      <c r="L13" s="4"/>
      <c r="M13" s="6" t="e">
        <f>M5+M11/100</f>
        <v>#REF!</v>
      </c>
    </row>
    <row r="14" spans="1:16">
      <c r="A14" s="4"/>
      <c r="B14" s="4"/>
      <c r="C14" s="4"/>
      <c r="D14" s="4"/>
      <c r="E14" s="4"/>
      <c r="F14" s="4"/>
      <c r="G14" s="4"/>
      <c r="H14" s="4"/>
      <c r="I14" s="4"/>
      <c r="J14" s="4"/>
      <c r="K14" s="5"/>
      <c r="L14" s="4"/>
      <c r="M14" s="20" t="e">
        <f>M13/6</f>
        <v>#REF!</v>
      </c>
    </row>
    <row r="15" spans="1:16">
      <c r="A15" s="4"/>
      <c r="B15" s="4"/>
      <c r="C15" s="4"/>
      <c r="D15" s="4"/>
      <c r="E15" s="4"/>
      <c r="F15" s="4"/>
      <c r="G15" s="4"/>
      <c r="H15" s="4"/>
      <c r="I15" s="4"/>
      <c r="J15" s="4"/>
      <c r="K15" s="5"/>
      <c r="L15" s="4"/>
      <c r="M15" s="21" t="e">
        <f>M13/6</f>
        <v>#REF!</v>
      </c>
    </row>
    <row r="16" spans="1:16">
      <c r="A16" s="4"/>
      <c r="B16" s="4"/>
      <c r="C16" s="4"/>
      <c r="D16" s="4"/>
      <c r="E16" s="4"/>
      <c r="F16" s="4"/>
      <c r="G16" s="4"/>
      <c r="H16" s="4"/>
      <c r="I16" s="4"/>
      <c r="J16" s="4"/>
      <c r="K16" s="5"/>
      <c r="L16" s="4"/>
      <c r="M16" s="22" t="e">
        <f>TRUNC(M15,0)</f>
        <v>#REF!</v>
      </c>
    </row>
    <row r="17" spans="1:13">
      <c r="A17" s="4"/>
      <c r="B17" s="4"/>
      <c r="C17" s="4"/>
      <c r="D17" s="4"/>
      <c r="E17" s="4"/>
      <c r="F17" s="4"/>
      <c r="G17" s="4"/>
      <c r="H17" s="4"/>
      <c r="I17" s="4"/>
      <c r="J17" s="4"/>
      <c r="K17" s="5"/>
      <c r="L17" s="4"/>
      <c r="M17" s="23" t="e">
        <f>M16</f>
        <v>#REF!</v>
      </c>
    </row>
    <row r="18" spans="1:13">
      <c r="A18" s="4"/>
      <c r="B18" s="4"/>
      <c r="C18" s="4"/>
      <c r="D18" s="4"/>
      <c r="E18" s="4"/>
      <c r="F18" s="4"/>
      <c r="G18" s="4"/>
      <c r="H18" s="4"/>
      <c r="I18" s="4"/>
      <c r="J18" s="4"/>
      <c r="K18" s="5"/>
      <c r="L18" s="4"/>
      <c r="M18" s="19" t="e">
        <f>(M15-M17)*100</f>
        <v>#REF!</v>
      </c>
    </row>
    <row r="19" spans="1:13">
      <c r="A19" s="4"/>
      <c r="B19" s="4"/>
      <c r="C19" s="4"/>
      <c r="D19" s="4"/>
      <c r="E19" s="4"/>
      <c r="F19" s="4"/>
      <c r="G19" s="4"/>
      <c r="H19" s="4"/>
      <c r="I19" s="4"/>
      <c r="J19" s="4"/>
      <c r="K19" s="5"/>
      <c r="L19" s="4"/>
      <c r="M19" s="24" t="e">
        <f>CONCATENATE(M17,M9,M18)</f>
        <v>#REF!</v>
      </c>
    </row>
    <row r="20" spans="1:13">
      <c r="A20" s="25" t="s">
        <v>10</v>
      </c>
      <c r="B20" s="25" t="s">
        <v>11</v>
      </c>
      <c r="C20" s="25" t="s">
        <v>12</v>
      </c>
      <c r="D20" s="25" t="s">
        <v>13</v>
      </c>
      <c r="E20" s="25" t="s">
        <v>14</v>
      </c>
      <c r="F20" s="25" t="s">
        <v>15</v>
      </c>
      <c r="G20" s="25" t="s">
        <v>10</v>
      </c>
      <c r="H20" s="25" t="s">
        <v>16</v>
      </c>
      <c r="I20" s="25" t="s">
        <v>17</v>
      </c>
      <c r="J20" s="4"/>
      <c r="K20" s="5"/>
      <c r="L20" s="4"/>
    </row>
    <row r="21" spans="1:13">
      <c r="A21" s="25" t="s">
        <v>18</v>
      </c>
      <c r="B21" s="25" t="s">
        <v>19</v>
      </c>
      <c r="C21" s="25" t="s">
        <v>20</v>
      </c>
      <c r="D21" s="25" t="s">
        <v>21</v>
      </c>
      <c r="E21" s="25" t="s">
        <v>22</v>
      </c>
      <c r="F21" s="25" t="s">
        <v>23</v>
      </c>
      <c r="G21" s="25" t="s">
        <v>18</v>
      </c>
      <c r="H21" s="25" t="s">
        <v>24</v>
      </c>
      <c r="I21" s="25" t="s">
        <v>25</v>
      </c>
      <c r="J21" s="4"/>
      <c r="K21" s="5"/>
      <c r="L21" s="4"/>
      <c r="M21" s="19">
        <v>1.9999999999996021</v>
      </c>
    </row>
    <row r="22" spans="1:13">
      <c r="A22" s="25" t="s">
        <v>26</v>
      </c>
      <c r="B22" s="25" t="s">
        <v>27</v>
      </c>
      <c r="C22" s="25" t="s">
        <v>28</v>
      </c>
      <c r="D22" s="25" t="s">
        <v>29</v>
      </c>
      <c r="E22" s="25" t="s">
        <v>30</v>
      </c>
      <c r="F22" s="25" t="s">
        <v>31</v>
      </c>
      <c r="G22" s="25" t="s">
        <v>11</v>
      </c>
      <c r="H22" s="25" t="s">
        <v>32</v>
      </c>
      <c r="I22" s="25" t="s">
        <v>33</v>
      </c>
      <c r="J22" s="4"/>
      <c r="K22" s="5"/>
      <c r="L22" s="4"/>
    </row>
    <row r="23" spans="1:13">
      <c r="A23" s="25" t="s">
        <v>34</v>
      </c>
      <c r="B23" s="25" t="s">
        <v>35</v>
      </c>
      <c r="C23" s="25" t="s">
        <v>36</v>
      </c>
      <c r="D23" s="25" t="s">
        <v>37</v>
      </c>
      <c r="E23" s="26" t="s">
        <v>38</v>
      </c>
      <c r="F23" s="25" t="s">
        <v>39</v>
      </c>
      <c r="G23" s="25" t="s">
        <v>19</v>
      </c>
      <c r="H23" s="27" t="s">
        <v>40</v>
      </c>
      <c r="I23" s="25" t="s">
        <v>41</v>
      </c>
      <c r="J23" s="4"/>
      <c r="K23" s="5"/>
      <c r="L23" s="4"/>
    </row>
    <row r="24" spans="1:13">
      <c r="A24" s="25" t="s">
        <v>42</v>
      </c>
      <c r="B24" s="25" t="s">
        <v>43</v>
      </c>
      <c r="C24" s="25" t="s">
        <v>44</v>
      </c>
      <c r="D24" s="25" t="s">
        <v>45</v>
      </c>
      <c r="E24" s="25" t="s">
        <v>46</v>
      </c>
      <c r="F24" s="25" t="s">
        <v>47</v>
      </c>
      <c r="G24" s="25"/>
      <c r="H24" s="25" t="s">
        <v>48</v>
      </c>
      <c r="I24" s="25" t="s">
        <v>49</v>
      </c>
      <c r="J24" s="4"/>
      <c r="K24" s="5"/>
      <c r="L24" s="4"/>
    </row>
    <row r="25" spans="1:13">
      <c r="A25" s="25" t="s">
        <v>50</v>
      </c>
      <c r="B25" s="25" t="s">
        <v>51</v>
      </c>
      <c r="C25" s="25" t="s">
        <v>52</v>
      </c>
      <c r="D25" s="25" t="s">
        <v>53</v>
      </c>
      <c r="E25" s="25" t="s">
        <v>54</v>
      </c>
      <c r="F25" s="25" t="s">
        <v>55</v>
      </c>
      <c r="G25" s="25"/>
      <c r="H25" s="25" t="s">
        <v>56</v>
      </c>
      <c r="I25" s="25" t="s">
        <v>57</v>
      </c>
      <c r="J25" s="4"/>
      <c r="K25" s="5"/>
      <c r="L25" s="4"/>
    </row>
    <row r="26" spans="1:13">
      <c r="A26" s="25" t="s">
        <v>58</v>
      </c>
      <c r="B26" s="25" t="s">
        <v>59</v>
      </c>
      <c r="C26" s="25" t="s">
        <v>60</v>
      </c>
      <c r="D26" s="25" t="s">
        <v>61</v>
      </c>
      <c r="E26" s="25" t="s">
        <v>62</v>
      </c>
      <c r="F26" s="25" t="s">
        <v>63</v>
      </c>
      <c r="G26" s="25"/>
      <c r="H26" s="25" t="s">
        <v>64</v>
      </c>
      <c r="I26" s="25" t="s">
        <v>65</v>
      </c>
      <c r="J26" s="4"/>
      <c r="K26" s="5"/>
      <c r="L26" s="4"/>
    </row>
    <row r="27" spans="1:13">
      <c r="A27" s="25" t="s">
        <v>66</v>
      </c>
      <c r="B27" s="25" t="s">
        <v>67</v>
      </c>
      <c r="C27" s="25" t="s">
        <v>68</v>
      </c>
      <c r="D27" s="25" t="s">
        <v>69</v>
      </c>
      <c r="E27" s="25" t="s">
        <v>70</v>
      </c>
      <c r="F27" s="25" t="s">
        <v>71</v>
      </c>
      <c r="G27" s="25"/>
      <c r="H27" s="25" t="s">
        <v>72</v>
      </c>
      <c r="I27" s="25" t="s">
        <v>73</v>
      </c>
      <c r="J27" s="4"/>
      <c r="K27" s="5"/>
      <c r="L27" s="4"/>
    </row>
    <row r="28" spans="1:13">
      <c r="A28" s="25" t="s">
        <v>74</v>
      </c>
      <c r="B28" s="25" t="s">
        <v>75</v>
      </c>
      <c r="C28" s="25" t="s">
        <v>76</v>
      </c>
      <c r="D28" s="25" t="s">
        <v>77</v>
      </c>
      <c r="E28" s="25" t="s">
        <v>78</v>
      </c>
      <c r="F28" s="25" t="s">
        <v>79</v>
      </c>
      <c r="G28" s="25"/>
      <c r="H28" s="25" t="s">
        <v>80</v>
      </c>
      <c r="I28" s="25" t="s">
        <v>81</v>
      </c>
      <c r="J28" s="4"/>
      <c r="K28" s="5"/>
      <c r="L28" s="4"/>
    </row>
    <row r="29" spans="1:13">
      <c r="A29" s="4"/>
      <c r="B29" s="4"/>
      <c r="C29" s="4"/>
      <c r="D29" s="4"/>
      <c r="E29" s="4"/>
      <c r="F29" s="4"/>
      <c r="G29" s="4"/>
      <c r="H29" s="4"/>
      <c r="I29" s="4"/>
      <c r="J29" s="4"/>
      <c r="K29" s="5"/>
      <c r="L29" s="4"/>
    </row>
    <row r="30" spans="1:13">
      <c r="A30" s="28" t="e">
        <f t="shared" ref="A30:I30" si="1">A3</f>
        <v>#REF!</v>
      </c>
      <c r="B30" s="28" t="e">
        <f t="shared" si="1"/>
        <v>#REF!</v>
      </c>
      <c r="C30" s="28" t="e">
        <f t="shared" si="1"/>
        <v>#REF!</v>
      </c>
      <c r="D30" s="28" t="e">
        <f t="shared" si="1"/>
        <v>#REF!</v>
      </c>
      <c r="E30" s="28" t="e">
        <f t="shared" si="1"/>
        <v>#REF!</v>
      </c>
      <c r="F30" s="28" t="e">
        <f t="shared" si="1"/>
        <v>#REF!</v>
      </c>
      <c r="G30" s="28" t="e">
        <f t="shared" si="1"/>
        <v>#REF!</v>
      </c>
      <c r="H30" s="28" t="e">
        <f t="shared" si="1"/>
        <v>#REF!</v>
      </c>
      <c r="I30" s="28" t="e">
        <f t="shared" si="1"/>
        <v>#REF!</v>
      </c>
      <c r="J30" s="3"/>
      <c r="K30" s="4"/>
      <c r="L30" s="4"/>
    </row>
    <row r="31" spans="1:13">
      <c r="A31" s="29" t="e">
        <f>A30</f>
        <v>#REF!</v>
      </c>
      <c r="B31" s="29" t="e">
        <f>B30</f>
        <v>#REF!</v>
      </c>
      <c r="C31" s="29" t="e">
        <f>C30</f>
        <v>#REF!</v>
      </c>
      <c r="D31" s="14" t="e">
        <f>M4</f>
        <v>#REF!</v>
      </c>
      <c r="E31" s="29" t="e">
        <f>D30</f>
        <v>#REF!</v>
      </c>
      <c r="F31" s="29" t="e">
        <f>E30</f>
        <v>#REF!</v>
      </c>
      <c r="G31" s="29" t="e">
        <f>F30</f>
        <v>#REF!</v>
      </c>
      <c r="H31" s="14" t="e">
        <f>M3</f>
        <v>#REF!</v>
      </c>
      <c r="I31" s="29" t="e">
        <f>G30</f>
        <v>#REF!</v>
      </c>
      <c r="J31" s="29" t="e">
        <f>H30</f>
        <v>#REF!</v>
      </c>
      <c r="K31" s="29" t="e">
        <f>I30</f>
        <v>#REF!</v>
      </c>
      <c r="L31" s="14" t="e">
        <f>M2</f>
        <v>#REF!</v>
      </c>
    </row>
    <row r="32" spans="1:13">
      <c r="A32" s="30" t="e">
        <f>IF(A31=0,0,1)</f>
        <v>#REF!</v>
      </c>
      <c r="B32" s="30" t="e">
        <f>IF(B31=0,0,1)</f>
        <v>#REF!</v>
      </c>
      <c r="C32" s="30" t="e">
        <f>IF(C31=0,0,1)</f>
        <v>#REF!</v>
      </c>
      <c r="D32" s="30">
        <v>1</v>
      </c>
      <c r="E32" s="30" t="e">
        <f>IF(E31=0,0,1)</f>
        <v>#REF!</v>
      </c>
      <c r="F32" s="30" t="e">
        <f>IF(F31=0,0,1)</f>
        <v>#REF!</v>
      </c>
      <c r="G32" s="30" t="e">
        <f>IF(G31=0,0,1)</f>
        <v>#REF!</v>
      </c>
      <c r="H32" s="30">
        <v>1</v>
      </c>
      <c r="I32" s="30" t="e">
        <f>IF(I31=0,0,1)</f>
        <v>#REF!</v>
      </c>
      <c r="J32" s="30" t="e">
        <f>IF(J31=0,0,1)</f>
        <v>#REF!</v>
      </c>
      <c r="K32" s="30" t="e">
        <f>IF(K31=0,0,1)</f>
        <v>#REF!</v>
      </c>
      <c r="L32" s="30">
        <v>1</v>
      </c>
    </row>
    <row r="33" spans="1:12">
      <c r="A33" s="31" t="e">
        <f>IF(L45=1,A31,A34)</f>
        <v>#REF!</v>
      </c>
      <c r="B33" s="31" t="e">
        <f>IF(L44=2,B31,IF(L44=1,B34,IF(L44=0,B35)))</f>
        <v>#REF!</v>
      </c>
      <c r="C33" s="31" t="e">
        <f>IF(L43=3,C31,IF(L43=2,D31,IF(L43=1,D35,IF(L43=0,C34))))</f>
        <v>#REF!</v>
      </c>
      <c r="D33" s="31" t="e">
        <f>IF(L42=4,D31,IF(L42=3,D35,IF(L42=2,D34,IF(L42=1,D43))))</f>
        <v>#REF!</v>
      </c>
      <c r="E33" s="31" t="e">
        <f>IF(L41=5,E31,IF(L41=4,E34,IF(L41=3,E39,IF(L41=2,E52,E49))))</f>
        <v>#REF!</v>
      </c>
      <c r="F33" s="31" t="e">
        <f>IF(L40=6,F31,IF(L40=5,F34,IF(L40=4,F35,IF(L40=3,F37,IF(L40=2,F41,IF(L40=1,F44))))))</f>
        <v>#REF!</v>
      </c>
      <c r="G33" s="31" t="e">
        <f>IF(L39=7,G31,IF(L39=6,H31,IF(L39=5,H34,IF(L39=4,G34,IF(L39=3,G38,IF(L39=2,G36,0))))))</f>
        <v>#REF!</v>
      </c>
      <c r="H33" s="31" t="e">
        <f>IF(L38=8,H31,IF(L38=7,H34,IF(L38=6,H38,IF(L38=5,H43,IF(L38=4,H44,0)))))</f>
        <v>#REF!</v>
      </c>
      <c r="I33" s="31" t="e">
        <f>IF(L37=9,I31,IF(L37=8,I34,IF(L37=7,I36,IF(L37=6,I37,0))))</f>
        <v>#REF!</v>
      </c>
      <c r="J33" s="31" t="e">
        <f>IF(L36=10,J31,IF(L36=9,J34,IF(L36=8,J35,0)))</f>
        <v>#REF!</v>
      </c>
      <c r="K33" s="31" t="e">
        <f>IF(L35=11,K31,IF(L35=10,L31,))</f>
        <v>#REF!</v>
      </c>
      <c r="L33" s="31" t="e">
        <f>IF(L34=12,L31,0)</f>
        <v>#REF!</v>
      </c>
    </row>
    <row r="34" spans="1:12">
      <c r="A34" s="11" t="e">
        <f>IF(B32=0,A35,B31)</f>
        <v>#REF!</v>
      </c>
      <c r="B34" s="11" t="e">
        <f>IF(C32=0,D31,C31)</f>
        <v>#REF!</v>
      </c>
      <c r="C34" s="11" t="e">
        <f>IF(L48=3,G31,IF(L48=2,H31,IF(L48=1,H34,H41)))</f>
        <v>#REF!</v>
      </c>
      <c r="D34" s="32" t="e">
        <f>IF(E31=0,D38,D40)</f>
        <v>#REF!</v>
      </c>
      <c r="E34" s="33" t="e">
        <f>IF(L49=3,E35,E37)</f>
        <v>#REF!</v>
      </c>
      <c r="F34" s="11" t="e">
        <f>IF(G31=0,H31,G31)</f>
        <v>#REF!</v>
      </c>
      <c r="G34" s="33" t="e">
        <f>IF(L48=0,H41,G37)</f>
        <v>#REF!</v>
      </c>
      <c r="H34" s="33" t="e">
        <f>IF(L47=0,L31,IF(L47=1,H35,IF(L47=2,H37,IF(L47=3,I31))))</f>
        <v>#REF!</v>
      </c>
      <c r="I34" s="33" t="e">
        <f>IF(L46=1,L31,IF(L46=2,I35,IF(L46=3,J31)))</f>
        <v>#REF!</v>
      </c>
      <c r="J34" s="11" t="e">
        <f>IF(K32=0,L31,K31)</f>
        <v>#REF!</v>
      </c>
      <c r="K34" s="4"/>
      <c r="L34" s="34" t="e">
        <f>SUM(A32:L32)</f>
        <v>#REF!</v>
      </c>
    </row>
    <row r="35" spans="1:12">
      <c r="A35" s="11" t="e">
        <f>IF(C31=0,A36,C31)</f>
        <v>#REF!</v>
      </c>
      <c r="B35" s="11" t="e">
        <f>IF(C31=0,D34,D31)</f>
        <v>#REF!</v>
      </c>
      <c r="C35" s="4"/>
      <c r="D35" s="11" t="e">
        <f>IF(E32=0,D36,E31)</f>
        <v>#REF!</v>
      </c>
      <c r="E35" s="33" t="e">
        <f>IF(F32=0,E36,F31)</f>
        <v>#REF!</v>
      </c>
      <c r="F35" s="35" t="e">
        <f>IF(L48=0,H38,F36)</f>
        <v>#REF!</v>
      </c>
      <c r="G35" s="11" t="e">
        <f>IF(L48=0,H42,H41)</f>
        <v>#REF!</v>
      </c>
      <c r="H35" s="14" t="e">
        <f>IF(I32=0,H36,I31)</f>
        <v>#REF!</v>
      </c>
      <c r="I35" s="33" t="e">
        <f>IF(J32=0,K31,J31)</f>
        <v>#REF!</v>
      </c>
      <c r="J35" s="11" t="e">
        <f>IF(K32=0,0,L31)</f>
        <v>#REF!</v>
      </c>
      <c r="K35" s="4"/>
      <c r="L35" s="14" t="e">
        <f>SUM(A32:K32)</f>
        <v>#REF!</v>
      </c>
    </row>
    <row r="36" spans="1:12">
      <c r="A36" s="11" t="e">
        <f>IF(E32=0,A37,E31)</f>
        <v>#REF!</v>
      </c>
      <c r="B36" s="4"/>
      <c r="C36" s="4"/>
      <c r="D36" s="11" t="e">
        <f>IF(F32=0,D37,F31)</f>
        <v>#REF!</v>
      </c>
      <c r="E36" s="33" t="e">
        <f>IF(G32=0,H34,G31)</f>
        <v>#REF!</v>
      </c>
      <c r="F36" s="33" t="e">
        <f>IF(G32=0,H34,H31)</f>
        <v>#REF!</v>
      </c>
      <c r="G36" s="11" t="e">
        <f>IF(L48=0,0,G39)</f>
        <v>#REF!</v>
      </c>
      <c r="H36" s="14" t="e">
        <f>IF(J32=0,K31,J31)</f>
        <v>#REF!</v>
      </c>
      <c r="I36" s="11" t="e">
        <f>IF(L46=3,K31,IF(L46=2,L31,IF(L46=1,0)))</f>
        <v>#REF!</v>
      </c>
      <c r="J36" s="4"/>
      <c r="K36" s="4"/>
      <c r="L36" s="14" t="e">
        <f>SUM(A32:J32)</f>
        <v>#REF!</v>
      </c>
    </row>
    <row r="37" spans="1:12">
      <c r="A37" s="11" t="e">
        <f>IF(F32=0,A38,F31)</f>
        <v>#REF!</v>
      </c>
      <c r="B37" s="4"/>
      <c r="C37" s="4"/>
      <c r="D37" s="11" t="e">
        <f>IF(G32=0,H34,G31)</f>
        <v>#REF!</v>
      </c>
      <c r="E37" s="33" t="e">
        <f>IF(F32=0,E38,F31)</f>
        <v>#REF!</v>
      </c>
      <c r="F37" s="11" t="e">
        <f>IF(L49=0,F38,F39)</f>
        <v>#REF!</v>
      </c>
      <c r="G37" s="11" t="e">
        <f>IF(L49=0,H41,H38)</f>
        <v>#REF!</v>
      </c>
      <c r="H37" s="11" t="e">
        <f>IF(I32=0,J31,I31)</f>
        <v>#REF!</v>
      </c>
      <c r="I37" s="11" t="e">
        <f>IF(L49=0,0,I38)</f>
        <v>#REF!</v>
      </c>
      <c r="J37" s="4"/>
      <c r="K37" s="4"/>
      <c r="L37" s="14" t="e">
        <f>SUM(A32:I32)</f>
        <v>#REF!</v>
      </c>
    </row>
    <row r="38" spans="1:12">
      <c r="A38" s="11" t="e">
        <f>IF(G32=0,A39,G31)</f>
        <v>#REF!</v>
      </c>
      <c r="B38" s="4"/>
      <c r="C38" s="4"/>
      <c r="D38" s="32" t="e">
        <f>IF(F31=0,D39,D42)</f>
        <v>#REF!</v>
      </c>
      <c r="E38" s="33" t="e">
        <f>IF(G32=0,H31,G31)</f>
        <v>#REF!</v>
      </c>
      <c r="F38" s="11" t="e">
        <f>IF(G31=0,H41,H38)</f>
        <v>#REF!</v>
      </c>
      <c r="G38" s="14" t="e">
        <f>IF(L49=0,H42,G35)</f>
        <v>#REF!</v>
      </c>
      <c r="H38" s="32" t="e">
        <f>IF(L47=0,0,IF(L47=1,L31,IF(L47=2,H39,IF(L47=3,J31))))</f>
        <v>#REF!</v>
      </c>
      <c r="I38" s="11" t="e">
        <f>IF(L48=0,0,I39)</f>
        <v>#REF!</v>
      </c>
      <c r="J38" s="4"/>
      <c r="K38" s="4"/>
      <c r="L38" s="33" t="e">
        <f>SUM(A32:H32)</f>
        <v>#REF!</v>
      </c>
    </row>
    <row r="39" spans="1:12">
      <c r="A39" s="11" t="e">
        <f>IF(I32=0,A40,I31)</f>
        <v>#REF!</v>
      </c>
      <c r="B39" s="4"/>
      <c r="C39" s="4"/>
      <c r="D39" s="32" t="e">
        <f>IF(G31=0,H38,H31)</f>
        <v>#REF!</v>
      </c>
      <c r="E39" s="14" t="e">
        <f>IF(L49=2,E40,E43)</f>
        <v>#REF!</v>
      </c>
      <c r="F39" s="32" t="e">
        <f>IF(L48=0,H41,F40)</f>
        <v>#REF!</v>
      </c>
      <c r="G39" s="11" t="e">
        <f>IF(L49=0,0,H42)</f>
        <v>#REF!</v>
      </c>
      <c r="H39" s="11" t="e">
        <f>IF(I32=0,K31,H40)</f>
        <v>#REF!</v>
      </c>
      <c r="I39" s="11" t="e">
        <f>IF(L47=3,L31,I40)</f>
        <v>#REF!</v>
      </c>
      <c r="J39" s="4"/>
      <c r="K39" s="4"/>
      <c r="L39" s="11" t="e">
        <f>SUM(A32:G32)</f>
        <v>#REF!</v>
      </c>
    </row>
    <row r="40" spans="1:12">
      <c r="A40" s="11" t="e">
        <f>IF(J32=0,A41,J31)</f>
        <v>#REF!</v>
      </c>
      <c r="B40" s="4"/>
      <c r="C40" s="4"/>
      <c r="D40" s="32" t="e">
        <f>IF(F32=0,D41,F31)</f>
        <v>#REF!</v>
      </c>
      <c r="E40" s="11" t="e">
        <f>IF(F32=0,E41,E42)</f>
        <v>#REF!</v>
      </c>
      <c r="F40" s="32" t="e">
        <f>IF(G32=0,H38,H34)</f>
        <v>#REF!</v>
      </c>
      <c r="G40" s="4"/>
      <c r="H40" s="11" t="e">
        <f>IF(J32=0,K31,J31)</f>
        <v>#REF!</v>
      </c>
      <c r="I40" s="11" t="e">
        <f>IF(L47=2,L31,0)</f>
        <v>#REF!</v>
      </c>
      <c r="J40" s="4"/>
      <c r="K40" s="4"/>
      <c r="L40" s="11" t="e">
        <f>SUM(A32:F32)</f>
        <v>#REF!</v>
      </c>
    </row>
    <row r="41" spans="1:12">
      <c r="A41" s="11" t="e">
        <f>IF(K32=0,0,K31)</f>
        <v>#REF!</v>
      </c>
      <c r="B41" s="4"/>
      <c r="C41" s="4"/>
      <c r="D41" s="32" t="e">
        <f>IF(G32=0,H31,G31)</f>
        <v>#REF!</v>
      </c>
      <c r="E41" s="11" t="e">
        <f>IF(G32=0,H38,H31)</f>
        <v>#REF!</v>
      </c>
      <c r="F41" s="14" t="e">
        <f>IF(L49=0,F43,F42)</f>
        <v>#REF!</v>
      </c>
      <c r="G41" s="4"/>
      <c r="H41" s="32" t="e">
        <f>IF(L47=3,K31,IF(L47=2,L31,0))</f>
        <v>#REF!</v>
      </c>
      <c r="I41" s="4"/>
      <c r="J41" s="4"/>
      <c r="K41" s="4"/>
      <c r="L41" s="33" t="e">
        <f>SUM(A32:E32)</f>
        <v>#REF!</v>
      </c>
    </row>
    <row r="42" spans="1:12">
      <c r="A42" s="4"/>
      <c r="B42" s="4"/>
      <c r="C42" s="4"/>
      <c r="D42" s="32" t="e">
        <f>IF(G32=0,H31,G31)</f>
        <v>#REF!</v>
      </c>
      <c r="E42" s="11" t="e">
        <f>IF(G32=0,H31,G31)</f>
        <v>#REF!</v>
      </c>
      <c r="F42" s="14" t="e">
        <f>IF(G32=0,H41,H38)</f>
        <v>#REF!</v>
      </c>
      <c r="G42" s="4"/>
      <c r="H42" s="33" t="e">
        <f>IF(L47=3,L31,0)</f>
        <v>#REF!</v>
      </c>
      <c r="I42" s="4"/>
      <c r="J42" s="4"/>
      <c r="K42" s="4"/>
      <c r="L42" s="10" t="e">
        <f>SUM(A32:D32)</f>
        <v>#REF!</v>
      </c>
    </row>
    <row r="43" spans="1:12">
      <c r="A43" s="4"/>
      <c r="B43" s="4"/>
      <c r="C43" s="4"/>
      <c r="D43" s="11" t="e">
        <f>IF(L48=3,H31,IF(L48=2,H34,IF(L48=1,H38,IF(L48=0,H42))))</f>
        <v>#REF!</v>
      </c>
      <c r="E43" s="14" t="e">
        <f>IF(F32=0,E44,E45)</f>
        <v>#REF!</v>
      </c>
      <c r="F43" s="14" t="e">
        <f>IF(G31=0,H42,H41)</f>
        <v>#REF!</v>
      </c>
      <c r="G43" s="4"/>
      <c r="H43" s="14" t="e">
        <f>IF(L49=0,H42,H41)</f>
        <v>#REF!</v>
      </c>
      <c r="I43" s="4"/>
      <c r="J43" s="4"/>
      <c r="K43" s="4"/>
      <c r="L43" s="10" t="e">
        <f>SUM(A32:C32)</f>
        <v>#REF!</v>
      </c>
    </row>
    <row r="44" spans="1:12">
      <c r="A44" s="4"/>
      <c r="B44" s="4"/>
      <c r="C44" s="4"/>
      <c r="D44" s="4"/>
      <c r="E44" s="14" t="e">
        <f>IF(G32=0,H34,H31)</f>
        <v>#REF!</v>
      </c>
      <c r="F44" s="14" t="e">
        <f>IF(G31=0,0,H42)</f>
        <v>#REF!</v>
      </c>
      <c r="G44" s="4"/>
      <c r="H44" s="11" t="e">
        <f>IF(L49=0,0,H42)</f>
        <v>#REF!</v>
      </c>
      <c r="I44" s="4"/>
      <c r="J44" s="4"/>
      <c r="K44" s="4"/>
      <c r="L44" s="10" t="e">
        <f>SUM(A32:B32)</f>
        <v>#REF!</v>
      </c>
    </row>
    <row r="45" spans="1:12">
      <c r="A45" s="4"/>
      <c r="B45" s="4"/>
      <c r="C45" s="4"/>
      <c r="D45" s="4"/>
      <c r="E45" s="14" t="e">
        <f>IF(G32=0,H31,G31)</f>
        <v>#REF!</v>
      </c>
      <c r="F45" s="4"/>
      <c r="G45" s="4"/>
      <c r="H45" s="4"/>
      <c r="I45" s="4"/>
      <c r="J45" s="4"/>
      <c r="K45" s="4"/>
      <c r="L45" s="10" t="e">
        <f>SUM(A32)</f>
        <v>#REF!</v>
      </c>
    </row>
    <row r="46" spans="1:12">
      <c r="A46" s="4"/>
      <c r="B46" s="4"/>
      <c r="C46" s="4"/>
      <c r="D46" s="4"/>
      <c r="E46" s="33" t="e">
        <f>IF(F32=0,E47,E48)</f>
        <v>#REF!</v>
      </c>
      <c r="F46" s="4"/>
      <c r="G46" s="4"/>
      <c r="H46" s="4"/>
      <c r="I46" s="4"/>
      <c r="J46" s="4"/>
      <c r="K46" s="4"/>
      <c r="L46" s="11" t="e">
        <f>SUM(J32:L32)</f>
        <v>#REF!</v>
      </c>
    </row>
    <row r="47" spans="1:12">
      <c r="A47" s="4"/>
      <c r="B47" s="4"/>
      <c r="C47" s="4"/>
      <c r="D47" s="4"/>
      <c r="E47" s="33" t="e">
        <f>IF(G32=0,H41,H34)</f>
        <v>#REF!</v>
      </c>
      <c r="F47" s="4"/>
      <c r="G47" s="4"/>
      <c r="H47" s="4"/>
      <c r="I47" s="4"/>
      <c r="J47" s="4"/>
      <c r="K47" s="4"/>
      <c r="L47" s="33" t="e">
        <f>SUM(I32:K32)</f>
        <v>#REF!</v>
      </c>
    </row>
    <row r="48" spans="1:12">
      <c r="A48" s="4"/>
      <c r="B48" s="4"/>
      <c r="C48" s="4"/>
      <c r="D48" s="4"/>
      <c r="E48" s="33" t="e">
        <f>IF(G31=0,H34,H31)</f>
        <v>#REF!</v>
      </c>
      <c r="F48" s="4"/>
      <c r="G48" s="4"/>
      <c r="H48" s="4"/>
      <c r="I48" s="4"/>
      <c r="J48" s="4"/>
      <c r="K48" s="4"/>
      <c r="L48" s="10" t="e">
        <f>SUM(E32:G32)</f>
        <v>#REF!</v>
      </c>
    </row>
    <row r="49" spans="1:12">
      <c r="A49" s="4"/>
      <c r="B49" s="4"/>
      <c r="C49" s="4"/>
      <c r="D49" s="4"/>
      <c r="E49" s="32" t="e">
        <f>IF(F31=0,E50,E51)</f>
        <v>#REF!</v>
      </c>
      <c r="F49" s="4"/>
      <c r="G49" s="4"/>
      <c r="H49" s="4"/>
      <c r="I49" s="4"/>
      <c r="J49" s="4"/>
      <c r="K49" s="4"/>
      <c r="L49" s="33" t="e">
        <f>SUM(A32:C32)</f>
        <v>#REF!</v>
      </c>
    </row>
    <row r="50" spans="1:12">
      <c r="A50" s="4"/>
      <c r="B50" s="4"/>
      <c r="C50" s="4"/>
      <c r="D50" s="4"/>
      <c r="E50" s="32" t="e">
        <f>IF(G31=0,0,H41)</f>
        <v>#REF!</v>
      </c>
      <c r="F50" s="4"/>
      <c r="G50" s="4"/>
      <c r="H50" s="4"/>
      <c r="I50" s="4"/>
      <c r="J50" s="4"/>
      <c r="K50" s="4"/>
      <c r="L50" s="4"/>
    </row>
    <row r="51" spans="1:12">
      <c r="A51" s="4"/>
      <c r="B51" s="4"/>
      <c r="C51" s="4"/>
      <c r="D51" s="4"/>
      <c r="E51" s="32" t="e">
        <f>IF(G32=0,H41,H38)</f>
        <v>#REF!</v>
      </c>
      <c r="F51" s="4"/>
      <c r="G51" s="4"/>
      <c r="H51" s="4"/>
      <c r="I51" s="4"/>
      <c r="J51" s="4"/>
      <c r="K51" s="4"/>
      <c r="L51" s="4"/>
    </row>
    <row r="52" spans="1:12">
      <c r="A52" s="4"/>
      <c r="B52" s="4"/>
      <c r="C52" s="4"/>
      <c r="D52" s="4"/>
      <c r="E52" s="33" t="e">
        <f>IF(L49=0,E53,E46)</f>
        <v>#REF!</v>
      </c>
      <c r="F52" s="4"/>
      <c r="G52" s="4"/>
      <c r="H52" s="4"/>
      <c r="I52" s="4"/>
      <c r="J52" s="4"/>
      <c r="K52" s="4"/>
      <c r="L52" s="4"/>
    </row>
    <row r="53" spans="1:12">
      <c r="A53" s="4"/>
      <c r="B53" s="4"/>
      <c r="C53" s="4"/>
      <c r="D53" s="4"/>
      <c r="E53" s="33" t="e">
        <f>IF(L48=3,H34,IF(L48=2,H38,IF(L48=1,H41,0)))</f>
        <v>#REF!</v>
      </c>
      <c r="F53" s="4"/>
      <c r="G53" s="4"/>
      <c r="H53" s="4"/>
      <c r="I53" s="4"/>
      <c r="J53" s="4"/>
      <c r="K53" s="4"/>
      <c r="L53" s="4"/>
    </row>
    <row r="54" spans="1:12">
      <c r="A54" s="8" t="e">
        <f t="shared" ref="A54:L54" si="2">LEN(A33)</f>
        <v>#REF!</v>
      </c>
      <c r="B54" s="8" t="e">
        <f t="shared" si="2"/>
        <v>#REF!</v>
      </c>
      <c r="C54" s="8" t="e">
        <f t="shared" si="2"/>
        <v>#REF!</v>
      </c>
      <c r="D54" s="8" t="e">
        <f t="shared" si="2"/>
        <v>#REF!</v>
      </c>
      <c r="E54" s="8" t="e">
        <f t="shared" si="2"/>
        <v>#REF!</v>
      </c>
      <c r="F54" s="8" t="e">
        <f t="shared" si="2"/>
        <v>#REF!</v>
      </c>
      <c r="G54" s="8" t="e">
        <f t="shared" si="2"/>
        <v>#REF!</v>
      </c>
      <c r="H54" s="8" t="e">
        <f t="shared" si="2"/>
        <v>#REF!</v>
      </c>
      <c r="I54" s="8" t="e">
        <f t="shared" si="2"/>
        <v>#REF!</v>
      </c>
      <c r="J54" s="8" t="e">
        <f t="shared" si="2"/>
        <v>#REF!</v>
      </c>
      <c r="K54" s="8" t="e">
        <f t="shared" si="2"/>
        <v>#REF!</v>
      </c>
      <c r="L54" s="8" t="e">
        <f t="shared" si="2"/>
        <v>#REF!</v>
      </c>
    </row>
    <row r="55" spans="1:12">
      <c r="A55" s="11"/>
      <c r="B55" s="11"/>
      <c r="C55" s="11"/>
      <c r="D55" s="11"/>
      <c r="E55" s="11" t="e">
        <f>SUM(A54:E54)</f>
        <v>#REF!</v>
      </c>
      <c r="F55" s="11" t="e">
        <f>SUM(A54:F54)</f>
        <v>#REF!</v>
      </c>
      <c r="G55" s="11" t="e">
        <f>SUM(A54:G54)</f>
        <v>#REF!</v>
      </c>
      <c r="H55" s="11" t="e">
        <f>SUM(A54:H54)</f>
        <v>#REF!</v>
      </c>
      <c r="I55" s="11" t="e">
        <f>SUM(A54:I54)</f>
        <v>#REF!</v>
      </c>
      <c r="J55" s="11" t="e">
        <f>SUM(A54:J54)</f>
        <v>#REF!</v>
      </c>
      <c r="K55" s="11" t="e">
        <f>SUM(A54:K54)</f>
        <v>#REF!</v>
      </c>
      <c r="L55" s="11" t="e">
        <f>SUM(A54:L54)</f>
        <v>#REF!</v>
      </c>
    </row>
    <row r="56" spans="1:12">
      <c r="A56" s="10" t="e">
        <f>IF(A33=0,"    ",A33)</f>
        <v>#REF!</v>
      </c>
      <c r="B56" s="10" t="e">
        <f>IF(B33=0,"    ",B33)</f>
        <v>#REF!</v>
      </c>
      <c r="C56" s="10" t="e">
        <f t="shared" ref="C56:K56" si="3">IF(C33=0," ",C33)</f>
        <v>#REF!</v>
      </c>
      <c r="D56" s="10" t="e">
        <f t="shared" si="3"/>
        <v>#REF!</v>
      </c>
      <c r="E56" s="10" t="e">
        <f t="shared" si="3"/>
        <v>#REF!</v>
      </c>
      <c r="F56" s="10" t="e">
        <f t="shared" si="3"/>
        <v>#REF!</v>
      </c>
      <c r="G56" s="10" t="e">
        <f t="shared" si="3"/>
        <v>#REF!</v>
      </c>
      <c r="H56" s="10" t="e">
        <f t="shared" si="3"/>
        <v>#REF!</v>
      </c>
      <c r="I56" s="10" t="e">
        <f t="shared" si="3"/>
        <v>#REF!</v>
      </c>
      <c r="J56" s="10" t="e">
        <f t="shared" si="3"/>
        <v>#REF!</v>
      </c>
      <c r="K56" s="10" t="e">
        <f t="shared" si="3"/>
        <v>#REF!</v>
      </c>
      <c r="L56" s="10" t="str">
        <f>IF(B61=0,"    ",B61)</f>
        <v>qəp.</v>
      </c>
    </row>
    <row r="57" spans="1:12">
      <c r="A57" s="10" t="e">
        <f>CONCATENATE(D57,A56,B56,C56,D56,E56,F56,G56,H56,I56,J56,L56,K56)</f>
        <v>#REF!</v>
      </c>
      <c r="B57" s="10"/>
      <c r="C57" s="10"/>
      <c r="D57" s="10" t="s">
        <v>82</v>
      </c>
      <c r="E57" s="10"/>
      <c r="F57" s="10"/>
      <c r="G57" s="10"/>
      <c r="H57" s="10"/>
      <c r="I57" s="10"/>
      <c r="J57" s="10"/>
      <c r="K57" s="10"/>
      <c r="L57" s="10"/>
    </row>
    <row r="58" spans="1:12">
      <c r="A58" s="36"/>
      <c r="B58" s="37">
        <f>ROUND(A58,0)</f>
        <v>0</v>
      </c>
    </row>
    <row r="59" spans="1:12">
      <c r="A59" s="6" t="s">
        <v>83</v>
      </c>
      <c r="B59" s="38" t="e">
        <f>M13/6</f>
        <v>#REF!</v>
      </c>
      <c r="C59" s="6" t="s">
        <v>84</v>
      </c>
      <c r="D59" s="39"/>
    </row>
    <row r="60" spans="1:12">
      <c r="A60" s="13" t="e">
        <f>CONCATENATE(A59,B59,C59)</f>
        <v>#REF!</v>
      </c>
      <c r="D60" s="39"/>
    </row>
    <row r="61" spans="1:12">
      <c r="A61" s="6" t="e">
        <f>(M5-M8)*100</f>
        <v>#REF!</v>
      </c>
      <c r="B61" s="6" t="s">
        <v>85</v>
      </c>
      <c r="D61" s="39"/>
    </row>
    <row r="62" spans="1:12">
      <c r="A62" s="19">
        <f>M11</f>
        <v>0</v>
      </c>
      <c r="B62" s="12">
        <f>M12/6</f>
        <v>0</v>
      </c>
      <c r="D62" s="39"/>
    </row>
    <row r="63" spans="1:12">
      <c r="A63" s="40" t="str">
        <f>CONCATENATE(B62,C59)</f>
        <v>0ман.</v>
      </c>
    </row>
    <row r="64" spans="1:12">
      <c r="A64" s="6" t="e">
        <f>CONCATENATE(A56,B56)</f>
        <v>#REF!</v>
      </c>
      <c r="L64" s="6" t="e">
        <f>IF(L33=0,"    ",L33)</f>
        <v>#REF!</v>
      </c>
    </row>
  </sheetData>
  <sheetProtection sheet="1" objects="1" scenarios="1"/>
  <phoneticPr fontId="5" type="noConversion"/>
  <pageMargins left="0.75" right="0.75" top="1" bottom="1" header="0.5" footer="0.5"/>
  <pageSetup paperSize="9" orientation="portrait" r:id="rId1"/>
  <headerFooter alignWithMargin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codeName="Sheet13"/>
  <dimension ref="A1:P64"/>
  <sheetViews>
    <sheetView topLeftCell="A43" workbookViewId="0"/>
  </sheetViews>
  <sheetFormatPr defaultRowHeight="12.75"/>
  <cols>
    <col min="1" max="1" width="35" style="6" customWidth="1"/>
    <col min="2" max="2" width="11.140625" style="6" customWidth="1"/>
    <col min="3" max="3" width="13.28515625" style="6" customWidth="1"/>
    <col min="4" max="4" width="13.5703125" style="6" customWidth="1"/>
    <col min="5" max="5" width="12.42578125" style="6" customWidth="1"/>
    <col min="6" max="6" width="12.7109375" style="6" customWidth="1"/>
    <col min="7" max="7" width="10.28515625" style="6" customWidth="1"/>
    <col min="8" max="8" width="13.28515625" style="6" customWidth="1"/>
    <col min="9" max="9" width="10.5703125" style="6" customWidth="1"/>
    <col min="10" max="11" width="7.5703125" style="6" customWidth="1"/>
    <col min="12" max="12" width="6.7109375" style="6" customWidth="1"/>
    <col min="13" max="13" width="18.140625" style="6" customWidth="1"/>
    <col min="14" max="14" width="8.42578125" style="6" customWidth="1"/>
    <col min="15" max="15" width="9.140625" style="6"/>
    <col min="16" max="16" width="8.42578125" style="6" customWidth="1"/>
    <col min="17" max="16384" width="9.140625" style="6"/>
  </cols>
  <sheetData>
    <row r="1" spans="1:16" ht="13.5" thickBot="1">
      <c r="A1" s="2" t="e">
        <f>M8</f>
        <v>#REF!</v>
      </c>
      <c r="B1" s="3"/>
      <c r="C1" s="3"/>
      <c r="D1" s="3"/>
      <c r="E1" s="3"/>
      <c r="F1" s="3"/>
      <c r="G1" s="3"/>
      <c r="H1" s="3"/>
      <c r="I1" s="3"/>
      <c r="J1" s="4"/>
      <c r="K1" s="5"/>
      <c r="L1" s="4"/>
    </row>
    <row r="2" spans="1:16">
      <c r="A2" s="7" t="e">
        <f>(MOD(A1,1000000000)-MOD(A1,100000000))/100000000</f>
        <v>#REF!</v>
      </c>
      <c r="B2" s="7" t="e">
        <f>(MOD(A1,100000000)-MOD(A1,10000000))/10000000</f>
        <v>#REF!</v>
      </c>
      <c r="C2" s="7" t="e">
        <f>(MOD(A1,10000000)-MOD(A1,1000000))/1000000</f>
        <v>#REF!</v>
      </c>
      <c r="D2" s="7" t="e">
        <f>(MOD(A1,1000000)-MOD(A1,100000))/100000</f>
        <v>#REF!</v>
      </c>
      <c r="E2" s="7" t="e">
        <f>(MOD(A1,100000)-MOD(A1,10000))/10000</f>
        <v>#REF!</v>
      </c>
      <c r="F2" s="7" t="e">
        <f>(MOD(A1,10000)-MOD(A1,1000))/1000</f>
        <v>#REF!</v>
      </c>
      <c r="G2" s="7" t="e">
        <f>(MOD(A1,1000)-MOD(A1,100))/100</f>
        <v>#REF!</v>
      </c>
      <c r="H2" s="7" t="e">
        <f>(MOD(A1,100)-MOD(A1,10))/10</f>
        <v>#REF!</v>
      </c>
      <c r="I2" s="7" t="e">
        <f>MOD(A1,10)</f>
        <v>#REF!</v>
      </c>
      <c r="J2" s="4"/>
      <c r="K2" s="5"/>
      <c r="L2" s="4"/>
      <c r="M2" s="6" t="e">
        <f>IF(H2=1," ",IF(I2=1," ",IF(N2=TRUE," "," ")))</f>
        <v>#REF!</v>
      </c>
      <c r="N2" s="6" t="e">
        <f>OR(I2=2,I2=3,I2=4)</f>
        <v>#REF!</v>
      </c>
      <c r="P2" s="6" t="b">
        <f>OR(K2=2,K2=3,K2=4)</f>
        <v>0</v>
      </c>
    </row>
    <row r="3" spans="1:16">
      <c r="A3" s="8" t="e">
        <f>IF(A2=0,0,A5)</f>
        <v>#REF!</v>
      </c>
      <c r="B3" s="8" t="e">
        <f t="shared" ref="B3:I3" si="0">IF(B2=0,0,B4)</f>
        <v>#REF!</v>
      </c>
      <c r="C3" s="9" t="e">
        <f t="shared" si="0"/>
        <v>#REF!</v>
      </c>
      <c r="D3" s="8" t="e">
        <f t="shared" si="0"/>
        <v>#REF!</v>
      </c>
      <c r="E3" s="8" t="e">
        <f t="shared" si="0"/>
        <v>#REF!</v>
      </c>
      <c r="F3" s="9" t="e">
        <f t="shared" si="0"/>
        <v>#REF!</v>
      </c>
      <c r="G3" s="8" t="e">
        <f t="shared" si="0"/>
        <v>#REF!</v>
      </c>
      <c r="H3" s="8" t="e">
        <f t="shared" si="0"/>
        <v>#REF!</v>
      </c>
      <c r="I3" s="9" t="e">
        <f t="shared" si="0"/>
        <v>#REF!</v>
      </c>
      <c r="J3" s="4"/>
      <c r="K3" s="5"/>
      <c r="L3" s="4"/>
      <c r="M3" s="6" t="e">
        <f>IF(E2=1," min",IF(F2=1," min",IF(N3=TRUE," min"," min")))</f>
        <v>#REF!</v>
      </c>
      <c r="N3" s="6" t="e">
        <f>OR(F2=2,F2=3,F2=4)</f>
        <v>#REF!</v>
      </c>
      <c r="P3" s="6" t="e">
        <f>OR(H2=2,H2=3,H2=4)</f>
        <v>#REF!</v>
      </c>
    </row>
    <row r="4" spans="1:16">
      <c r="A4" s="10"/>
      <c r="B4" s="10" t="e">
        <f>IF(A1&gt;99999999,B5,B6)</f>
        <v>#REF!</v>
      </c>
      <c r="C4" s="10" t="e">
        <f>IF(B2=1,0,C5)</f>
        <v>#REF!</v>
      </c>
      <c r="D4" s="10" t="e">
        <f>IF(A1&gt;999999,D5,D7)</f>
        <v>#REF!</v>
      </c>
      <c r="E4" s="10" t="e">
        <f>IF(A1&gt;99999,E5,E6)</f>
        <v>#REF!</v>
      </c>
      <c r="F4" s="10" t="e">
        <f>IF(E2=1,0,F5)</f>
        <v>#REF!</v>
      </c>
      <c r="G4" s="10" t="e">
        <f>IF(A1&gt;999,G5,G7)</f>
        <v>#REF!</v>
      </c>
      <c r="H4" s="10" t="e">
        <f>IF(A1&gt;99,H5,H6)</f>
        <v>#REF!</v>
      </c>
      <c r="I4" s="10" t="e">
        <f>IF(H2=1,0,I5)</f>
        <v>#REF!</v>
      </c>
      <c r="J4" s="4"/>
      <c r="K4" s="5"/>
      <c r="L4" s="4"/>
      <c r="M4" s="6" t="e">
        <f>IF(B2=1," milyon",IF(C2=1," milyon",IF(N4=TRUE," milyon"," milyon")))</f>
        <v>#REF!</v>
      </c>
      <c r="N4" s="6" t="e">
        <f>OR(C2=2,C2=3,C2=4)</f>
        <v>#REF!</v>
      </c>
      <c r="P4" s="6" t="e">
        <f>OR(E2=2,E2=3,E2=4)</f>
        <v>#REF!</v>
      </c>
    </row>
    <row r="5" spans="1:16">
      <c r="A5" s="11" t="e">
        <f>IF(A2=1,H20,IF(A2=2,H21,IF(A2=3,H22,IF(A2=4,H23,IF(A2=5,H24,IF(A2=6,H25,IF(A2=7,H26,IF(A2&gt;7,A6))))))))</f>
        <v>#REF!</v>
      </c>
      <c r="B5" s="10" t="e">
        <f>IF(B2=1,B7,B11)</f>
        <v>#REF!</v>
      </c>
      <c r="C5" s="10" t="e">
        <f>IF(A1&gt;9999999,C6,C7)</f>
        <v>#REF!</v>
      </c>
      <c r="D5" s="11" t="e">
        <f>IF(D2=1,I20,IF(D2=2,I21,IF(D2=3,I22,IF(D2=4,I23,IF(D2=5,I24,IF(D2=6,I25,IF(D2=7,I26,IF(D2&gt;7,D6))))))))</f>
        <v>#REF!</v>
      </c>
      <c r="E5" s="10" t="e">
        <f>IF(E2=1,E7,E11)</f>
        <v>#REF!</v>
      </c>
      <c r="F5" s="10" t="e">
        <f>IF(A1&gt;9999,F6,F7)</f>
        <v>#REF!</v>
      </c>
      <c r="G5" s="11" t="e">
        <f>IF(G2=1,I20,IF(G2=2,I21,IF(G2=3,I22,IF(G2=4,I23,IF(G2=5,I24,IF(G2=6,I25,IF(G2=7,I26,IF(G2&gt;7,G6))))))))</f>
        <v>#REF!</v>
      </c>
      <c r="H5" s="10" t="e">
        <f>IF(H2=1,H7,H11)</f>
        <v>#REF!</v>
      </c>
      <c r="I5" s="10" t="e">
        <f>IF(A1&gt;9,I6,I7)</f>
        <v>#REF!</v>
      </c>
      <c r="J5" s="4"/>
      <c r="K5" s="5"/>
      <c r="L5" s="4"/>
      <c r="M5" s="12" t="e">
        <f>#REF!</f>
        <v>#REF!</v>
      </c>
    </row>
    <row r="6" spans="1:16">
      <c r="A6" s="11" t="e">
        <f>IF(A2=8,H27,IF(A2=9,H28))</f>
        <v>#REF!</v>
      </c>
      <c r="B6" s="10" t="e">
        <f>IF(B2=1,B9,B12)</f>
        <v>#REF!</v>
      </c>
      <c r="C6" s="10" t="e">
        <f>IF(C2=1,B20,IF(C2=2,B21,IF(C2=3,B22,IF(C2=4,B23,IF(C2=5,B24,IF(C2=6,B25,IF(C2=7,B26,IF(C2&gt;7,C8))))))))</f>
        <v>#REF!</v>
      </c>
      <c r="D6" s="11" t="e">
        <f>IF(D2=8,I27,IF(D2=9,I28))</f>
        <v>#REF!</v>
      </c>
      <c r="E6" s="10" t="e">
        <f>IF(E2=1,E9,E12)</f>
        <v>#REF!</v>
      </c>
      <c r="F6" s="10" t="e">
        <f>IF(F2=1,G22,IF(F2=2,G23,IF(F2=3,B22,IF(F2=4,B23,IF(F2=5,B24,IF(F2=6,B25,IF(F2=7,B26,IF(F2&gt;7,F8))))))))</f>
        <v>#REF!</v>
      </c>
      <c r="G6" s="11" t="e">
        <f>IF(G2=8,I27,IF(G2=9,I28))</f>
        <v>#REF!</v>
      </c>
      <c r="H6" s="10" t="e">
        <f>IF(H2=1,H9,H12)</f>
        <v>#REF!</v>
      </c>
      <c r="I6" s="10" t="e">
        <f>IF(I2=1,B20,IF(I2=2,B21,IF(I2=3,B22,IF(I2=4,B23,IF(I2=5,B24,IF(I2=6,B25,IF(I2=7,B26,IF(I2&gt;7,I8))))))))</f>
        <v>#REF!</v>
      </c>
      <c r="J6" s="4"/>
      <c r="K6" s="5"/>
      <c r="L6" s="4"/>
      <c r="M6" s="13" t="e">
        <f>CONCATENATE(M8,M9,M11)</f>
        <v>#REF!</v>
      </c>
    </row>
    <row r="7" spans="1:16">
      <c r="A7" s="4"/>
      <c r="B7" s="11" t="e">
        <f>IF(C2=0,F20,IF(C2=1,D20,IF(C2=2,D21,IF(C2=3,D22,IF(C2=4,D23,IF(C2=5,D24,IF(C2=6,D25,IF(C2&gt;6,B8))))))))</f>
        <v>#REF!</v>
      </c>
      <c r="C7" s="10" t="e">
        <f>IF(C2=1,A20,IF(C2=2,A21,IF(C2=3,A22,IF(C2=4,A23,IF(C2=5,A24,IF(C2=6,A25,IF(C2=7,A26,IF(C2&gt;7,C9))))))))</f>
        <v>#REF!</v>
      </c>
      <c r="D7" s="14" t="e">
        <f>IF(D2=1,H20,IF(D2=2,H21,IF(D2=3,H22,IF(D2=4,H23,IF(D2=5,H24,IF(D2=6,H25,IF(D2=7,H26,IF(D2&gt;7,D8))))))))</f>
        <v>#REF!</v>
      </c>
      <c r="E7" s="11" t="e">
        <f>IF(F2=0,F20,IF(F2=1,D20,IF(F2=2,D21,IF(F2=3,D22,IF(F2=4,D23,IF(F2=5,D24,IF(F2=6,D25,IF(F2&gt;6,E8))))))))</f>
        <v>#REF!</v>
      </c>
      <c r="F7" s="10" t="e">
        <f>IF(F2=1,G20,IF(F2=2,G21,IF(F2=3,A22,IF(F2=4,A23,IF(F2=5,A24,IF(F2=6,A25,IF(F2=7,A26,IF(F2&gt;7,F9))))))))</f>
        <v>#REF!</v>
      </c>
      <c r="G7" s="14" t="e">
        <f>IF(G2=1,H20,IF(G2=2,H21,IF(G2=3,H22,IF(G2=4,H23,IF(G2=5,H24,IF(G2=6,H25,IF(G2=7,H26,IF(G2&gt;7,G8))))))))</f>
        <v>#REF!</v>
      </c>
      <c r="H7" s="11" t="e">
        <f>IF(I2=0,F20,IF(I2=1,D20,IF(I2=2,D21,IF(I2=3,D22,IF(I2=4,D23,IF(I2=5,D24,IF(I2=6,D25,IF(I2&gt;6,H8))))))))</f>
        <v>#REF!</v>
      </c>
      <c r="I7" s="10" t="e">
        <f>IF(I2=1,A20,IF(I2=2,A21,IF(I2=3,A22,IF(I2=4,A23,IF(I2=5,A24,IF(I2=6,A25,IF(I2=7,A26,IF(I2&gt;7,I9))))))))</f>
        <v>#REF!</v>
      </c>
      <c r="J7" s="4"/>
      <c r="K7" s="5"/>
      <c r="L7" s="4"/>
      <c r="M7" s="15"/>
    </row>
    <row r="8" spans="1:16">
      <c r="A8" s="4"/>
      <c r="B8" s="11" t="e">
        <f>IF(C2=7,D26,IF(C2=8,D27,IF(C2=9,D28)))</f>
        <v>#REF!</v>
      </c>
      <c r="C8" s="10" t="e">
        <f>IF(C2=8,B27,IF(C2=9,B28))</f>
        <v>#REF!</v>
      </c>
      <c r="D8" s="14" t="e">
        <f>IF(D2=8,H27,IF(D2=9,H28))</f>
        <v>#REF!</v>
      </c>
      <c r="E8" s="11" t="e">
        <f>IF(F2=7,D26,IF(F2=8,D27,IF(F2=9,D28)))</f>
        <v>#REF!</v>
      </c>
      <c r="F8" s="10" t="e">
        <f>IF(F2=8,B27,IF(F2=9,B28))</f>
        <v>#REF!</v>
      </c>
      <c r="G8" s="14" t="e">
        <f>IF(G2=8,H27,IF(G2=9,H28))</f>
        <v>#REF!</v>
      </c>
      <c r="H8" s="11" t="e">
        <f>IF(I2=7,D26,IF(I2=8,D27,IF(I2=9,D28)))</f>
        <v>#REF!</v>
      </c>
      <c r="I8" s="10" t="e">
        <f>IF(I2=8,B27,IF(I2=9,B28))</f>
        <v>#REF!</v>
      </c>
      <c r="J8" s="4"/>
      <c r="K8" s="5"/>
      <c r="L8" s="4"/>
      <c r="M8" s="16" t="e">
        <f>TRUNC(M5,0)</f>
        <v>#REF!</v>
      </c>
    </row>
    <row r="9" spans="1:16">
      <c r="A9" s="4"/>
      <c r="B9" s="14" t="e">
        <f>IF(C2=0,E20,IF(C2=1,C20,IF(C2=2,C21,IF(C2=3,C22,IF(C2=4,C23,IF(C2=5,C24,IF(C2=6,C25,IF(C2&gt;6,B10))))))))</f>
        <v>#REF!</v>
      </c>
      <c r="C9" s="10" t="e">
        <f>IF(C2=8,A27,IF(C2=9,A28))</f>
        <v>#REF!</v>
      </c>
      <c r="D9" s="4"/>
      <c r="E9" s="14" t="e">
        <f>IF(F2=0,E20,IF(F2=1,C20,IF(F2=2,C21,IF(F2=3,C22,IF(F2=4,C23,IF(F2=5,C24,IF(F2=6,C25,IF(F2&gt;6,E10))))))))</f>
        <v>#REF!</v>
      </c>
      <c r="F9" s="10" t="e">
        <f>IF(F2=8,A27,IF(F2=9,A28))</f>
        <v>#REF!</v>
      </c>
      <c r="G9" s="4"/>
      <c r="H9" s="14" t="e">
        <f>IF(I2=0,E20,IF(I2=1,C20,IF(I2=2,C21,IF(I2=3,C22,IF(I2=4,C23,IF(I2=5,C24,IF(I2=6,C25,IF(I2&gt;6,H10))))))))</f>
        <v>#REF!</v>
      </c>
      <c r="I9" s="10" t="e">
        <f>IF(I2=8,A27,IF(I2=9,A28))</f>
        <v>#REF!</v>
      </c>
      <c r="J9" s="4"/>
      <c r="K9" s="5"/>
      <c r="L9" s="4"/>
      <c r="M9" s="17" t="s">
        <v>9</v>
      </c>
    </row>
    <row r="10" spans="1:16">
      <c r="A10" s="4"/>
      <c r="B10" s="14" t="e">
        <f>IF(C2=7,C26,IF(C2=8,C27,IF(C2=9,C28)))</f>
        <v>#REF!</v>
      </c>
      <c r="C10" s="4"/>
      <c r="D10" s="4"/>
      <c r="E10" s="14" t="e">
        <f>IF(F2=7,C26,IF(F2=8,C27,IF(F2=9,C28)))</f>
        <v>#REF!</v>
      </c>
      <c r="F10" s="4"/>
      <c r="G10" s="4"/>
      <c r="H10" s="14" t="e">
        <f>IF(I2=7,C26,IF(I2=8,C27,IF(I2=9,C28)))</f>
        <v>#REF!</v>
      </c>
      <c r="I10" s="4"/>
      <c r="J10" s="4"/>
      <c r="K10" s="5"/>
      <c r="L10" s="4"/>
      <c r="M10" s="18" t="e">
        <f>(M5-M8)*100</f>
        <v>#REF!</v>
      </c>
    </row>
    <row r="11" spans="1:16">
      <c r="A11" s="4"/>
      <c r="B11" s="11" t="e">
        <f>IF(B2=2,F21,IF(B2=3,F22,IF(B2=4,F23,IF(B2=5,F24,IF(B2=6,F25,IF(B2=7,F26,IF(B2=8,F27,IF(B2=9,F28))))))))</f>
        <v>#REF!</v>
      </c>
      <c r="C11" s="4"/>
      <c r="D11" s="4"/>
      <c r="E11" s="11" t="e">
        <f>IF(E2=2,F21,IF(E2=3,F22,IF(E2=4,F23,IF(E2=5,F24,IF(E2=6,F25,IF(E2=7,F26,IF(E2=8,F27,IF(E2=9,F28))))))))</f>
        <v>#REF!</v>
      </c>
      <c r="F11" s="4"/>
      <c r="G11" s="4"/>
      <c r="H11" s="11" t="e">
        <f>IF(H2=2,F21,IF(H2=3,F22,IF(H2=4,F23,IF(H2=5,F24,IF(H2=6,F25,IF(H2=7,F26,IF(H2=8,F27,IF(H2=9,F28))))))))</f>
        <v>#REF!</v>
      </c>
      <c r="I11" s="4"/>
      <c r="J11" s="4"/>
      <c r="K11" s="5"/>
      <c r="L11" s="4"/>
      <c r="M11" s="19"/>
    </row>
    <row r="12" spans="1:16">
      <c r="A12" s="4"/>
      <c r="B12" s="14" t="e">
        <f>IF(B2=2,E21,IF(B2=3,E22,IF(B2=4,E23,IF(B2=5,E24,IF(B2=6,E25,IF(B2=7,E26,IF(B2=8,E27,IF(B2=9,E28))))))))</f>
        <v>#REF!</v>
      </c>
      <c r="C12" s="4"/>
      <c r="D12" s="4"/>
      <c r="E12" s="14" t="e">
        <f>IF(E2=2,E21,IF(E2=3,E22,IF(E2=4,E23,IF(E2=5,E24,IF(E2=6,E25,IF(E2=7,E26,IF(E2=8,E27,IF(E2=9,E28))))))))</f>
        <v>#REF!</v>
      </c>
      <c r="F12" s="4"/>
      <c r="G12" s="4"/>
      <c r="H12" s="14" t="e">
        <f>IF(H2=2,E21,IF(H2=3,E22,IF(H2=4,E23,IF(H2=5,E24,IF(H2=6,E25,IF(H2=7,E26,IF(H2=8,E27,IF(H2=9,E28))))))))</f>
        <v>#REF!</v>
      </c>
      <c r="I12" s="4"/>
      <c r="J12" s="4"/>
      <c r="K12" s="5"/>
      <c r="L12" s="4"/>
      <c r="M12" s="12"/>
    </row>
    <row r="13" spans="1:16">
      <c r="A13" s="4"/>
      <c r="B13" s="4"/>
      <c r="C13" s="4"/>
      <c r="D13" s="4"/>
      <c r="E13" s="4"/>
      <c r="F13" s="4"/>
      <c r="G13" s="4"/>
      <c r="H13" s="4"/>
      <c r="I13" s="4"/>
      <c r="J13" s="4"/>
      <c r="K13" s="5"/>
      <c r="L13" s="4"/>
      <c r="M13" s="6" t="e">
        <f>M5+M11/100</f>
        <v>#REF!</v>
      </c>
    </row>
    <row r="14" spans="1:16">
      <c r="A14" s="4"/>
      <c r="B14" s="4"/>
      <c r="C14" s="4"/>
      <c r="D14" s="4"/>
      <c r="E14" s="4"/>
      <c r="F14" s="4"/>
      <c r="G14" s="4"/>
      <c r="H14" s="4"/>
      <c r="I14" s="4"/>
      <c r="J14" s="4"/>
      <c r="K14" s="5"/>
      <c r="L14" s="4"/>
      <c r="M14" s="20" t="e">
        <f>M13/6</f>
        <v>#REF!</v>
      </c>
    </row>
    <row r="15" spans="1:16">
      <c r="A15" s="4"/>
      <c r="B15" s="4"/>
      <c r="C15" s="4"/>
      <c r="D15" s="4"/>
      <c r="E15" s="4"/>
      <c r="F15" s="4"/>
      <c r="G15" s="4"/>
      <c r="H15" s="4"/>
      <c r="I15" s="4"/>
      <c r="J15" s="4"/>
      <c r="K15" s="5"/>
      <c r="L15" s="4"/>
      <c r="M15" s="21" t="e">
        <f>M13/6</f>
        <v>#REF!</v>
      </c>
    </row>
    <row r="16" spans="1:16">
      <c r="A16" s="4"/>
      <c r="B16" s="4"/>
      <c r="C16" s="4"/>
      <c r="D16" s="4"/>
      <c r="E16" s="4"/>
      <c r="F16" s="4"/>
      <c r="G16" s="4"/>
      <c r="H16" s="4"/>
      <c r="I16" s="4"/>
      <c r="J16" s="4"/>
      <c r="K16" s="5"/>
      <c r="L16" s="4"/>
      <c r="M16" s="22" t="e">
        <f>TRUNC(M15,0)</f>
        <v>#REF!</v>
      </c>
    </row>
    <row r="17" spans="1:13">
      <c r="A17" s="4"/>
      <c r="B17" s="4"/>
      <c r="C17" s="4"/>
      <c r="D17" s="4"/>
      <c r="E17" s="4"/>
      <c r="F17" s="4"/>
      <c r="G17" s="4"/>
      <c r="H17" s="4"/>
      <c r="I17" s="4"/>
      <c r="J17" s="4"/>
      <c r="K17" s="5"/>
      <c r="L17" s="4"/>
      <c r="M17" s="23" t="e">
        <f>M16</f>
        <v>#REF!</v>
      </c>
    </row>
    <row r="18" spans="1:13">
      <c r="A18" s="4"/>
      <c r="B18" s="4"/>
      <c r="C18" s="4"/>
      <c r="D18" s="4"/>
      <c r="E18" s="4"/>
      <c r="F18" s="4"/>
      <c r="G18" s="4"/>
      <c r="H18" s="4"/>
      <c r="I18" s="4"/>
      <c r="J18" s="4"/>
      <c r="K18" s="5"/>
      <c r="L18" s="4"/>
      <c r="M18" s="19" t="e">
        <f>(M15-M17)*100</f>
        <v>#REF!</v>
      </c>
    </row>
    <row r="19" spans="1:13">
      <c r="A19" s="4"/>
      <c r="B19" s="4"/>
      <c r="C19" s="4"/>
      <c r="D19" s="4"/>
      <c r="E19" s="4"/>
      <c r="F19" s="4"/>
      <c r="G19" s="4"/>
      <c r="H19" s="4"/>
      <c r="I19" s="4"/>
      <c r="J19" s="4"/>
      <c r="K19" s="5"/>
      <c r="L19" s="4"/>
      <c r="M19" s="24" t="e">
        <f>CONCATENATE(M17,M9,M18)</f>
        <v>#REF!</v>
      </c>
    </row>
    <row r="20" spans="1:13">
      <c r="A20" s="25" t="s">
        <v>10</v>
      </c>
      <c r="B20" s="25" t="s">
        <v>11</v>
      </c>
      <c r="C20" s="25" t="s">
        <v>12</v>
      </c>
      <c r="D20" s="25" t="s">
        <v>13</v>
      </c>
      <c r="E20" s="25" t="s">
        <v>14</v>
      </c>
      <c r="F20" s="25" t="s">
        <v>15</v>
      </c>
      <c r="G20" s="25" t="s">
        <v>10</v>
      </c>
      <c r="H20" s="25" t="s">
        <v>16</v>
      </c>
      <c r="I20" s="25" t="s">
        <v>17</v>
      </c>
      <c r="J20" s="4"/>
      <c r="K20" s="5"/>
      <c r="L20" s="4"/>
    </row>
    <row r="21" spans="1:13">
      <c r="A21" s="25" t="s">
        <v>18</v>
      </c>
      <c r="B21" s="25" t="s">
        <v>19</v>
      </c>
      <c r="C21" s="25" t="s">
        <v>20</v>
      </c>
      <c r="D21" s="25" t="s">
        <v>21</v>
      </c>
      <c r="E21" s="25" t="s">
        <v>22</v>
      </c>
      <c r="F21" s="25" t="s">
        <v>23</v>
      </c>
      <c r="G21" s="25" t="s">
        <v>18</v>
      </c>
      <c r="H21" s="25" t="s">
        <v>24</v>
      </c>
      <c r="I21" s="25" t="s">
        <v>25</v>
      </c>
      <c r="J21" s="4"/>
      <c r="K21" s="5"/>
      <c r="L21" s="4"/>
      <c r="M21" s="19">
        <v>1.9999999999996021</v>
      </c>
    </row>
    <row r="22" spans="1:13">
      <c r="A22" s="25" t="s">
        <v>26</v>
      </c>
      <c r="B22" s="25" t="s">
        <v>27</v>
      </c>
      <c r="C22" s="25" t="s">
        <v>28</v>
      </c>
      <c r="D22" s="25" t="s">
        <v>29</v>
      </c>
      <c r="E22" s="25" t="s">
        <v>30</v>
      </c>
      <c r="F22" s="25" t="s">
        <v>31</v>
      </c>
      <c r="G22" s="25" t="s">
        <v>11</v>
      </c>
      <c r="H22" s="25" t="s">
        <v>32</v>
      </c>
      <c r="I22" s="25" t="s">
        <v>33</v>
      </c>
      <c r="J22" s="4"/>
      <c r="K22" s="5"/>
      <c r="L22" s="4"/>
    </row>
    <row r="23" spans="1:13">
      <c r="A23" s="25" t="s">
        <v>34</v>
      </c>
      <c r="B23" s="25" t="s">
        <v>35</v>
      </c>
      <c r="C23" s="25" t="s">
        <v>36</v>
      </c>
      <c r="D23" s="25" t="s">
        <v>37</v>
      </c>
      <c r="E23" s="26" t="s">
        <v>38</v>
      </c>
      <c r="F23" s="25" t="s">
        <v>39</v>
      </c>
      <c r="G23" s="25" t="s">
        <v>19</v>
      </c>
      <c r="H23" s="27" t="s">
        <v>40</v>
      </c>
      <c r="I23" s="25" t="s">
        <v>41</v>
      </c>
      <c r="J23" s="4"/>
      <c r="K23" s="5"/>
      <c r="L23" s="4"/>
    </row>
    <row r="24" spans="1:13">
      <c r="A24" s="25" t="s">
        <v>42</v>
      </c>
      <c r="B24" s="25" t="s">
        <v>43</v>
      </c>
      <c r="C24" s="25" t="s">
        <v>44</v>
      </c>
      <c r="D24" s="25" t="s">
        <v>45</v>
      </c>
      <c r="E24" s="25" t="s">
        <v>46</v>
      </c>
      <c r="F24" s="25" t="s">
        <v>47</v>
      </c>
      <c r="G24" s="25"/>
      <c r="H24" s="25" t="s">
        <v>48</v>
      </c>
      <c r="I24" s="25" t="s">
        <v>49</v>
      </c>
      <c r="J24" s="4"/>
      <c r="K24" s="5"/>
      <c r="L24" s="4"/>
    </row>
    <row r="25" spans="1:13">
      <c r="A25" s="25" t="s">
        <v>50</v>
      </c>
      <c r="B25" s="25" t="s">
        <v>51</v>
      </c>
      <c r="C25" s="25" t="s">
        <v>52</v>
      </c>
      <c r="D25" s="25" t="s">
        <v>53</v>
      </c>
      <c r="E25" s="25" t="s">
        <v>54</v>
      </c>
      <c r="F25" s="25" t="s">
        <v>55</v>
      </c>
      <c r="G25" s="25"/>
      <c r="H25" s="25" t="s">
        <v>56</v>
      </c>
      <c r="I25" s="25" t="s">
        <v>57</v>
      </c>
      <c r="J25" s="4"/>
      <c r="K25" s="5"/>
      <c r="L25" s="4"/>
    </row>
    <row r="26" spans="1:13">
      <c r="A26" s="25" t="s">
        <v>58</v>
      </c>
      <c r="B26" s="25" t="s">
        <v>59</v>
      </c>
      <c r="C26" s="25" t="s">
        <v>60</v>
      </c>
      <c r="D26" s="25" t="s">
        <v>61</v>
      </c>
      <c r="E26" s="25" t="s">
        <v>62</v>
      </c>
      <c r="F26" s="25" t="s">
        <v>63</v>
      </c>
      <c r="G26" s="25"/>
      <c r="H26" s="25" t="s">
        <v>64</v>
      </c>
      <c r="I26" s="25" t="s">
        <v>65</v>
      </c>
      <c r="J26" s="4"/>
      <c r="K26" s="5"/>
      <c r="L26" s="4"/>
    </row>
    <row r="27" spans="1:13">
      <c r="A27" s="25" t="s">
        <v>66</v>
      </c>
      <c r="B27" s="25" t="s">
        <v>67</v>
      </c>
      <c r="C27" s="25" t="s">
        <v>68</v>
      </c>
      <c r="D27" s="25" t="s">
        <v>69</v>
      </c>
      <c r="E27" s="25" t="s">
        <v>70</v>
      </c>
      <c r="F27" s="25" t="s">
        <v>71</v>
      </c>
      <c r="G27" s="25"/>
      <c r="H27" s="25" t="s">
        <v>72</v>
      </c>
      <c r="I27" s="25" t="s">
        <v>73</v>
      </c>
      <c r="J27" s="4"/>
      <c r="K27" s="5"/>
      <c r="L27" s="4"/>
    </row>
    <row r="28" spans="1:13">
      <c r="A28" s="25" t="s">
        <v>74</v>
      </c>
      <c r="B28" s="25" t="s">
        <v>75</v>
      </c>
      <c r="C28" s="25" t="s">
        <v>76</v>
      </c>
      <c r="D28" s="25" t="s">
        <v>77</v>
      </c>
      <c r="E28" s="25" t="s">
        <v>78</v>
      </c>
      <c r="F28" s="25" t="s">
        <v>79</v>
      </c>
      <c r="G28" s="25"/>
      <c r="H28" s="25" t="s">
        <v>80</v>
      </c>
      <c r="I28" s="25" t="s">
        <v>81</v>
      </c>
      <c r="J28" s="4"/>
      <c r="K28" s="5"/>
      <c r="L28" s="4"/>
    </row>
    <row r="29" spans="1:13">
      <c r="A29" s="4"/>
      <c r="B29" s="4"/>
      <c r="C29" s="4"/>
      <c r="D29" s="4"/>
      <c r="E29" s="4"/>
      <c r="F29" s="4"/>
      <c r="G29" s="4"/>
      <c r="H29" s="4"/>
      <c r="I29" s="4"/>
      <c r="J29" s="4"/>
      <c r="K29" s="5"/>
      <c r="L29" s="4"/>
    </row>
    <row r="30" spans="1:13">
      <c r="A30" s="28" t="e">
        <f t="shared" ref="A30:I30" si="1">A3</f>
        <v>#REF!</v>
      </c>
      <c r="B30" s="28" t="e">
        <f t="shared" si="1"/>
        <v>#REF!</v>
      </c>
      <c r="C30" s="28" t="e">
        <f t="shared" si="1"/>
        <v>#REF!</v>
      </c>
      <c r="D30" s="28" t="e">
        <f t="shared" si="1"/>
        <v>#REF!</v>
      </c>
      <c r="E30" s="28" t="e">
        <f t="shared" si="1"/>
        <v>#REF!</v>
      </c>
      <c r="F30" s="28" t="e">
        <f t="shared" si="1"/>
        <v>#REF!</v>
      </c>
      <c r="G30" s="28" t="e">
        <f t="shared" si="1"/>
        <v>#REF!</v>
      </c>
      <c r="H30" s="28" t="e">
        <f t="shared" si="1"/>
        <v>#REF!</v>
      </c>
      <c r="I30" s="28" t="e">
        <f t="shared" si="1"/>
        <v>#REF!</v>
      </c>
      <c r="J30" s="3"/>
      <c r="K30" s="4"/>
      <c r="L30" s="4"/>
    </row>
    <row r="31" spans="1:13">
      <c r="A31" s="29" t="e">
        <f>A30</f>
        <v>#REF!</v>
      </c>
      <c r="B31" s="29" t="e">
        <f>B30</f>
        <v>#REF!</v>
      </c>
      <c r="C31" s="29" t="e">
        <f>C30</f>
        <v>#REF!</v>
      </c>
      <c r="D31" s="14" t="e">
        <f>M4</f>
        <v>#REF!</v>
      </c>
      <c r="E31" s="29" t="e">
        <f>D30</f>
        <v>#REF!</v>
      </c>
      <c r="F31" s="29" t="e">
        <f>E30</f>
        <v>#REF!</v>
      </c>
      <c r="G31" s="29" t="e">
        <f>F30</f>
        <v>#REF!</v>
      </c>
      <c r="H31" s="14" t="e">
        <f>M3</f>
        <v>#REF!</v>
      </c>
      <c r="I31" s="29" t="e">
        <f>G30</f>
        <v>#REF!</v>
      </c>
      <c r="J31" s="29" t="e">
        <f>H30</f>
        <v>#REF!</v>
      </c>
      <c r="K31" s="29" t="e">
        <f>I30</f>
        <v>#REF!</v>
      </c>
      <c r="L31" s="14" t="e">
        <f>M2</f>
        <v>#REF!</v>
      </c>
    </row>
    <row r="32" spans="1:13">
      <c r="A32" s="30" t="e">
        <f>IF(A31=0,0,1)</f>
        <v>#REF!</v>
      </c>
      <c r="B32" s="30" t="e">
        <f>IF(B31=0,0,1)</f>
        <v>#REF!</v>
      </c>
      <c r="C32" s="30" t="e">
        <f>IF(C31=0,0,1)</f>
        <v>#REF!</v>
      </c>
      <c r="D32" s="30">
        <v>1</v>
      </c>
      <c r="E32" s="30" t="e">
        <f>IF(E31=0,0,1)</f>
        <v>#REF!</v>
      </c>
      <c r="F32" s="30" t="e">
        <f>IF(F31=0,0,1)</f>
        <v>#REF!</v>
      </c>
      <c r="G32" s="30" t="e">
        <f>IF(G31=0,0,1)</f>
        <v>#REF!</v>
      </c>
      <c r="H32" s="30">
        <v>1</v>
      </c>
      <c r="I32" s="30" t="e">
        <f>IF(I31=0,0,1)</f>
        <v>#REF!</v>
      </c>
      <c r="J32" s="30" t="e">
        <f>IF(J31=0,0,1)</f>
        <v>#REF!</v>
      </c>
      <c r="K32" s="30" t="e">
        <f>IF(K31=0,0,1)</f>
        <v>#REF!</v>
      </c>
      <c r="L32" s="30">
        <v>1</v>
      </c>
    </row>
    <row r="33" spans="1:12">
      <c r="A33" s="31" t="e">
        <f>IF(L45=1,A31,A34)</f>
        <v>#REF!</v>
      </c>
      <c r="B33" s="31" t="e">
        <f>IF(L44=2,B31,IF(L44=1,B34,IF(L44=0,B35)))</f>
        <v>#REF!</v>
      </c>
      <c r="C33" s="31" t="e">
        <f>IF(L43=3,C31,IF(L43=2,D31,IF(L43=1,D35,IF(L43=0,C34))))</f>
        <v>#REF!</v>
      </c>
      <c r="D33" s="31" t="e">
        <f>IF(L42=4,D31,IF(L42=3,D35,IF(L42=2,D34,IF(L42=1,D43))))</f>
        <v>#REF!</v>
      </c>
      <c r="E33" s="31" t="e">
        <f>IF(L41=5,E31,IF(L41=4,E34,IF(L41=3,E39,IF(L41=2,E52,E49))))</f>
        <v>#REF!</v>
      </c>
      <c r="F33" s="31" t="e">
        <f>IF(L40=6,F31,IF(L40=5,F34,IF(L40=4,F35,IF(L40=3,F37,IF(L40=2,F41,IF(L40=1,F44))))))</f>
        <v>#REF!</v>
      </c>
      <c r="G33" s="31" t="e">
        <f>IF(L39=7,G31,IF(L39=6,H31,IF(L39=5,H34,IF(L39=4,G34,IF(L39=3,G38,IF(L39=2,G36,0))))))</f>
        <v>#REF!</v>
      </c>
      <c r="H33" s="31" t="e">
        <f>IF(L38=8,H31,IF(L38=7,H34,IF(L38=6,H38,IF(L38=5,H43,IF(L38=4,H44,0)))))</f>
        <v>#REF!</v>
      </c>
      <c r="I33" s="31" t="e">
        <f>IF(L37=9,I31,IF(L37=8,I34,IF(L37=7,I36,IF(L37=6,I37,0))))</f>
        <v>#REF!</v>
      </c>
      <c r="J33" s="31" t="e">
        <f>IF(L36=10,J31,IF(L36=9,J34,IF(L36=8,J35,0)))</f>
        <v>#REF!</v>
      </c>
      <c r="K33" s="31" t="e">
        <f>IF(L35=11,K31,IF(L35=10,L31,))</f>
        <v>#REF!</v>
      </c>
      <c r="L33" s="31" t="e">
        <f>IF(L34=12,L31,0)</f>
        <v>#REF!</v>
      </c>
    </row>
    <row r="34" spans="1:12">
      <c r="A34" s="11" t="e">
        <f>IF(B32=0,A35,B31)</f>
        <v>#REF!</v>
      </c>
      <c r="B34" s="11" t="e">
        <f>IF(C32=0,D31,C31)</f>
        <v>#REF!</v>
      </c>
      <c r="C34" s="11" t="e">
        <f>IF(L48=3,G31,IF(L48=2,H31,IF(L48=1,H34,H41)))</f>
        <v>#REF!</v>
      </c>
      <c r="D34" s="32" t="e">
        <f>IF(E31=0,D38,D40)</f>
        <v>#REF!</v>
      </c>
      <c r="E34" s="33" t="e">
        <f>IF(L49=3,E35,E37)</f>
        <v>#REF!</v>
      </c>
      <c r="F34" s="11" t="e">
        <f>IF(G31=0,H31,G31)</f>
        <v>#REF!</v>
      </c>
      <c r="G34" s="33" t="e">
        <f>IF(L48=0,H41,G37)</f>
        <v>#REF!</v>
      </c>
      <c r="H34" s="33" t="e">
        <f>IF(L47=0,L31,IF(L47=1,H35,IF(L47=2,H37,IF(L47=3,I31))))</f>
        <v>#REF!</v>
      </c>
      <c r="I34" s="33" t="e">
        <f>IF(L46=1,L31,IF(L46=2,I35,IF(L46=3,J31)))</f>
        <v>#REF!</v>
      </c>
      <c r="J34" s="11" t="e">
        <f>IF(K32=0,L31,K31)</f>
        <v>#REF!</v>
      </c>
      <c r="K34" s="4"/>
      <c r="L34" s="34" t="e">
        <f>SUM(A32:L32)</f>
        <v>#REF!</v>
      </c>
    </row>
    <row r="35" spans="1:12">
      <c r="A35" s="11" t="e">
        <f>IF(C31=0,A36,C31)</f>
        <v>#REF!</v>
      </c>
      <c r="B35" s="11" t="e">
        <f>IF(C31=0,D34,D31)</f>
        <v>#REF!</v>
      </c>
      <c r="C35" s="4"/>
      <c r="D35" s="11" t="e">
        <f>IF(E32=0,D36,E31)</f>
        <v>#REF!</v>
      </c>
      <c r="E35" s="33" t="e">
        <f>IF(F32=0,E36,F31)</f>
        <v>#REF!</v>
      </c>
      <c r="F35" s="35" t="e">
        <f>IF(L48=0,H38,F36)</f>
        <v>#REF!</v>
      </c>
      <c r="G35" s="11" t="e">
        <f>IF(L48=0,H42,H41)</f>
        <v>#REF!</v>
      </c>
      <c r="H35" s="14" t="e">
        <f>IF(I32=0,H36,I31)</f>
        <v>#REF!</v>
      </c>
      <c r="I35" s="33" t="e">
        <f>IF(J32=0,K31,J31)</f>
        <v>#REF!</v>
      </c>
      <c r="J35" s="11" t="e">
        <f>IF(K32=0,0,L31)</f>
        <v>#REF!</v>
      </c>
      <c r="K35" s="4"/>
      <c r="L35" s="14" t="e">
        <f>SUM(A32:K32)</f>
        <v>#REF!</v>
      </c>
    </row>
    <row r="36" spans="1:12">
      <c r="A36" s="11" t="e">
        <f>IF(E32=0,A37,E31)</f>
        <v>#REF!</v>
      </c>
      <c r="B36" s="4"/>
      <c r="C36" s="4"/>
      <c r="D36" s="11" t="e">
        <f>IF(F32=0,D37,F31)</f>
        <v>#REF!</v>
      </c>
      <c r="E36" s="33" t="e">
        <f>IF(G32=0,H34,G31)</f>
        <v>#REF!</v>
      </c>
      <c r="F36" s="33" t="e">
        <f>IF(G32=0,H34,H31)</f>
        <v>#REF!</v>
      </c>
      <c r="G36" s="11" t="e">
        <f>IF(L48=0,0,G39)</f>
        <v>#REF!</v>
      </c>
      <c r="H36" s="14" t="e">
        <f>IF(J32=0,K31,J31)</f>
        <v>#REF!</v>
      </c>
      <c r="I36" s="11" t="e">
        <f>IF(L46=3,K31,IF(L46=2,L31,IF(L46=1,0)))</f>
        <v>#REF!</v>
      </c>
      <c r="J36" s="4"/>
      <c r="K36" s="4"/>
      <c r="L36" s="14" t="e">
        <f>SUM(A32:J32)</f>
        <v>#REF!</v>
      </c>
    </row>
    <row r="37" spans="1:12">
      <c r="A37" s="11" t="e">
        <f>IF(F32=0,A38,F31)</f>
        <v>#REF!</v>
      </c>
      <c r="B37" s="4"/>
      <c r="C37" s="4"/>
      <c r="D37" s="11" t="e">
        <f>IF(G32=0,H34,G31)</f>
        <v>#REF!</v>
      </c>
      <c r="E37" s="33" t="e">
        <f>IF(F32=0,E38,F31)</f>
        <v>#REF!</v>
      </c>
      <c r="F37" s="11" t="e">
        <f>IF(L49=0,F38,F39)</f>
        <v>#REF!</v>
      </c>
      <c r="G37" s="11" t="e">
        <f>IF(L49=0,H41,H38)</f>
        <v>#REF!</v>
      </c>
      <c r="H37" s="11" t="e">
        <f>IF(I32=0,J31,I31)</f>
        <v>#REF!</v>
      </c>
      <c r="I37" s="11" t="e">
        <f>IF(L49=0,0,I38)</f>
        <v>#REF!</v>
      </c>
      <c r="J37" s="4"/>
      <c r="K37" s="4"/>
      <c r="L37" s="14" t="e">
        <f>SUM(A32:I32)</f>
        <v>#REF!</v>
      </c>
    </row>
    <row r="38" spans="1:12">
      <c r="A38" s="11" t="e">
        <f>IF(G32=0,A39,G31)</f>
        <v>#REF!</v>
      </c>
      <c r="B38" s="4"/>
      <c r="C38" s="4"/>
      <c r="D38" s="32" t="e">
        <f>IF(F31=0,D39,D42)</f>
        <v>#REF!</v>
      </c>
      <c r="E38" s="33" t="e">
        <f>IF(G32=0,H31,G31)</f>
        <v>#REF!</v>
      </c>
      <c r="F38" s="11" t="e">
        <f>IF(G31=0,H41,H38)</f>
        <v>#REF!</v>
      </c>
      <c r="G38" s="14" t="e">
        <f>IF(L49=0,H42,G35)</f>
        <v>#REF!</v>
      </c>
      <c r="H38" s="32" t="e">
        <f>IF(L47=0,0,IF(L47=1,L31,IF(L47=2,H39,IF(L47=3,J31))))</f>
        <v>#REF!</v>
      </c>
      <c r="I38" s="11" t="e">
        <f>IF(L48=0,0,I39)</f>
        <v>#REF!</v>
      </c>
      <c r="J38" s="4"/>
      <c r="K38" s="4"/>
      <c r="L38" s="33" t="e">
        <f>SUM(A32:H32)</f>
        <v>#REF!</v>
      </c>
    </row>
    <row r="39" spans="1:12">
      <c r="A39" s="11" t="e">
        <f>IF(I32=0,A40,I31)</f>
        <v>#REF!</v>
      </c>
      <c r="B39" s="4"/>
      <c r="C39" s="4"/>
      <c r="D39" s="32" t="e">
        <f>IF(G31=0,H38,H31)</f>
        <v>#REF!</v>
      </c>
      <c r="E39" s="14" t="e">
        <f>IF(L49=2,E40,E43)</f>
        <v>#REF!</v>
      </c>
      <c r="F39" s="32" t="e">
        <f>IF(L48=0,H41,F40)</f>
        <v>#REF!</v>
      </c>
      <c r="G39" s="11" t="e">
        <f>IF(L49=0,0,H42)</f>
        <v>#REF!</v>
      </c>
      <c r="H39" s="11" t="e">
        <f>IF(I32=0,K31,H40)</f>
        <v>#REF!</v>
      </c>
      <c r="I39" s="11" t="e">
        <f>IF(L47=3,L31,I40)</f>
        <v>#REF!</v>
      </c>
      <c r="J39" s="4"/>
      <c r="K39" s="4"/>
      <c r="L39" s="11" t="e">
        <f>SUM(A32:G32)</f>
        <v>#REF!</v>
      </c>
    </row>
    <row r="40" spans="1:12">
      <c r="A40" s="11" t="e">
        <f>IF(J32=0,A41,J31)</f>
        <v>#REF!</v>
      </c>
      <c r="B40" s="4"/>
      <c r="C40" s="4"/>
      <c r="D40" s="32" t="e">
        <f>IF(F32=0,D41,F31)</f>
        <v>#REF!</v>
      </c>
      <c r="E40" s="11" t="e">
        <f>IF(F32=0,E41,E42)</f>
        <v>#REF!</v>
      </c>
      <c r="F40" s="32" t="e">
        <f>IF(G32=0,H38,H34)</f>
        <v>#REF!</v>
      </c>
      <c r="G40" s="4"/>
      <c r="H40" s="11" t="e">
        <f>IF(J32=0,K31,J31)</f>
        <v>#REF!</v>
      </c>
      <c r="I40" s="11" t="e">
        <f>IF(L47=2,L31,0)</f>
        <v>#REF!</v>
      </c>
      <c r="J40" s="4"/>
      <c r="K40" s="4"/>
      <c r="L40" s="11" t="e">
        <f>SUM(A32:F32)</f>
        <v>#REF!</v>
      </c>
    </row>
    <row r="41" spans="1:12">
      <c r="A41" s="11" t="e">
        <f>IF(K32=0,0,K31)</f>
        <v>#REF!</v>
      </c>
      <c r="B41" s="4"/>
      <c r="C41" s="4"/>
      <c r="D41" s="32" t="e">
        <f>IF(G32=0,H31,G31)</f>
        <v>#REF!</v>
      </c>
      <c r="E41" s="11" t="e">
        <f>IF(G32=0,H38,H31)</f>
        <v>#REF!</v>
      </c>
      <c r="F41" s="14" t="e">
        <f>IF(L49=0,F43,F42)</f>
        <v>#REF!</v>
      </c>
      <c r="G41" s="4"/>
      <c r="H41" s="32" t="e">
        <f>IF(L47=3,K31,IF(L47=2,L31,0))</f>
        <v>#REF!</v>
      </c>
      <c r="I41" s="4"/>
      <c r="J41" s="4"/>
      <c r="K41" s="4"/>
      <c r="L41" s="33" t="e">
        <f>SUM(A32:E32)</f>
        <v>#REF!</v>
      </c>
    </row>
    <row r="42" spans="1:12">
      <c r="A42" s="4"/>
      <c r="B42" s="4"/>
      <c r="C42" s="4"/>
      <c r="D42" s="32" t="e">
        <f>IF(G32=0,H31,G31)</f>
        <v>#REF!</v>
      </c>
      <c r="E42" s="11" t="e">
        <f>IF(G32=0,H31,G31)</f>
        <v>#REF!</v>
      </c>
      <c r="F42" s="14" t="e">
        <f>IF(G32=0,H41,H38)</f>
        <v>#REF!</v>
      </c>
      <c r="G42" s="4"/>
      <c r="H42" s="33" t="e">
        <f>IF(L47=3,L31,0)</f>
        <v>#REF!</v>
      </c>
      <c r="I42" s="4"/>
      <c r="J42" s="4"/>
      <c r="K42" s="4"/>
      <c r="L42" s="10" t="e">
        <f>SUM(A32:D32)</f>
        <v>#REF!</v>
      </c>
    </row>
    <row r="43" spans="1:12">
      <c r="A43" s="4"/>
      <c r="B43" s="4"/>
      <c r="C43" s="4"/>
      <c r="D43" s="11" t="e">
        <f>IF(L48=3,H31,IF(L48=2,H34,IF(L48=1,H38,IF(L48=0,H42))))</f>
        <v>#REF!</v>
      </c>
      <c r="E43" s="14" t="e">
        <f>IF(F32=0,E44,E45)</f>
        <v>#REF!</v>
      </c>
      <c r="F43" s="14" t="e">
        <f>IF(G31=0,H42,H41)</f>
        <v>#REF!</v>
      </c>
      <c r="G43" s="4"/>
      <c r="H43" s="14" t="e">
        <f>IF(L49=0,H42,H41)</f>
        <v>#REF!</v>
      </c>
      <c r="I43" s="4"/>
      <c r="J43" s="4"/>
      <c r="K43" s="4"/>
      <c r="L43" s="10" t="e">
        <f>SUM(A32:C32)</f>
        <v>#REF!</v>
      </c>
    </row>
    <row r="44" spans="1:12">
      <c r="A44" s="4"/>
      <c r="B44" s="4"/>
      <c r="C44" s="4"/>
      <c r="D44" s="4"/>
      <c r="E44" s="14" t="e">
        <f>IF(G32=0,H34,H31)</f>
        <v>#REF!</v>
      </c>
      <c r="F44" s="14" t="e">
        <f>IF(G31=0,0,H42)</f>
        <v>#REF!</v>
      </c>
      <c r="G44" s="4"/>
      <c r="H44" s="11" t="e">
        <f>IF(L49=0,0,H42)</f>
        <v>#REF!</v>
      </c>
      <c r="I44" s="4"/>
      <c r="J44" s="4"/>
      <c r="K44" s="4"/>
      <c r="L44" s="10" t="e">
        <f>SUM(A32:B32)</f>
        <v>#REF!</v>
      </c>
    </row>
    <row r="45" spans="1:12">
      <c r="A45" s="4"/>
      <c r="B45" s="4"/>
      <c r="C45" s="4"/>
      <c r="D45" s="4"/>
      <c r="E45" s="14" t="e">
        <f>IF(G32=0,H31,G31)</f>
        <v>#REF!</v>
      </c>
      <c r="F45" s="4"/>
      <c r="G45" s="4"/>
      <c r="H45" s="4"/>
      <c r="I45" s="4"/>
      <c r="J45" s="4"/>
      <c r="K45" s="4"/>
      <c r="L45" s="10" t="e">
        <f>SUM(A32)</f>
        <v>#REF!</v>
      </c>
    </row>
    <row r="46" spans="1:12">
      <c r="A46" s="4"/>
      <c r="B46" s="4"/>
      <c r="C46" s="4"/>
      <c r="D46" s="4"/>
      <c r="E46" s="33" t="e">
        <f>IF(F32=0,E47,E48)</f>
        <v>#REF!</v>
      </c>
      <c r="F46" s="4"/>
      <c r="G46" s="4"/>
      <c r="H46" s="4"/>
      <c r="I46" s="4"/>
      <c r="J46" s="4"/>
      <c r="K46" s="4"/>
      <c r="L46" s="11" t="e">
        <f>SUM(J32:L32)</f>
        <v>#REF!</v>
      </c>
    </row>
    <row r="47" spans="1:12">
      <c r="A47" s="4"/>
      <c r="B47" s="4"/>
      <c r="C47" s="4"/>
      <c r="D47" s="4"/>
      <c r="E47" s="33" t="e">
        <f>IF(G32=0,H41,H34)</f>
        <v>#REF!</v>
      </c>
      <c r="F47" s="4"/>
      <c r="G47" s="4"/>
      <c r="H47" s="4"/>
      <c r="I47" s="4"/>
      <c r="J47" s="4"/>
      <c r="K47" s="4"/>
      <c r="L47" s="33" t="e">
        <f>SUM(I32:K32)</f>
        <v>#REF!</v>
      </c>
    </row>
    <row r="48" spans="1:12">
      <c r="A48" s="4"/>
      <c r="B48" s="4"/>
      <c r="C48" s="4"/>
      <c r="D48" s="4"/>
      <c r="E48" s="33" t="e">
        <f>IF(G31=0,H34,H31)</f>
        <v>#REF!</v>
      </c>
      <c r="F48" s="4"/>
      <c r="G48" s="4"/>
      <c r="H48" s="4"/>
      <c r="I48" s="4"/>
      <c r="J48" s="4"/>
      <c r="K48" s="4"/>
      <c r="L48" s="10" t="e">
        <f>SUM(E32:G32)</f>
        <v>#REF!</v>
      </c>
    </row>
    <row r="49" spans="1:12">
      <c r="A49" s="4"/>
      <c r="B49" s="4"/>
      <c r="C49" s="4"/>
      <c r="D49" s="4"/>
      <c r="E49" s="32" t="e">
        <f>IF(F31=0,E50,E51)</f>
        <v>#REF!</v>
      </c>
      <c r="F49" s="4"/>
      <c r="G49" s="4"/>
      <c r="H49" s="4"/>
      <c r="I49" s="4"/>
      <c r="J49" s="4"/>
      <c r="K49" s="4"/>
      <c r="L49" s="33" t="e">
        <f>SUM(A32:C32)</f>
        <v>#REF!</v>
      </c>
    </row>
    <row r="50" spans="1:12">
      <c r="A50" s="4"/>
      <c r="B50" s="4"/>
      <c r="C50" s="4"/>
      <c r="D50" s="4"/>
      <c r="E50" s="32" t="e">
        <f>IF(G31=0,0,H41)</f>
        <v>#REF!</v>
      </c>
      <c r="F50" s="4"/>
      <c r="G50" s="4"/>
      <c r="H50" s="4"/>
      <c r="I50" s="4"/>
      <c r="J50" s="4"/>
      <c r="K50" s="4"/>
      <c r="L50" s="4"/>
    </row>
    <row r="51" spans="1:12">
      <c r="A51" s="4"/>
      <c r="B51" s="4"/>
      <c r="C51" s="4"/>
      <c r="D51" s="4"/>
      <c r="E51" s="32" t="e">
        <f>IF(G32=0,H41,H38)</f>
        <v>#REF!</v>
      </c>
      <c r="F51" s="4"/>
      <c r="G51" s="4"/>
      <c r="H51" s="4"/>
      <c r="I51" s="4"/>
      <c r="J51" s="4"/>
      <c r="K51" s="4"/>
      <c r="L51" s="4"/>
    </row>
    <row r="52" spans="1:12">
      <c r="A52" s="4"/>
      <c r="B52" s="4"/>
      <c r="C52" s="4"/>
      <c r="D52" s="4"/>
      <c r="E52" s="33" t="e">
        <f>IF(L49=0,E53,E46)</f>
        <v>#REF!</v>
      </c>
      <c r="F52" s="4"/>
      <c r="G52" s="4"/>
      <c r="H52" s="4"/>
      <c r="I52" s="4"/>
      <c r="J52" s="4"/>
      <c r="K52" s="4"/>
      <c r="L52" s="4"/>
    </row>
    <row r="53" spans="1:12">
      <c r="A53" s="4"/>
      <c r="B53" s="4"/>
      <c r="C53" s="4"/>
      <c r="D53" s="4"/>
      <c r="E53" s="33" t="e">
        <f>IF(L48=3,H34,IF(L48=2,H38,IF(L48=1,H41,0)))</f>
        <v>#REF!</v>
      </c>
      <c r="F53" s="4"/>
      <c r="G53" s="4"/>
      <c r="H53" s="4"/>
      <c r="I53" s="4"/>
      <c r="J53" s="4"/>
      <c r="K53" s="4"/>
      <c r="L53" s="4"/>
    </row>
    <row r="54" spans="1:12">
      <c r="A54" s="8" t="e">
        <f t="shared" ref="A54:L54" si="2">LEN(A33)</f>
        <v>#REF!</v>
      </c>
      <c r="B54" s="8" t="e">
        <f t="shared" si="2"/>
        <v>#REF!</v>
      </c>
      <c r="C54" s="8" t="e">
        <f t="shared" si="2"/>
        <v>#REF!</v>
      </c>
      <c r="D54" s="8" t="e">
        <f t="shared" si="2"/>
        <v>#REF!</v>
      </c>
      <c r="E54" s="8" t="e">
        <f t="shared" si="2"/>
        <v>#REF!</v>
      </c>
      <c r="F54" s="8" t="e">
        <f t="shared" si="2"/>
        <v>#REF!</v>
      </c>
      <c r="G54" s="8" t="e">
        <f t="shared" si="2"/>
        <v>#REF!</v>
      </c>
      <c r="H54" s="8" t="e">
        <f t="shared" si="2"/>
        <v>#REF!</v>
      </c>
      <c r="I54" s="8" t="e">
        <f t="shared" si="2"/>
        <v>#REF!</v>
      </c>
      <c r="J54" s="8" t="e">
        <f t="shared" si="2"/>
        <v>#REF!</v>
      </c>
      <c r="K54" s="8" t="e">
        <f t="shared" si="2"/>
        <v>#REF!</v>
      </c>
      <c r="L54" s="8" t="e">
        <f t="shared" si="2"/>
        <v>#REF!</v>
      </c>
    </row>
    <row r="55" spans="1:12">
      <c r="A55" s="11"/>
      <c r="B55" s="11"/>
      <c r="C55" s="11"/>
      <c r="D55" s="11"/>
      <c r="E55" s="11" t="e">
        <f>SUM(A54:E54)</f>
        <v>#REF!</v>
      </c>
      <c r="F55" s="11" t="e">
        <f>SUM(A54:F54)</f>
        <v>#REF!</v>
      </c>
      <c r="G55" s="11" t="e">
        <f>SUM(A54:G54)</f>
        <v>#REF!</v>
      </c>
      <c r="H55" s="11" t="e">
        <f>SUM(A54:H54)</f>
        <v>#REF!</v>
      </c>
      <c r="I55" s="11" t="e">
        <f>SUM(A54:I54)</f>
        <v>#REF!</v>
      </c>
      <c r="J55" s="11" t="e">
        <f>SUM(A54:J54)</f>
        <v>#REF!</v>
      </c>
      <c r="K55" s="11" t="e">
        <f>SUM(A54:K54)</f>
        <v>#REF!</v>
      </c>
      <c r="L55" s="11" t="e">
        <f>SUM(A54:L54)</f>
        <v>#REF!</v>
      </c>
    </row>
    <row r="56" spans="1:12">
      <c r="A56" s="10" t="e">
        <f>IF(A33=0,"    ",A33)</f>
        <v>#REF!</v>
      </c>
      <c r="B56" s="10" t="e">
        <f>IF(B33=0,"    ",B33)</f>
        <v>#REF!</v>
      </c>
      <c r="C56" s="10" t="e">
        <f t="shared" ref="C56:K56" si="3">IF(C33=0," ",C33)</f>
        <v>#REF!</v>
      </c>
      <c r="D56" s="10" t="e">
        <f t="shared" si="3"/>
        <v>#REF!</v>
      </c>
      <c r="E56" s="10" t="e">
        <f t="shared" si="3"/>
        <v>#REF!</v>
      </c>
      <c r="F56" s="10" t="e">
        <f t="shared" si="3"/>
        <v>#REF!</v>
      </c>
      <c r="G56" s="10" t="e">
        <f t="shared" si="3"/>
        <v>#REF!</v>
      </c>
      <c r="H56" s="10" t="e">
        <f t="shared" si="3"/>
        <v>#REF!</v>
      </c>
      <c r="I56" s="10" t="e">
        <f t="shared" si="3"/>
        <v>#REF!</v>
      </c>
      <c r="J56" s="10" t="e">
        <f t="shared" si="3"/>
        <v>#REF!</v>
      </c>
      <c r="K56" s="10" t="e">
        <f t="shared" si="3"/>
        <v>#REF!</v>
      </c>
      <c r="L56" s="10" t="str">
        <f>IF(B61=0,"    ",B61)</f>
        <v>qəp.</v>
      </c>
    </row>
    <row r="57" spans="1:12">
      <c r="A57" s="10" t="e">
        <f>CONCATENATE(D57,A56,B56,C56,D56,E56,F56,G56,H56,I56,J56,L56,K56)</f>
        <v>#REF!</v>
      </c>
      <c r="B57" s="10"/>
      <c r="C57" s="10"/>
      <c r="D57" s="10" t="s">
        <v>82</v>
      </c>
      <c r="E57" s="10"/>
      <c r="F57" s="10"/>
      <c r="G57" s="10"/>
      <c r="H57" s="10"/>
      <c r="I57" s="10"/>
      <c r="J57" s="10"/>
      <c r="K57" s="10"/>
      <c r="L57" s="10"/>
    </row>
    <row r="58" spans="1:12">
      <c r="A58" s="36"/>
      <c r="B58" s="37">
        <f>ROUND(A58,0)</f>
        <v>0</v>
      </c>
    </row>
    <row r="59" spans="1:12">
      <c r="A59" s="6" t="s">
        <v>83</v>
      </c>
      <c r="B59" s="38" t="e">
        <f>M13/6</f>
        <v>#REF!</v>
      </c>
      <c r="C59" s="6" t="s">
        <v>84</v>
      </c>
      <c r="D59" s="39"/>
    </row>
    <row r="60" spans="1:12">
      <c r="A60" s="13" t="e">
        <f>CONCATENATE(A59,B59,C59)</f>
        <v>#REF!</v>
      </c>
      <c r="D60" s="39"/>
    </row>
    <row r="61" spans="1:12">
      <c r="A61" s="6" t="e">
        <f>(M5-M8)*100</f>
        <v>#REF!</v>
      </c>
      <c r="B61" s="6" t="s">
        <v>85</v>
      </c>
      <c r="D61" s="39"/>
    </row>
    <row r="62" spans="1:12">
      <c r="A62" s="19">
        <f>M11</f>
        <v>0</v>
      </c>
      <c r="B62" s="12">
        <f>M12/6</f>
        <v>0</v>
      </c>
      <c r="D62" s="39"/>
    </row>
    <row r="63" spans="1:12">
      <c r="A63" s="40" t="str">
        <f>CONCATENATE(B62,C59)</f>
        <v>0ман.</v>
      </c>
    </row>
    <row r="64" spans="1:12">
      <c r="A64" s="6" t="e">
        <f>CONCATENATE(A56,B56)</f>
        <v>#REF!</v>
      </c>
      <c r="L64" s="6" t="e">
        <f>IF(L33=0,"    ",L33)</f>
        <v>#REF!</v>
      </c>
    </row>
  </sheetData>
  <sheetProtection sheet="1" objects="1" scenarios="1"/>
  <phoneticPr fontId="5" type="noConversion"/>
  <pageMargins left="0.75" right="0.75" top="1" bottom="1" header="0.5" footer="0.5"/>
  <pageSetup paperSize="9" orientation="portrait" r:id="rId1"/>
  <headerFooter alignWithMargins="0"/>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codeName="Sheet14"/>
  <dimension ref="A1:P64"/>
  <sheetViews>
    <sheetView topLeftCell="A47" workbookViewId="0"/>
  </sheetViews>
  <sheetFormatPr defaultRowHeight="12.75"/>
  <cols>
    <col min="1" max="1" width="35" style="6" customWidth="1"/>
    <col min="2" max="2" width="11.140625" style="6" customWidth="1"/>
    <col min="3" max="3" width="13.28515625" style="6" customWidth="1"/>
    <col min="4" max="4" width="13.5703125" style="6" customWidth="1"/>
    <col min="5" max="5" width="12.42578125" style="6" customWidth="1"/>
    <col min="6" max="6" width="12.7109375" style="6" customWidth="1"/>
    <col min="7" max="7" width="10.28515625" style="6" customWidth="1"/>
    <col min="8" max="8" width="13.28515625" style="6" customWidth="1"/>
    <col min="9" max="9" width="10.5703125" style="6" customWidth="1"/>
    <col min="10" max="11" width="7.5703125" style="6" customWidth="1"/>
    <col min="12" max="12" width="6.7109375" style="6" customWidth="1"/>
    <col min="13" max="13" width="18.140625" style="6" customWidth="1"/>
    <col min="14" max="14" width="8.42578125" style="6" customWidth="1"/>
    <col min="15" max="15" width="9.140625" style="6"/>
    <col min="16" max="16" width="8.42578125" style="6" customWidth="1"/>
    <col min="17" max="16384" width="9.140625" style="6"/>
  </cols>
  <sheetData>
    <row r="1" spans="1:16" ht="13.5" thickBot="1">
      <c r="A1" s="2" t="e">
        <f>M8</f>
        <v>#REF!</v>
      </c>
      <c r="B1" s="3"/>
      <c r="C1" s="3"/>
      <c r="D1" s="3"/>
      <c r="E1" s="3"/>
      <c r="F1" s="3"/>
      <c r="G1" s="3"/>
      <c r="H1" s="3"/>
      <c r="I1" s="3"/>
      <c r="J1" s="4"/>
      <c r="K1" s="5"/>
      <c r="L1" s="4"/>
    </row>
    <row r="2" spans="1:16">
      <c r="A2" s="7" t="e">
        <f>(MOD(A1,1000000000)-MOD(A1,100000000))/100000000</f>
        <v>#REF!</v>
      </c>
      <c r="B2" s="7" t="e">
        <f>(MOD(A1,100000000)-MOD(A1,10000000))/10000000</f>
        <v>#REF!</v>
      </c>
      <c r="C2" s="7" t="e">
        <f>(MOD(A1,10000000)-MOD(A1,1000000))/1000000</f>
        <v>#REF!</v>
      </c>
      <c r="D2" s="7" t="e">
        <f>(MOD(A1,1000000)-MOD(A1,100000))/100000</f>
        <v>#REF!</v>
      </c>
      <c r="E2" s="7" t="e">
        <f>(MOD(A1,100000)-MOD(A1,10000))/10000</f>
        <v>#REF!</v>
      </c>
      <c r="F2" s="7" t="e">
        <f>(MOD(A1,10000)-MOD(A1,1000))/1000</f>
        <v>#REF!</v>
      </c>
      <c r="G2" s="7" t="e">
        <f>(MOD(A1,1000)-MOD(A1,100))/100</f>
        <v>#REF!</v>
      </c>
      <c r="H2" s="7" t="e">
        <f>(MOD(A1,100)-MOD(A1,10))/10</f>
        <v>#REF!</v>
      </c>
      <c r="I2" s="7" t="e">
        <f>MOD(A1,10)</f>
        <v>#REF!</v>
      </c>
      <c r="J2" s="4"/>
      <c r="K2" s="5"/>
      <c r="L2" s="4"/>
      <c r="M2" s="6" t="e">
        <f>IF(H2=1," ",IF(I2=1," ",IF(N2=TRUE," "," ")))</f>
        <v>#REF!</v>
      </c>
      <c r="N2" s="6" t="e">
        <f>OR(I2=2,I2=3,I2=4)</f>
        <v>#REF!</v>
      </c>
      <c r="P2" s="6" t="b">
        <f>OR(K2=2,K2=3,K2=4)</f>
        <v>0</v>
      </c>
    </row>
    <row r="3" spans="1:16">
      <c r="A3" s="8" t="e">
        <f>IF(A2=0,0,A5)</f>
        <v>#REF!</v>
      </c>
      <c r="B3" s="8" t="e">
        <f t="shared" ref="B3:I3" si="0">IF(B2=0,0,B4)</f>
        <v>#REF!</v>
      </c>
      <c r="C3" s="9" t="e">
        <f t="shared" si="0"/>
        <v>#REF!</v>
      </c>
      <c r="D3" s="8" t="e">
        <f t="shared" si="0"/>
        <v>#REF!</v>
      </c>
      <c r="E3" s="8" t="e">
        <f t="shared" si="0"/>
        <v>#REF!</v>
      </c>
      <c r="F3" s="9" t="e">
        <f t="shared" si="0"/>
        <v>#REF!</v>
      </c>
      <c r="G3" s="8" t="e">
        <f t="shared" si="0"/>
        <v>#REF!</v>
      </c>
      <c r="H3" s="8" t="e">
        <f t="shared" si="0"/>
        <v>#REF!</v>
      </c>
      <c r="I3" s="9" t="e">
        <f t="shared" si="0"/>
        <v>#REF!</v>
      </c>
      <c r="J3" s="4"/>
      <c r="K3" s="5"/>
      <c r="L3" s="4"/>
      <c r="M3" s="6" t="e">
        <f>IF(E2=1," min",IF(F2=1," min",IF(N3=TRUE," min"," min")))</f>
        <v>#REF!</v>
      </c>
      <c r="N3" s="6" t="e">
        <f>OR(F2=2,F2=3,F2=4)</f>
        <v>#REF!</v>
      </c>
      <c r="P3" s="6" t="e">
        <f>OR(H2=2,H2=3,H2=4)</f>
        <v>#REF!</v>
      </c>
    </row>
    <row r="4" spans="1:16">
      <c r="A4" s="10"/>
      <c r="B4" s="10" t="e">
        <f>IF(A1&gt;99999999,B5,B6)</f>
        <v>#REF!</v>
      </c>
      <c r="C4" s="10" t="e">
        <f>IF(B2=1,0,C5)</f>
        <v>#REF!</v>
      </c>
      <c r="D4" s="10" t="e">
        <f>IF(A1&gt;999999,D5,D7)</f>
        <v>#REF!</v>
      </c>
      <c r="E4" s="10" t="e">
        <f>IF(A1&gt;99999,E5,E6)</f>
        <v>#REF!</v>
      </c>
      <c r="F4" s="10" t="e">
        <f>IF(E2=1,0,F5)</f>
        <v>#REF!</v>
      </c>
      <c r="G4" s="10" t="e">
        <f>IF(A1&gt;999,G5,G7)</f>
        <v>#REF!</v>
      </c>
      <c r="H4" s="10" t="e">
        <f>IF(A1&gt;99,H5,H6)</f>
        <v>#REF!</v>
      </c>
      <c r="I4" s="10" t="e">
        <f>IF(H2=1,0,I5)</f>
        <v>#REF!</v>
      </c>
      <c r="J4" s="4"/>
      <c r="K4" s="5"/>
      <c r="L4" s="4"/>
      <c r="M4" s="6" t="e">
        <f>IF(B2=1," milyon",IF(C2=1," milyon",IF(N4=TRUE," milyon"," milyon")))</f>
        <v>#REF!</v>
      </c>
      <c r="N4" s="6" t="e">
        <f>OR(C2=2,C2=3,C2=4)</f>
        <v>#REF!</v>
      </c>
      <c r="P4" s="6" t="e">
        <f>OR(E2=2,E2=3,E2=4)</f>
        <v>#REF!</v>
      </c>
    </row>
    <row r="5" spans="1:16">
      <c r="A5" s="11" t="e">
        <f>IF(A2=1,H20,IF(A2=2,H21,IF(A2=3,H22,IF(A2=4,H23,IF(A2=5,H24,IF(A2=6,H25,IF(A2=7,H26,IF(A2&gt;7,A6))))))))</f>
        <v>#REF!</v>
      </c>
      <c r="B5" s="10" t="e">
        <f>IF(B2=1,B7,B11)</f>
        <v>#REF!</v>
      </c>
      <c r="C5" s="10" t="e">
        <f>IF(A1&gt;9999999,C6,C7)</f>
        <v>#REF!</v>
      </c>
      <c r="D5" s="11" t="e">
        <f>IF(D2=1,I20,IF(D2=2,I21,IF(D2=3,I22,IF(D2=4,I23,IF(D2=5,I24,IF(D2=6,I25,IF(D2=7,I26,IF(D2&gt;7,D6))))))))</f>
        <v>#REF!</v>
      </c>
      <c r="E5" s="10" t="e">
        <f>IF(E2=1,E7,E11)</f>
        <v>#REF!</v>
      </c>
      <c r="F5" s="10" t="e">
        <f>IF(A1&gt;9999,F6,F7)</f>
        <v>#REF!</v>
      </c>
      <c r="G5" s="11" t="e">
        <f>IF(G2=1,I20,IF(G2=2,I21,IF(G2=3,I22,IF(G2=4,I23,IF(G2=5,I24,IF(G2=6,I25,IF(G2=7,I26,IF(G2&gt;7,G6))))))))</f>
        <v>#REF!</v>
      </c>
      <c r="H5" s="10" t="e">
        <f>IF(H2=1,H7,H11)</f>
        <v>#REF!</v>
      </c>
      <c r="I5" s="10" t="e">
        <f>IF(A1&gt;9,I6,I7)</f>
        <v>#REF!</v>
      </c>
      <c r="J5" s="4"/>
      <c r="K5" s="5"/>
      <c r="L5" s="4"/>
      <c r="M5" s="12" t="e">
        <f>#REF!</f>
        <v>#REF!</v>
      </c>
    </row>
    <row r="6" spans="1:16">
      <c r="A6" s="11" t="e">
        <f>IF(A2=8,H27,IF(A2=9,H28))</f>
        <v>#REF!</v>
      </c>
      <c r="B6" s="10" t="e">
        <f>IF(B2=1,B9,B12)</f>
        <v>#REF!</v>
      </c>
      <c r="C6" s="10" t="e">
        <f>IF(C2=1,B20,IF(C2=2,B21,IF(C2=3,B22,IF(C2=4,B23,IF(C2=5,B24,IF(C2=6,B25,IF(C2=7,B26,IF(C2&gt;7,C8))))))))</f>
        <v>#REF!</v>
      </c>
      <c r="D6" s="11" t="e">
        <f>IF(D2=8,I27,IF(D2=9,I28))</f>
        <v>#REF!</v>
      </c>
      <c r="E6" s="10" t="e">
        <f>IF(E2=1,E9,E12)</f>
        <v>#REF!</v>
      </c>
      <c r="F6" s="10" t="e">
        <f>IF(F2=1,G22,IF(F2=2,G23,IF(F2=3,B22,IF(F2=4,B23,IF(F2=5,B24,IF(F2=6,B25,IF(F2=7,B26,IF(F2&gt;7,F8))))))))</f>
        <v>#REF!</v>
      </c>
      <c r="G6" s="11" t="e">
        <f>IF(G2=8,I27,IF(G2=9,I28))</f>
        <v>#REF!</v>
      </c>
      <c r="H6" s="10" t="e">
        <f>IF(H2=1,H9,H12)</f>
        <v>#REF!</v>
      </c>
      <c r="I6" s="10" t="e">
        <f>IF(I2=1,B20,IF(I2=2,B21,IF(I2=3,B22,IF(I2=4,B23,IF(I2=5,B24,IF(I2=6,B25,IF(I2=7,B26,IF(I2&gt;7,I8))))))))</f>
        <v>#REF!</v>
      </c>
      <c r="J6" s="4"/>
      <c r="K6" s="5"/>
      <c r="L6" s="4"/>
      <c r="M6" s="13" t="e">
        <f>CONCATENATE(M8,M9,M11)</f>
        <v>#REF!</v>
      </c>
    </row>
    <row r="7" spans="1:16">
      <c r="A7" s="4"/>
      <c r="B7" s="11" t="e">
        <f>IF(C2=0,F20,IF(C2=1,D20,IF(C2=2,D21,IF(C2=3,D22,IF(C2=4,D23,IF(C2=5,D24,IF(C2=6,D25,IF(C2&gt;6,B8))))))))</f>
        <v>#REF!</v>
      </c>
      <c r="C7" s="10" t="e">
        <f>IF(C2=1,A20,IF(C2=2,A21,IF(C2=3,A22,IF(C2=4,A23,IF(C2=5,A24,IF(C2=6,A25,IF(C2=7,A26,IF(C2&gt;7,C9))))))))</f>
        <v>#REF!</v>
      </c>
      <c r="D7" s="14" t="e">
        <f>IF(D2=1,H20,IF(D2=2,H21,IF(D2=3,H22,IF(D2=4,H23,IF(D2=5,H24,IF(D2=6,H25,IF(D2=7,H26,IF(D2&gt;7,D8))))))))</f>
        <v>#REF!</v>
      </c>
      <c r="E7" s="11" t="e">
        <f>IF(F2=0,F20,IF(F2=1,D20,IF(F2=2,D21,IF(F2=3,D22,IF(F2=4,D23,IF(F2=5,D24,IF(F2=6,D25,IF(F2&gt;6,E8))))))))</f>
        <v>#REF!</v>
      </c>
      <c r="F7" s="10" t="e">
        <f>IF(F2=1,G20,IF(F2=2,G21,IF(F2=3,A22,IF(F2=4,A23,IF(F2=5,A24,IF(F2=6,A25,IF(F2=7,A26,IF(F2&gt;7,F9))))))))</f>
        <v>#REF!</v>
      </c>
      <c r="G7" s="14" t="e">
        <f>IF(G2=1,H20,IF(G2=2,H21,IF(G2=3,H22,IF(G2=4,H23,IF(G2=5,H24,IF(G2=6,H25,IF(G2=7,H26,IF(G2&gt;7,G8))))))))</f>
        <v>#REF!</v>
      </c>
      <c r="H7" s="11" t="e">
        <f>IF(I2=0,F20,IF(I2=1,D20,IF(I2=2,D21,IF(I2=3,D22,IF(I2=4,D23,IF(I2=5,D24,IF(I2=6,D25,IF(I2&gt;6,H8))))))))</f>
        <v>#REF!</v>
      </c>
      <c r="I7" s="10" t="e">
        <f>IF(I2=1,A20,IF(I2=2,A21,IF(I2=3,A22,IF(I2=4,A23,IF(I2=5,A24,IF(I2=6,A25,IF(I2=7,A26,IF(I2&gt;7,I9))))))))</f>
        <v>#REF!</v>
      </c>
      <c r="J7" s="4"/>
      <c r="K7" s="5"/>
      <c r="L7" s="4"/>
      <c r="M7" s="15"/>
    </row>
    <row r="8" spans="1:16">
      <c r="A8" s="4"/>
      <c r="B8" s="11" t="e">
        <f>IF(C2=7,D26,IF(C2=8,D27,IF(C2=9,D28)))</f>
        <v>#REF!</v>
      </c>
      <c r="C8" s="10" t="e">
        <f>IF(C2=8,B27,IF(C2=9,B28))</f>
        <v>#REF!</v>
      </c>
      <c r="D8" s="14" t="e">
        <f>IF(D2=8,H27,IF(D2=9,H28))</f>
        <v>#REF!</v>
      </c>
      <c r="E8" s="11" t="e">
        <f>IF(F2=7,D26,IF(F2=8,D27,IF(F2=9,D28)))</f>
        <v>#REF!</v>
      </c>
      <c r="F8" s="10" t="e">
        <f>IF(F2=8,B27,IF(F2=9,B28))</f>
        <v>#REF!</v>
      </c>
      <c r="G8" s="14" t="e">
        <f>IF(G2=8,H27,IF(G2=9,H28))</f>
        <v>#REF!</v>
      </c>
      <c r="H8" s="11" t="e">
        <f>IF(I2=7,D26,IF(I2=8,D27,IF(I2=9,D28)))</f>
        <v>#REF!</v>
      </c>
      <c r="I8" s="10" t="e">
        <f>IF(I2=8,B27,IF(I2=9,B28))</f>
        <v>#REF!</v>
      </c>
      <c r="J8" s="4"/>
      <c r="K8" s="5"/>
      <c r="L8" s="4"/>
      <c r="M8" s="16" t="e">
        <f>TRUNC(M5,0)</f>
        <v>#REF!</v>
      </c>
    </row>
    <row r="9" spans="1:16">
      <c r="A9" s="4"/>
      <c r="B9" s="14" t="e">
        <f>IF(C2=0,E20,IF(C2=1,C20,IF(C2=2,C21,IF(C2=3,C22,IF(C2=4,C23,IF(C2=5,C24,IF(C2=6,C25,IF(C2&gt;6,B10))))))))</f>
        <v>#REF!</v>
      </c>
      <c r="C9" s="10" t="e">
        <f>IF(C2=8,A27,IF(C2=9,A28))</f>
        <v>#REF!</v>
      </c>
      <c r="D9" s="4"/>
      <c r="E9" s="14" t="e">
        <f>IF(F2=0,E20,IF(F2=1,C20,IF(F2=2,C21,IF(F2=3,C22,IF(F2=4,C23,IF(F2=5,C24,IF(F2=6,C25,IF(F2&gt;6,E10))))))))</f>
        <v>#REF!</v>
      </c>
      <c r="F9" s="10" t="e">
        <f>IF(F2=8,A27,IF(F2=9,A28))</f>
        <v>#REF!</v>
      </c>
      <c r="G9" s="4"/>
      <c r="H9" s="14" t="e">
        <f>IF(I2=0,E20,IF(I2=1,C20,IF(I2=2,C21,IF(I2=3,C22,IF(I2=4,C23,IF(I2=5,C24,IF(I2=6,C25,IF(I2&gt;6,H10))))))))</f>
        <v>#REF!</v>
      </c>
      <c r="I9" s="10" t="e">
        <f>IF(I2=8,A27,IF(I2=9,A28))</f>
        <v>#REF!</v>
      </c>
      <c r="J9" s="4"/>
      <c r="K9" s="5"/>
      <c r="L9" s="4"/>
      <c r="M9" s="17" t="s">
        <v>9</v>
      </c>
    </row>
    <row r="10" spans="1:16">
      <c r="A10" s="4"/>
      <c r="B10" s="14" t="e">
        <f>IF(C2=7,C26,IF(C2=8,C27,IF(C2=9,C28)))</f>
        <v>#REF!</v>
      </c>
      <c r="C10" s="4"/>
      <c r="D10" s="4"/>
      <c r="E10" s="14" t="e">
        <f>IF(F2=7,C26,IF(F2=8,C27,IF(F2=9,C28)))</f>
        <v>#REF!</v>
      </c>
      <c r="F10" s="4"/>
      <c r="G10" s="4"/>
      <c r="H10" s="14" t="e">
        <f>IF(I2=7,C26,IF(I2=8,C27,IF(I2=9,C28)))</f>
        <v>#REF!</v>
      </c>
      <c r="I10" s="4"/>
      <c r="J10" s="4"/>
      <c r="K10" s="5"/>
      <c r="L10" s="4"/>
      <c r="M10" s="18" t="e">
        <f>(M5-M8)*100</f>
        <v>#REF!</v>
      </c>
    </row>
    <row r="11" spans="1:16">
      <c r="A11" s="4"/>
      <c r="B11" s="11" t="e">
        <f>IF(B2=2,F21,IF(B2=3,F22,IF(B2=4,F23,IF(B2=5,F24,IF(B2=6,F25,IF(B2=7,F26,IF(B2=8,F27,IF(B2=9,F28))))))))</f>
        <v>#REF!</v>
      </c>
      <c r="C11" s="4"/>
      <c r="D11" s="4"/>
      <c r="E11" s="11" t="e">
        <f>IF(E2=2,F21,IF(E2=3,F22,IF(E2=4,F23,IF(E2=5,F24,IF(E2=6,F25,IF(E2=7,F26,IF(E2=8,F27,IF(E2=9,F28))))))))</f>
        <v>#REF!</v>
      </c>
      <c r="F11" s="4"/>
      <c r="G11" s="4"/>
      <c r="H11" s="11" t="e">
        <f>IF(H2=2,F21,IF(H2=3,F22,IF(H2=4,F23,IF(H2=5,F24,IF(H2=6,F25,IF(H2=7,F26,IF(H2=8,F27,IF(H2=9,F28))))))))</f>
        <v>#REF!</v>
      </c>
      <c r="I11" s="4"/>
      <c r="J11" s="4"/>
      <c r="K11" s="5"/>
      <c r="L11" s="4"/>
      <c r="M11" s="19"/>
    </row>
    <row r="12" spans="1:16">
      <c r="A12" s="4"/>
      <c r="B12" s="14" t="e">
        <f>IF(B2=2,E21,IF(B2=3,E22,IF(B2=4,E23,IF(B2=5,E24,IF(B2=6,E25,IF(B2=7,E26,IF(B2=8,E27,IF(B2=9,E28))))))))</f>
        <v>#REF!</v>
      </c>
      <c r="C12" s="4"/>
      <c r="D12" s="4"/>
      <c r="E12" s="14" t="e">
        <f>IF(E2=2,E21,IF(E2=3,E22,IF(E2=4,E23,IF(E2=5,E24,IF(E2=6,E25,IF(E2=7,E26,IF(E2=8,E27,IF(E2=9,E28))))))))</f>
        <v>#REF!</v>
      </c>
      <c r="F12" s="4"/>
      <c r="G12" s="4"/>
      <c r="H12" s="14" t="e">
        <f>IF(H2=2,E21,IF(H2=3,E22,IF(H2=4,E23,IF(H2=5,E24,IF(H2=6,E25,IF(H2=7,E26,IF(H2=8,E27,IF(H2=9,E28))))))))</f>
        <v>#REF!</v>
      </c>
      <c r="I12" s="4"/>
      <c r="J12" s="4"/>
      <c r="K12" s="5"/>
      <c r="L12" s="4"/>
      <c r="M12" s="12"/>
    </row>
    <row r="13" spans="1:16">
      <c r="A13" s="4"/>
      <c r="B13" s="4"/>
      <c r="C13" s="4"/>
      <c r="D13" s="4"/>
      <c r="E13" s="4"/>
      <c r="F13" s="4"/>
      <c r="G13" s="4"/>
      <c r="H13" s="4"/>
      <c r="I13" s="4"/>
      <c r="J13" s="4"/>
      <c r="K13" s="5"/>
      <c r="L13" s="4"/>
      <c r="M13" s="6" t="e">
        <f>M5+M11/100</f>
        <v>#REF!</v>
      </c>
    </row>
    <row r="14" spans="1:16">
      <c r="A14" s="4"/>
      <c r="B14" s="4"/>
      <c r="C14" s="4"/>
      <c r="D14" s="4"/>
      <c r="E14" s="4"/>
      <c r="F14" s="4"/>
      <c r="G14" s="4"/>
      <c r="H14" s="4"/>
      <c r="I14" s="4"/>
      <c r="J14" s="4"/>
      <c r="K14" s="5"/>
      <c r="L14" s="4"/>
      <c r="M14" s="20" t="e">
        <f>M13/6</f>
        <v>#REF!</v>
      </c>
    </row>
    <row r="15" spans="1:16">
      <c r="A15" s="4"/>
      <c r="B15" s="4"/>
      <c r="C15" s="4"/>
      <c r="D15" s="4"/>
      <c r="E15" s="4"/>
      <c r="F15" s="4"/>
      <c r="G15" s="4"/>
      <c r="H15" s="4"/>
      <c r="I15" s="4"/>
      <c r="J15" s="4"/>
      <c r="K15" s="5"/>
      <c r="L15" s="4"/>
      <c r="M15" s="21" t="e">
        <f>M13/6</f>
        <v>#REF!</v>
      </c>
    </row>
    <row r="16" spans="1:16">
      <c r="A16" s="4"/>
      <c r="B16" s="4"/>
      <c r="C16" s="4"/>
      <c r="D16" s="4"/>
      <c r="E16" s="4"/>
      <c r="F16" s="4"/>
      <c r="G16" s="4"/>
      <c r="H16" s="4"/>
      <c r="I16" s="4"/>
      <c r="J16" s="4"/>
      <c r="K16" s="5"/>
      <c r="L16" s="4"/>
      <c r="M16" s="22" t="e">
        <f>TRUNC(M15,0)</f>
        <v>#REF!</v>
      </c>
    </row>
    <row r="17" spans="1:13">
      <c r="A17" s="4"/>
      <c r="B17" s="4"/>
      <c r="C17" s="4"/>
      <c r="D17" s="4"/>
      <c r="E17" s="4"/>
      <c r="F17" s="4"/>
      <c r="G17" s="4"/>
      <c r="H17" s="4"/>
      <c r="I17" s="4"/>
      <c r="J17" s="4"/>
      <c r="K17" s="5"/>
      <c r="L17" s="4"/>
      <c r="M17" s="23" t="e">
        <f>M16</f>
        <v>#REF!</v>
      </c>
    </row>
    <row r="18" spans="1:13">
      <c r="A18" s="4"/>
      <c r="B18" s="4"/>
      <c r="C18" s="4"/>
      <c r="D18" s="4"/>
      <c r="E18" s="4"/>
      <c r="F18" s="4"/>
      <c r="G18" s="4"/>
      <c r="H18" s="4"/>
      <c r="I18" s="4"/>
      <c r="J18" s="4"/>
      <c r="K18" s="5"/>
      <c r="L18" s="4"/>
      <c r="M18" s="19" t="e">
        <f>(M15-M17)*100</f>
        <v>#REF!</v>
      </c>
    </row>
    <row r="19" spans="1:13">
      <c r="A19" s="4"/>
      <c r="B19" s="4"/>
      <c r="C19" s="4"/>
      <c r="D19" s="4"/>
      <c r="E19" s="4"/>
      <c r="F19" s="4"/>
      <c r="G19" s="4"/>
      <c r="H19" s="4"/>
      <c r="I19" s="4"/>
      <c r="J19" s="4"/>
      <c r="K19" s="5"/>
      <c r="L19" s="4"/>
      <c r="M19" s="24" t="e">
        <f>CONCATENATE(M17,M9,M18)</f>
        <v>#REF!</v>
      </c>
    </row>
    <row r="20" spans="1:13">
      <c r="A20" s="25" t="s">
        <v>10</v>
      </c>
      <c r="B20" s="25" t="s">
        <v>11</v>
      </c>
      <c r="C20" s="25" t="s">
        <v>12</v>
      </c>
      <c r="D20" s="25" t="s">
        <v>13</v>
      </c>
      <c r="E20" s="25" t="s">
        <v>14</v>
      </c>
      <c r="F20" s="25" t="s">
        <v>15</v>
      </c>
      <c r="G20" s="25" t="s">
        <v>10</v>
      </c>
      <c r="H20" s="25" t="s">
        <v>16</v>
      </c>
      <c r="I20" s="25" t="s">
        <v>17</v>
      </c>
      <c r="J20" s="4"/>
      <c r="K20" s="5"/>
      <c r="L20" s="4"/>
    </row>
    <row r="21" spans="1:13">
      <c r="A21" s="25" t="s">
        <v>18</v>
      </c>
      <c r="B21" s="25" t="s">
        <v>19</v>
      </c>
      <c r="C21" s="25" t="s">
        <v>20</v>
      </c>
      <c r="D21" s="25" t="s">
        <v>21</v>
      </c>
      <c r="E21" s="25" t="s">
        <v>22</v>
      </c>
      <c r="F21" s="25" t="s">
        <v>23</v>
      </c>
      <c r="G21" s="25" t="s">
        <v>18</v>
      </c>
      <c r="H21" s="25" t="s">
        <v>24</v>
      </c>
      <c r="I21" s="25" t="s">
        <v>25</v>
      </c>
      <c r="J21" s="4"/>
      <c r="K21" s="5"/>
      <c r="L21" s="4"/>
      <c r="M21" s="19">
        <v>1.9999999999996021</v>
      </c>
    </row>
    <row r="22" spans="1:13">
      <c r="A22" s="25" t="s">
        <v>26</v>
      </c>
      <c r="B22" s="25" t="s">
        <v>27</v>
      </c>
      <c r="C22" s="25" t="s">
        <v>28</v>
      </c>
      <c r="D22" s="25" t="s">
        <v>29</v>
      </c>
      <c r="E22" s="25" t="s">
        <v>30</v>
      </c>
      <c r="F22" s="25" t="s">
        <v>31</v>
      </c>
      <c r="G22" s="25" t="s">
        <v>11</v>
      </c>
      <c r="H22" s="25" t="s">
        <v>32</v>
      </c>
      <c r="I22" s="25" t="s">
        <v>33</v>
      </c>
      <c r="J22" s="4"/>
      <c r="K22" s="5"/>
      <c r="L22" s="4"/>
    </row>
    <row r="23" spans="1:13">
      <c r="A23" s="25" t="s">
        <v>34</v>
      </c>
      <c r="B23" s="25" t="s">
        <v>35</v>
      </c>
      <c r="C23" s="25" t="s">
        <v>36</v>
      </c>
      <c r="D23" s="25" t="s">
        <v>37</v>
      </c>
      <c r="E23" s="26" t="s">
        <v>38</v>
      </c>
      <c r="F23" s="25" t="s">
        <v>39</v>
      </c>
      <c r="G23" s="25" t="s">
        <v>19</v>
      </c>
      <c r="H23" s="27" t="s">
        <v>40</v>
      </c>
      <c r="I23" s="25" t="s">
        <v>41</v>
      </c>
      <c r="J23" s="4"/>
      <c r="K23" s="5"/>
      <c r="L23" s="4"/>
    </row>
    <row r="24" spans="1:13">
      <c r="A24" s="25" t="s">
        <v>42</v>
      </c>
      <c r="B24" s="25" t="s">
        <v>43</v>
      </c>
      <c r="C24" s="25" t="s">
        <v>44</v>
      </c>
      <c r="D24" s="25" t="s">
        <v>45</v>
      </c>
      <c r="E24" s="25" t="s">
        <v>46</v>
      </c>
      <c r="F24" s="25" t="s">
        <v>47</v>
      </c>
      <c r="G24" s="25"/>
      <c r="H24" s="25" t="s">
        <v>48</v>
      </c>
      <c r="I24" s="25" t="s">
        <v>49</v>
      </c>
      <c r="J24" s="4"/>
      <c r="K24" s="5"/>
      <c r="L24" s="4"/>
    </row>
    <row r="25" spans="1:13">
      <c r="A25" s="25" t="s">
        <v>50</v>
      </c>
      <c r="B25" s="25" t="s">
        <v>51</v>
      </c>
      <c r="C25" s="25" t="s">
        <v>52</v>
      </c>
      <c r="D25" s="25" t="s">
        <v>53</v>
      </c>
      <c r="E25" s="25" t="s">
        <v>54</v>
      </c>
      <c r="F25" s="25" t="s">
        <v>55</v>
      </c>
      <c r="G25" s="25"/>
      <c r="H25" s="25" t="s">
        <v>56</v>
      </c>
      <c r="I25" s="25" t="s">
        <v>57</v>
      </c>
      <c r="J25" s="4"/>
      <c r="K25" s="5"/>
      <c r="L25" s="4"/>
    </row>
    <row r="26" spans="1:13">
      <c r="A26" s="25" t="s">
        <v>58</v>
      </c>
      <c r="B26" s="25" t="s">
        <v>59</v>
      </c>
      <c r="C26" s="25" t="s">
        <v>60</v>
      </c>
      <c r="D26" s="25" t="s">
        <v>61</v>
      </c>
      <c r="E26" s="25" t="s">
        <v>62</v>
      </c>
      <c r="F26" s="25" t="s">
        <v>63</v>
      </c>
      <c r="G26" s="25"/>
      <c r="H26" s="25" t="s">
        <v>64</v>
      </c>
      <c r="I26" s="25" t="s">
        <v>65</v>
      </c>
      <c r="J26" s="4"/>
      <c r="K26" s="5"/>
      <c r="L26" s="4"/>
    </row>
    <row r="27" spans="1:13">
      <c r="A27" s="25" t="s">
        <v>66</v>
      </c>
      <c r="B27" s="25" t="s">
        <v>67</v>
      </c>
      <c r="C27" s="25" t="s">
        <v>68</v>
      </c>
      <c r="D27" s="25" t="s">
        <v>69</v>
      </c>
      <c r="E27" s="25" t="s">
        <v>70</v>
      </c>
      <c r="F27" s="25" t="s">
        <v>71</v>
      </c>
      <c r="G27" s="25"/>
      <c r="H27" s="25" t="s">
        <v>72</v>
      </c>
      <c r="I27" s="25" t="s">
        <v>73</v>
      </c>
      <c r="J27" s="4"/>
      <c r="K27" s="5"/>
      <c r="L27" s="4"/>
    </row>
    <row r="28" spans="1:13">
      <c r="A28" s="25" t="s">
        <v>74</v>
      </c>
      <c r="B28" s="25" t="s">
        <v>75</v>
      </c>
      <c r="C28" s="25" t="s">
        <v>76</v>
      </c>
      <c r="D28" s="25" t="s">
        <v>77</v>
      </c>
      <c r="E28" s="25" t="s">
        <v>78</v>
      </c>
      <c r="F28" s="25" t="s">
        <v>79</v>
      </c>
      <c r="G28" s="25"/>
      <c r="H28" s="25" t="s">
        <v>80</v>
      </c>
      <c r="I28" s="25" t="s">
        <v>81</v>
      </c>
      <c r="J28" s="4"/>
      <c r="K28" s="5"/>
      <c r="L28" s="4"/>
    </row>
    <row r="29" spans="1:13">
      <c r="A29" s="4"/>
      <c r="B29" s="4"/>
      <c r="C29" s="4"/>
      <c r="D29" s="4"/>
      <c r="E29" s="4"/>
      <c r="F29" s="4"/>
      <c r="G29" s="4"/>
      <c r="H29" s="4"/>
      <c r="I29" s="4"/>
      <c r="J29" s="4"/>
      <c r="K29" s="5"/>
      <c r="L29" s="4"/>
    </row>
    <row r="30" spans="1:13">
      <c r="A30" s="28" t="e">
        <f t="shared" ref="A30:I30" si="1">A3</f>
        <v>#REF!</v>
      </c>
      <c r="B30" s="28" t="e">
        <f t="shared" si="1"/>
        <v>#REF!</v>
      </c>
      <c r="C30" s="28" t="e">
        <f t="shared" si="1"/>
        <v>#REF!</v>
      </c>
      <c r="D30" s="28" t="e">
        <f t="shared" si="1"/>
        <v>#REF!</v>
      </c>
      <c r="E30" s="28" t="e">
        <f t="shared" si="1"/>
        <v>#REF!</v>
      </c>
      <c r="F30" s="28" t="e">
        <f t="shared" si="1"/>
        <v>#REF!</v>
      </c>
      <c r="G30" s="28" t="e">
        <f t="shared" si="1"/>
        <v>#REF!</v>
      </c>
      <c r="H30" s="28" t="e">
        <f t="shared" si="1"/>
        <v>#REF!</v>
      </c>
      <c r="I30" s="28" t="e">
        <f t="shared" si="1"/>
        <v>#REF!</v>
      </c>
      <c r="J30" s="3"/>
      <c r="K30" s="4"/>
      <c r="L30" s="4"/>
    </row>
    <row r="31" spans="1:13">
      <c r="A31" s="29" t="e">
        <f>A30</f>
        <v>#REF!</v>
      </c>
      <c r="B31" s="29" t="e">
        <f>B30</f>
        <v>#REF!</v>
      </c>
      <c r="C31" s="29" t="e">
        <f>C30</f>
        <v>#REF!</v>
      </c>
      <c r="D31" s="14" t="e">
        <f>M4</f>
        <v>#REF!</v>
      </c>
      <c r="E31" s="29" t="e">
        <f>D30</f>
        <v>#REF!</v>
      </c>
      <c r="F31" s="29" t="e">
        <f>E30</f>
        <v>#REF!</v>
      </c>
      <c r="G31" s="29" t="e">
        <f>F30</f>
        <v>#REF!</v>
      </c>
      <c r="H31" s="14" t="e">
        <f>M3</f>
        <v>#REF!</v>
      </c>
      <c r="I31" s="29" t="e">
        <f>G30</f>
        <v>#REF!</v>
      </c>
      <c r="J31" s="29" t="e">
        <f>H30</f>
        <v>#REF!</v>
      </c>
      <c r="K31" s="29" t="e">
        <f>I30</f>
        <v>#REF!</v>
      </c>
      <c r="L31" s="14" t="e">
        <f>M2</f>
        <v>#REF!</v>
      </c>
    </row>
    <row r="32" spans="1:13">
      <c r="A32" s="30" t="e">
        <f>IF(A31=0,0,1)</f>
        <v>#REF!</v>
      </c>
      <c r="B32" s="30" t="e">
        <f>IF(B31=0,0,1)</f>
        <v>#REF!</v>
      </c>
      <c r="C32" s="30" t="e">
        <f>IF(C31=0,0,1)</f>
        <v>#REF!</v>
      </c>
      <c r="D32" s="30">
        <v>1</v>
      </c>
      <c r="E32" s="30" t="e">
        <f>IF(E31=0,0,1)</f>
        <v>#REF!</v>
      </c>
      <c r="F32" s="30" t="e">
        <f>IF(F31=0,0,1)</f>
        <v>#REF!</v>
      </c>
      <c r="G32" s="30" t="e">
        <f>IF(G31=0,0,1)</f>
        <v>#REF!</v>
      </c>
      <c r="H32" s="30">
        <v>1</v>
      </c>
      <c r="I32" s="30" t="e">
        <f>IF(I31=0,0,1)</f>
        <v>#REF!</v>
      </c>
      <c r="J32" s="30" t="e">
        <f>IF(J31=0,0,1)</f>
        <v>#REF!</v>
      </c>
      <c r="K32" s="30" t="e">
        <f>IF(K31=0,0,1)</f>
        <v>#REF!</v>
      </c>
      <c r="L32" s="30">
        <v>1</v>
      </c>
    </row>
    <row r="33" spans="1:12">
      <c r="A33" s="31" t="e">
        <f>IF(L45=1,A31,A34)</f>
        <v>#REF!</v>
      </c>
      <c r="B33" s="31" t="e">
        <f>IF(L44=2,B31,IF(L44=1,B34,IF(L44=0,B35)))</f>
        <v>#REF!</v>
      </c>
      <c r="C33" s="31" t="e">
        <f>IF(L43=3,C31,IF(L43=2,D31,IF(L43=1,D35,IF(L43=0,C34))))</f>
        <v>#REF!</v>
      </c>
      <c r="D33" s="31" t="e">
        <f>IF(L42=4,D31,IF(L42=3,D35,IF(L42=2,D34,IF(L42=1,D43))))</f>
        <v>#REF!</v>
      </c>
      <c r="E33" s="31" t="e">
        <f>IF(L41=5,E31,IF(L41=4,E34,IF(L41=3,E39,IF(L41=2,E52,E49))))</f>
        <v>#REF!</v>
      </c>
      <c r="F33" s="31" t="e">
        <f>IF(L40=6,F31,IF(L40=5,F34,IF(L40=4,F35,IF(L40=3,F37,IF(L40=2,F41,IF(L40=1,F44))))))</f>
        <v>#REF!</v>
      </c>
      <c r="G33" s="31" t="e">
        <f>IF(L39=7,G31,IF(L39=6,H31,IF(L39=5,H34,IF(L39=4,G34,IF(L39=3,G38,IF(L39=2,G36,0))))))</f>
        <v>#REF!</v>
      </c>
      <c r="H33" s="31" t="e">
        <f>IF(L38=8,H31,IF(L38=7,H34,IF(L38=6,H38,IF(L38=5,H43,IF(L38=4,H44,0)))))</f>
        <v>#REF!</v>
      </c>
      <c r="I33" s="31" t="e">
        <f>IF(L37=9,I31,IF(L37=8,I34,IF(L37=7,I36,IF(L37=6,I37,0))))</f>
        <v>#REF!</v>
      </c>
      <c r="J33" s="31" t="e">
        <f>IF(L36=10,J31,IF(L36=9,J34,IF(L36=8,J35,0)))</f>
        <v>#REF!</v>
      </c>
      <c r="K33" s="31" t="e">
        <f>IF(L35=11,K31,IF(L35=10,L31,))</f>
        <v>#REF!</v>
      </c>
      <c r="L33" s="31" t="e">
        <f>IF(L34=12,L31,0)</f>
        <v>#REF!</v>
      </c>
    </row>
    <row r="34" spans="1:12">
      <c r="A34" s="11" t="e">
        <f>IF(B32=0,A35,B31)</f>
        <v>#REF!</v>
      </c>
      <c r="B34" s="11" t="e">
        <f>IF(C32=0,D31,C31)</f>
        <v>#REF!</v>
      </c>
      <c r="C34" s="11" t="e">
        <f>IF(L48=3,G31,IF(L48=2,H31,IF(L48=1,H34,H41)))</f>
        <v>#REF!</v>
      </c>
      <c r="D34" s="32" t="e">
        <f>IF(E31=0,D38,D40)</f>
        <v>#REF!</v>
      </c>
      <c r="E34" s="33" t="e">
        <f>IF(L49=3,E35,E37)</f>
        <v>#REF!</v>
      </c>
      <c r="F34" s="11" t="e">
        <f>IF(G31=0,H31,G31)</f>
        <v>#REF!</v>
      </c>
      <c r="G34" s="33" t="e">
        <f>IF(L48=0,H41,G37)</f>
        <v>#REF!</v>
      </c>
      <c r="H34" s="33" t="e">
        <f>IF(L47=0,L31,IF(L47=1,H35,IF(L47=2,H37,IF(L47=3,I31))))</f>
        <v>#REF!</v>
      </c>
      <c r="I34" s="33" t="e">
        <f>IF(L46=1,L31,IF(L46=2,I35,IF(L46=3,J31)))</f>
        <v>#REF!</v>
      </c>
      <c r="J34" s="11" t="e">
        <f>IF(K32=0,L31,K31)</f>
        <v>#REF!</v>
      </c>
      <c r="K34" s="4"/>
      <c r="L34" s="34" t="e">
        <f>SUM(A32:L32)</f>
        <v>#REF!</v>
      </c>
    </row>
    <row r="35" spans="1:12">
      <c r="A35" s="11" t="e">
        <f>IF(C31=0,A36,C31)</f>
        <v>#REF!</v>
      </c>
      <c r="B35" s="11" t="e">
        <f>IF(C31=0,D34,D31)</f>
        <v>#REF!</v>
      </c>
      <c r="C35" s="4"/>
      <c r="D35" s="11" t="e">
        <f>IF(E32=0,D36,E31)</f>
        <v>#REF!</v>
      </c>
      <c r="E35" s="33" t="e">
        <f>IF(F32=0,E36,F31)</f>
        <v>#REF!</v>
      </c>
      <c r="F35" s="35" t="e">
        <f>IF(L48=0,H38,F36)</f>
        <v>#REF!</v>
      </c>
      <c r="G35" s="11" t="e">
        <f>IF(L48=0,H42,H41)</f>
        <v>#REF!</v>
      </c>
      <c r="H35" s="14" t="e">
        <f>IF(I32=0,H36,I31)</f>
        <v>#REF!</v>
      </c>
      <c r="I35" s="33" t="e">
        <f>IF(J32=0,K31,J31)</f>
        <v>#REF!</v>
      </c>
      <c r="J35" s="11" t="e">
        <f>IF(K32=0,0,L31)</f>
        <v>#REF!</v>
      </c>
      <c r="K35" s="4"/>
      <c r="L35" s="14" t="e">
        <f>SUM(A32:K32)</f>
        <v>#REF!</v>
      </c>
    </row>
    <row r="36" spans="1:12">
      <c r="A36" s="11" t="e">
        <f>IF(E32=0,A37,E31)</f>
        <v>#REF!</v>
      </c>
      <c r="B36" s="4"/>
      <c r="C36" s="4"/>
      <c r="D36" s="11" t="e">
        <f>IF(F32=0,D37,F31)</f>
        <v>#REF!</v>
      </c>
      <c r="E36" s="33" t="e">
        <f>IF(G32=0,H34,G31)</f>
        <v>#REF!</v>
      </c>
      <c r="F36" s="33" t="e">
        <f>IF(G32=0,H34,H31)</f>
        <v>#REF!</v>
      </c>
      <c r="G36" s="11" t="e">
        <f>IF(L48=0,0,G39)</f>
        <v>#REF!</v>
      </c>
      <c r="H36" s="14" t="e">
        <f>IF(J32=0,K31,J31)</f>
        <v>#REF!</v>
      </c>
      <c r="I36" s="11" t="e">
        <f>IF(L46=3,K31,IF(L46=2,L31,IF(L46=1,0)))</f>
        <v>#REF!</v>
      </c>
      <c r="J36" s="4"/>
      <c r="K36" s="4"/>
      <c r="L36" s="14" t="e">
        <f>SUM(A32:J32)</f>
        <v>#REF!</v>
      </c>
    </row>
    <row r="37" spans="1:12">
      <c r="A37" s="11" t="e">
        <f>IF(F32=0,A38,F31)</f>
        <v>#REF!</v>
      </c>
      <c r="B37" s="4"/>
      <c r="C37" s="4"/>
      <c r="D37" s="11" t="e">
        <f>IF(G32=0,H34,G31)</f>
        <v>#REF!</v>
      </c>
      <c r="E37" s="33" t="e">
        <f>IF(F32=0,E38,F31)</f>
        <v>#REF!</v>
      </c>
      <c r="F37" s="11" t="e">
        <f>IF(L49=0,F38,F39)</f>
        <v>#REF!</v>
      </c>
      <c r="G37" s="11" t="e">
        <f>IF(L49=0,H41,H38)</f>
        <v>#REF!</v>
      </c>
      <c r="H37" s="11" t="e">
        <f>IF(I32=0,J31,I31)</f>
        <v>#REF!</v>
      </c>
      <c r="I37" s="11" t="e">
        <f>IF(L49=0,0,I38)</f>
        <v>#REF!</v>
      </c>
      <c r="J37" s="4"/>
      <c r="K37" s="4"/>
      <c r="L37" s="14" t="e">
        <f>SUM(A32:I32)</f>
        <v>#REF!</v>
      </c>
    </row>
    <row r="38" spans="1:12">
      <c r="A38" s="11" t="e">
        <f>IF(G32=0,A39,G31)</f>
        <v>#REF!</v>
      </c>
      <c r="B38" s="4"/>
      <c r="C38" s="4"/>
      <c r="D38" s="32" t="e">
        <f>IF(F31=0,D39,D42)</f>
        <v>#REF!</v>
      </c>
      <c r="E38" s="33" t="e">
        <f>IF(G32=0,H31,G31)</f>
        <v>#REF!</v>
      </c>
      <c r="F38" s="11" t="e">
        <f>IF(G31=0,H41,H38)</f>
        <v>#REF!</v>
      </c>
      <c r="G38" s="14" t="e">
        <f>IF(L49=0,H42,G35)</f>
        <v>#REF!</v>
      </c>
      <c r="H38" s="32" t="e">
        <f>IF(L47=0,0,IF(L47=1,L31,IF(L47=2,H39,IF(L47=3,J31))))</f>
        <v>#REF!</v>
      </c>
      <c r="I38" s="11" t="e">
        <f>IF(L48=0,0,I39)</f>
        <v>#REF!</v>
      </c>
      <c r="J38" s="4"/>
      <c r="K38" s="4"/>
      <c r="L38" s="33" t="e">
        <f>SUM(A32:H32)</f>
        <v>#REF!</v>
      </c>
    </row>
    <row r="39" spans="1:12">
      <c r="A39" s="11" t="e">
        <f>IF(I32=0,A40,I31)</f>
        <v>#REF!</v>
      </c>
      <c r="B39" s="4"/>
      <c r="C39" s="4"/>
      <c r="D39" s="32" t="e">
        <f>IF(G31=0,H38,H31)</f>
        <v>#REF!</v>
      </c>
      <c r="E39" s="14" t="e">
        <f>IF(L49=2,E40,E43)</f>
        <v>#REF!</v>
      </c>
      <c r="F39" s="32" t="e">
        <f>IF(L48=0,H41,F40)</f>
        <v>#REF!</v>
      </c>
      <c r="G39" s="11" t="e">
        <f>IF(L49=0,0,H42)</f>
        <v>#REF!</v>
      </c>
      <c r="H39" s="11" t="e">
        <f>IF(I32=0,K31,H40)</f>
        <v>#REF!</v>
      </c>
      <c r="I39" s="11" t="e">
        <f>IF(L47=3,L31,I40)</f>
        <v>#REF!</v>
      </c>
      <c r="J39" s="4"/>
      <c r="K39" s="4"/>
      <c r="L39" s="11" t="e">
        <f>SUM(A32:G32)</f>
        <v>#REF!</v>
      </c>
    </row>
    <row r="40" spans="1:12">
      <c r="A40" s="11" t="e">
        <f>IF(J32=0,A41,J31)</f>
        <v>#REF!</v>
      </c>
      <c r="B40" s="4"/>
      <c r="C40" s="4"/>
      <c r="D40" s="32" t="e">
        <f>IF(F32=0,D41,F31)</f>
        <v>#REF!</v>
      </c>
      <c r="E40" s="11" t="e">
        <f>IF(F32=0,E41,E42)</f>
        <v>#REF!</v>
      </c>
      <c r="F40" s="32" t="e">
        <f>IF(G32=0,H38,H34)</f>
        <v>#REF!</v>
      </c>
      <c r="G40" s="4"/>
      <c r="H40" s="11" t="e">
        <f>IF(J32=0,K31,J31)</f>
        <v>#REF!</v>
      </c>
      <c r="I40" s="11" t="e">
        <f>IF(L47=2,L31,0)</f>
        <v>#REF!</v>
      </c>
      <c r="J40" s="4"/>
      <c r="K40" s="4"/>
      <c r="L40" s="11" t="e">
        <f>SUM(A32:F32)</f>
        <v>#REF!</v>
      </c>
    </row>
    <row r="41" spans="1:12">
      <c r="A41" s="11" t="e">
        <f>IF(K32=0,0,K31)</f>
        <v>#REF!</v>
      </c>
      <c r="B41" s="4"/>
      <c r="C41" s="4"/>
      <c r="D41" s="32" t="e">
        <f>IF(G32=0,H31,G31)</f>
        <v>#REF!</v>
      </c>
      <c r="E41" s="11" t="e">
        <f>IF(G32=0,H38,H31)</f>
        <v>#REF!</v>
      </c>
      <c r="F41" s="14" t="e">
        <f>IF(L49=0,F43,F42)</f>
        <v>#REF!</v>
      </c>
      <c r="G41" s="4"/>
      <c r="H41" s="32" t="e">
        <f>IF(L47=3,K31,IF(L47=2,L31,0))</f>
        <v>#REF!</v>
      </c>
      <c r="I41" s="4"/>
      <c r="J41" s="4"/>
      <c r="K41" s="4"/>
      <c r="L41" s="33" t="e">
        <f>SUM(A32:E32)</f>
        <v>#REF!</v>
      </c>
    </row>
    <row r="42" spans="1:12">
      <c r="A42" s="4"/>
      <c r="B42" s="4"/>
      <c r="C42" s="4"/>
      <c r="D42" s="32" t="e">
        <f>IF(G32=0,H31,G31)</f>
        <v>#REF!</v>
      </c>
      <c r="E42" s="11" t="e">
        <f>IF(G32=0,H31,G31)</f>
        <v>#REF!</v>
      </c>
      <c r="F42" s="14" t="e">
        <f>IF(G32=0,H41,H38)</f>
        <v>#REF!</v>
      </c>
      <c r="G42" s="4"/>
      <c r="H42" s="33" t="e">
        <f>IF(L47=3,L31,0)</f>
        <v>#REF!</v>
      </c>
      <c r="I42" s="4"/>
      <c r="J42" s="4"/>
      <c r="K42" s="4"/>
      <c r="L42" s="10" t="e">
        <f>SUM(A32:D32)</f>
        <v>#REF!</v>
      </c>
    </row>
    <row r="43" spans="1:12">
      <c r="A43" s="4"/>
      <c r="B43" s="4"/>
      <c r="C43" s="4"/>
      <c r="D43" s="11" t="e">
        <f>IF(L48=3,H31,IF(L48=2,H34,IF(L48=1,H38,IF(L48=0,H42))))</f>
        <v>#REF!</v>
      </c>
      <c r="E43" s="14" t="e">
        <f>IF(F32=0,E44,E45)</f>
        <v>#REF!</v>
      </c>
      <c r="F43" s="14" t="e">
        <f>IF(G31=0,H42,H41)</f>
        <v>#REF!</v>
      </c>
      <c r="G43" s="4"/>
      <c r="H43" s="14" t="e">
        <f>IF(L49=0,H42,H41)</f>
        <v>#REF!</v>
      </c>
      <c r="I43" s="4"/>
      <c r="J43" s="4"/>
      <c r="K43" s="4"/>
      <c r="L43" s="10" t="e">
        <f>SUM(A32:C32)</f>
        <v>#REF!</v>
      </c>
    </row>
    <row r="44" spans="1:12">
      <c r="A44" s="4"/>
      <c r="B44" s="4"/>
      <c r="C44" s="4"/>
      <c r="D44" s="4"/>
      <c r="E44" s="14" t="e">
        <f>IF(G32=0,H34,H31)</f>
        <v>#REF!</v>
      </c>
      <c r="F44" s="14" t="e">
        <f>IF(G31=0,0,H42)</f>
        <v>#REF!</v>
      </c>
      <c r="G44" s="4"/>
      <c r="H44" s="11" t="e">
        <f>IF(L49=0,0,H42)</f>
        <v>#REF!</v>
      </c>
      <c r="I44" s="4"/>
      <c r="J44" s="4"/>
      <c r="K44" s="4"/>
      <c r="L44" s="10" t="e">
        <f>SUM(A32:B32)</f>
        <v>#REF!</v>
      </c>
    </row>
    <row r="45" spans="1:12">
      <c r="A45" s="4"/>
      <c r="B45" s="4"/>
      <c r="C45" s="4"/>
      <c r="D45" s="4"/>
      <c r="E45" s="14" t="e">
        <f>IF(G32=0,H31,G31)</f>
        <v>#REF!</v>
      </c>
      <c r="F45" s="4"/>
      <c r="G45" s="4"/>
      <c r="H45" s="4"/>
      <c r="I45" s="4"/>
      <c r="J45" s="4"/>
      <c r="K45" s="4"/>
      <c r="L45" s="10" t="e">
        <f>SUM(A32)</f>
        <v>#REF!</v>
      </c>
    </row>
    <row r="46" spans="1:12">
      <c r="A46" s="4"/>
      <c r="B46" s="4"/>
      <c r="C46" s="4"/>
      <c r="D46" s="4"/>
      <c r="E46" s="33" t="e">
        <f>IF(F32=0,E47,E48)</f>
        <v>#REF!</v>
      </c>
      <c r="F46" s="4"/>
      <c r="G46" s="4"/>
      <c r="H46" s="4"/>
      <c r="I46" s="4"/>
      <c r="J46" s="4"/>
      <c r="K46" s="4"/>
      <c r="L46" s="11" t="e">
        <f>SUM(J32:L32)</f>
        <v>#REF!</v>
      </c>
    </row>
    <row r="47" spans="1:12">
      <c r="A47" s="4"/>
      <c r="B47" s="4"/>
      <c r="C47" s="4"/>
      <c r="D47" s="4"/>
      <c r="E47" s="33" t="e">
        <f>IF(G32=0,H41,H34)</f>
        <v>#REF!</v>
      </c>
      <c r="F47" s="4"/>
      <c r="G47" s="4"/>
      <c r="H47" s="4"/>
      <c r="I47" s="4"/>
      <c r="J47" s="4"/>
      <c r="K47" s="4"/>
      <c r="L47" s="33" t="e">
        <f>SUM(I32:K32)</f>
        <v>#REF!</v>
      </c>
    </row>
    <row r="48" spans="1:12">
      <c r="A48" s="4"/>
      <c r="B48" s="4"/>
      <c r="C48" s="4"/>
      <c r="D48" s="4"/>
      <c r="E48" s="33" t="e">
        <f>IF(G31=0,H34,H31)</f>
        <v>#REF!</v>
      </c>
      <c r="F48" s="4"/>
      <c r="G48" s="4"/>
      <c r="H48" s="4"/>
      <c r="I48" s="4"/>
      <c r="J48" s="4"/>
      <c r="K48" s="4"/>
      <c r="L48" s="10" t="e">
        <f>SUM(E32:G32)</f>
        <v>#REF!</v>
      </c>
    </row>
    <row r="49" spans="1:12">
      <c r="A49" s="4"/>
      <c r="B49" s="4"/>
      <c r="C49" s="4"/>
      <c r="D49" s="4"/>
      <c r="E49" s="32" t="e">
        <f>IF(F31=0,E50,E51)</f>
        <v>#REF!</v>
      </c>
      <c r="F49" s="4"/>
      <c r="G49" s="4"/>
      <c r="H49" s="4"/>
      <c r="I49" s="4"/>
      <c r="J49" s="4"/>
      <c r="K49" s="4"/>
      <c r="L49" s="33" t="e">
        <f>SUM(A32:C32)</f>
        <v>#REF!</v>
      </c>
    </row>
    <row r="50" spans="1:12">
      <c r="A50" s="4"/>
      <c r="B50" s="4"/>
      <c r="C50" s="4"/>
      <c r="D50" s="4"/>
      <c r="E50" s="32" t="e">
        <f>IF(G31=0,0,H41)</f>
        <v>#REF!</v>
      </c>
      <c r="F50" s="4"/>
      <c r="G50" s="4"/>
      <c r="H50" s="4"/>
      <c r="I50" s="4"/>
      <c r="J50" s="4"/>
      <c r="K50" s="4"/>
      <c r="L50" s="4"/>
    </row>
    <row r="51" spans="1:12">
      <c r="A51" s="4"/>
      <c r="B51" s="4"/>
      <c r="C51" s="4"/>
      <c r="D51" s="4"/>
      <c r="E51" s="32" t="e">
        <f>IF(G32=0,H41,H38)</f>
        <v>#REF!</v>
      </c>
      <c r="F51" s="4"/>
      <c r="G51" s="4"/>
      <c r="H51" s="4"/>
      <c r="I51" s="4"/>
      <c r="J51" s="4"/>
      <c r="K51" s="4"/>
      <c r="L51" s="4"/>
    </row>
    <row r="52" spans="1:12">
      <c r="A52" s="4"/>
      <c r="B52" s="4"/>
      <c r="C52" s="4"/>
      <c r="D52" s="4"/>
      <c r="E52" s="33" t="e">
        <f>IF(L49=0,E53,E46)</f>
        <v>#REF!</v>
      </c>
      <c r="F52" s="4"/>
      <c r="G52" s="4"/>
      <c r="H52" s="4"/>
      <c r="I52" s="4"/>
      <c r="J52" s="4"/>
      <c r="K52" s="4"/>
      <c r="L52" s="4"/>
    </row>
    <row r="53" spans="1:12">
      <c r="A53" s="4"/>
      <c r="B53" s="4"/>
      <c r="C53" s="4"/>
      <c r="D53" s="4"/>
      <c r="E53" s="33" t="e">
        <f>IF(L48=3,H34,IF(L48=2,H38,IF(L48=1,H41,0)))</f>
        <v>#REF!</v>
      </c>
      <c r="F53" s="4"/>
      <c r="G53" s="4"/>
      <c r="H53" s="4"/>
      <c r="I53" s="4"/>
      <c r="J53" s="4"/>
      <c r="K53" s="4"/>
      <c r="L53" s="4"/>
    </row>
    <row r="54" spans="1:12">
      <c r="A54" s="8" t="e">
        <f t="shared" ref="A54:L54" si="2">LEN(A33)</f>
        <v>#REF!</v>
      </c>
      <c r="B54" s="8" t="e">
        <f t="shared" si="2"/>
        <v>#REF!</v>
      </c>
      <c r="C54" s="8" t="e">
        <f t="shared" si="2"/>
        <v>#REF!</v>
      </c>
      <c r="D54" s="8" t="e">
        <f t="shared" si="2"/>
        <v>#REF!</v>
      </c>
      <c r="E54" s="8" t="e">
        <f t="shared" si="2"/>
        <v>#REF!</v>
      </c>
      <c r="F54" s="8" t="e">
        <f t="shared" si="2"/>
        <v>#REF!</v>
      </c>
      <c r="G54" s="8" t="e">
        <f t="shared" si="2"/>
        <v>#REF!</v>
      </c>
      <c r="H54" s="8" t="e">
        <f t="shared" si="2"/>
        <v>#REF!</v>
      </c>
      <c r="I54" s="8" t="e">
        <f t="shared" si="2"/>
        <v>#REF!</v>
      </c>
      <c r="J54" s="8" t="e">
        <f t="shared" si="2"/>
        <v>#REF!</v>
      </c>
      <c r="K54" s="8" t="e">
        <f t="shared" si="2"/>
        <v>#REF!</v>
      </c>
      <c r="L54" s="8" t="e">
        <f t="shared" si="2"/>
        <v>#REF!</v>
      </c>
    </row>
    <row r="55" spans="1:12">
      <c r="A55" s="11"/>
      <c r="B55" s="11"/>
      <c r="C55" s="11"/>
      <c r="D55" s="11"/>
      <c r="E55" s="11" t="e">
        <f>SUM(A54:E54)</f>
        <v>#REF!</v>
      </c>
      <c r="F55" s="11" t="e">
        <f>SUM(A54:F54)</f>
        <v>#REF!</v>
      </c>
      <c r="G55" s="11" t="e">
        <f>SUM(A54:G54)</f>
        <v>#REF!</v>
      </c>
      <c r="H55" s="11" t="e">
        <f>SUM(A54:H54)</f>
        <v>#REF!</v>
      </c>
      <c r="I55" s="11" t="e">
        <f>SUM(A54:I54)</f>
        <v>#REF!</v>
      </c>
      <c r="J55" s="11" t="e">
        <f>SUM(A54:J54)</f>
        <v>#REF!</v>
      </c>
      <c r="K55" s="11" t="e">
        <f>SUM(A54:K54)</f>
        <v>#REF!</v>
      </c>
      <c r="L55" s="11" t="e">
        <f>SUM(A54:L54)</f>
        <v>#REF!</v>
      </c>
    </row>
    <row r="56" spans="1:12">
      <c r="A56" s="10" t="e">
        <f>IF(A33=0,"    ",A33)</f>
        <v>#REF!</v>
      </c>
      <c r="B56" s="10" t="e">
        <f>IF(B33=0,"    ",B33)</f>
        <v>#REF!</v>
      </c>
      <c r="C56" s="10" t="e">
        <f t="shared" ref="C56:K56" si="3">IF(C33=0," ",C33)</f>
        <v>#REF!</v>
      </c>
      <c r="D56" s="10" t="e">
        <f t="shared" si="3"/>
        <v>#REF!</v>
      </c>
      <c r="E56" s="10" t="e">
        <f t="shared" si="3"/>
        <v>#REF!</v>
      </c>
      <c r="F56" s="10" t="e">
        <f t="shared" si="3"/>
        <v>#REF!</v>
      </c>
      <c r="G56" s="10" t="e">
        <f t="shared" si="3"/>
        <v>#REF!</v>
      </c>
      <c r="H56" s="10" t="e">
        <f t="shared" si="3"/>
        <v>#REF!</v>
      </c>
      <c r="I56" s="10" t="e">
        <f t="shared" si="3"/>
        <v>#REF!</v>
      </c>
      <c r="J56" s="10" t="e">
        <f t="shared" si="3"/>
        <v>#REF!</v>
      </c>
      <c r="K56" s="10" t="e">
        <f t="shared" si="3"/>
        <v>#REF!</v>
      </c>
      <c r="L56" s="10" t="str">
        <f>IF(B61=0,"    ",B61)</f>
        <v>qəp.</v>
      </c>
    </row>
    <row r="57" spans="1:12">
      <c r="A57" s="10" t="e">
        <f>CONCATENATE(D57,A56,B56,C56,D56,E56,F56,G56,H56,I56,J56,L56,K56)</f>
        <v>#REF!</v>
      </c>
      <c r="B57" s="10"/>
      <c r="C57" s="10"/>
      <c r="D57" s="10" t="s">
        <v>82</v>
      </c>
      <c r="E57" s="10"/>
      <c r="F57" s="10"/>
      <c r="G57" s="10"/>
      <c r="H57" s="10"/>
      <c r="I57" s="10"/>
      <c r="J57" s="10"/>
      <c r="K57" s="10"/>
      <c r="L57" s="10"/>
    </row>
    <row r="58" spans="1:12">
      <c r="A58" s="36"/>
      <c r="B58" s="37">
        <f>ROUND(A58,0)</f>
        <v>0</v>
      </c>
    </row>
    <row r="59" spans="1:12">
      <c r="A59" s="6" t="s">
        <v>83</v>
      </c>
      <c r="B59" s="38" t="e">
        <f>M13/6</f>
        <v>#REF!</v>
      </c>
      <c r="C59" s="6" t="s">
        <v>84</v>
      </c>
      <c r="D59" s="39"/>
    </row>
    <row r="60" spans="1:12">
      <c r="A60" s="13" t="e">
        <f>CONCATENATE(A59,B59,C59)</f>
        <v>#REF!</v>
      </c>
      <c r="D60" s="39"/>
    </row>
    <row r="61" spans="1:12">
      <c r="A61" s="6" t="e">
        <f>(M5-M8)*100</f>
        <v>#REF!</v>
      </c>
      <c r="B61" s="6" t="s">
        <v>85</v>
      </c>
      <c r="D61" s="39"/>
    </row>
    <row r="62" spans="1:12">
      <c r="A62" s="19">
        <f>M11</f>
        <v>0</v>
      </c>
      <c r="B62" s="12">
        <f>M12/6</f>
        <v>0</v>
      </c>
      <c r="D62" s="39"/>
    </row>
    <row r="63" spans="1:12">
      <c r="A63" s="40" t="str">
        <f>CONCATENATE(B62,C59)</f>
        <v>0ман.</v>
      </c>
    </row>
    <row r="64" spans="1:12">
      <c r="A64" s="6" t="e">
        <f>CONCATENATE(A56,B56)</f>
        <v>#REF!</v>
      </c>
      <c r="L64" s="6" t="e">
        <f>IF(L33=0,"    ",L33)</f>
        <v>#REF!</v>
      </c>
    </row>
  </sheetData>
  <sheetProtection sheet="1" objects="1" scenarios="1"/>
  <phoneticPr fontId="5" type="noConversion"/>
  <pageMargins left="0.75" right="0.75" top="1" bottom="1" header="0.5" footer="0.5"/>
  <pageSetup paperSize="9" orientation="portrait" r:id="rId1"/>
  <headerFooter alignWithMargin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codeName="Sheet16"/>
  <dimension ref="A1:P64"/>
  <sheetViews>
    <sheetView topLeftCell="A43" workbookViewId="0"/>
  </sheetViews>
  <sheetFormatPr defaultRowHeight="12.75"/>
  <cols>
    <col min="1" max="1" width="35" style="6" customWidth="1"/>
    <col min="2" max="2" width="11.140625" style="6" customWidth="1"/>
    <col min="3" max="3" width="13.28515625" style="6" customWidth="1"/>
    <col min="4" max="4" width="13.5703125" style="6" customWidth="1"/>
    <col min="5" max="5" width="12.42578125" style="6" customWidth="1"/>
    <col min="6" max="6" width="12.7109375" style="6" customWidth="1"/>
    <col min="7" max="7" width="10.28515625" style="6" customWidth="1"/>
    <col min="8" max="8" width="13.28515625" style="6" customWidth="1"/>
    <col min="9" max="9" width="10.5703125" style="6" customWidth="1"/>
    <col min="10" max="11" width="7.5703125" style="6" customWidth="1"/>
    <col min="12" max="12" width="6.7109375" style="6" customWidth="1"/>
    <col min="13" max="13" width="18.140625" style="6" customWidth="1"/>
    <col min="14" max="14" width="8.42578125" style="6" customWidth="1"/>
    <col min="15" max="15" width="9.140625" style="6"/>
    <col min="16" max="16" width="8.42578125" style="6" customWidth="1"/>
    <col min="17" max="16384" width="9.140625" style="6"/>
  </cols>
  <sheetData>
    <row r="1" spans="1:16" ht="13.5" thickBot="1">
      <c r="A1" s="2" t="e">
        <f>M8</f>
        <v>#REF!</v>
      </c>
      <c r="B1" s="3"/>
      <c r="C1" s="3"/>
      <c r="D1" s="3"/>
      <c r="E1" s="3"/>
      <c r="F1" s="3"/>
      <c r="G1" s="3"/>
      <c r="H1" s="3"/>
      <c r="I1" s="3"/>
      <c r="J1" s="4"/>
      <c r="K1" s="5"/>
      <c r="L1" s="4"/>
    </row>
    <row r="2" spans="1:16">
      <c r="A2" s="7" t="e">
        <f>(MOD(A1,1000000000)-MOD(A1,100000000))/100000000</f>
        <v>#REF!</v>
      </c>
      <c r="B2" s="7" t="e">
        <f>(MOD(A1,100000000)-MOD(A1,10000000))/10000000</f>
        <v>#REF!</v>
      </c>
      <c r="C2" s="7" t="e">
        <f>(MOD(A1,10000000)-MOD(A1,1000000))/1000000</f>
        <v>#REF!</v>
      </c>
      <c r="D2" s="7" t="e">
        <f>(MOD(A1,1000000)-MOD(A1,100000))/100000</f>
        <v>#REF!</v>
      </c>
      <c r="E2" s="7" t="e">
        <f>(MOD(A1,100000)-MOD(A1,10000))/10000</f>
        <v>#REF!</v>
      </c>
      <c r="F2" s="7" t="e">
        <f>(MOD(A1,10000)-MOD(A1,1000))/1000</f>
        <v>#REF!</v>
      </c>
      <c r="G2" s="7" t="e">
        <f>(MOD(A1,1000)-MOD(A1,100))/100</f>
        <v>#REF!</v>
      </c>
      <c r="H2" s="7" t="e">
        <f>(MOD(A1,100)-MOD(A1,10))/10</f>
        <v>#REF!</v>
      </c>
      <c r="I2" s="7" t="e">
        <f>MOD(A1,10)</f>
        <v>#REF!</v>
      </c>
      <c r="J2" s="4"/>
      <c r="K2" s="5"/>
      <c r="L2" s="4"/>
      <c r="M2" s="6" t="e">
        <f>IF(H2=1," ",IF(I2=1," ",IF(N2=TRUE," "," ")))</f>
        <v>#REF!</v>
      </c>
      <c r="N2" s="6" t="e">
        <f>OR(I2=2,I2=3,I2=4)</f>
        <v>#REF!</v>
      </c>
      <c r="P2" s="6" t="b">
        <f>OR(K2=2,K2=3,K2=4)</f>
        <v>0</v>
      </c>
    </row>
    <row r="3" spans="1:16">
      <c r="A3" s="8" t="e">
        <f>IF(A2=0,0,A5)</f>
        <v>#REF!</v>
      </c>
      <c r="B3" s="8" t="e">
        <f t="shared" ref="B3:I3" si="0">IF(B2=0,0,B4)</f>
        <v>#REF!</v>
      </c>
      <c r="C3" s="9" t="e">
        <f t="shared" si="0"/>
        <v>#REF!</v>
      </c>
      <c r="D3" s="8" t="e">
        <f t="shared" si="0"/>
        <v>#REF!</v>
      </c>
      <c r="E3" s="8" t="e">
        <f t="shared" si="0"/>
        <v>#REF!</v>
      </c>
      <c r="F3" s="9" t="e">
        <f t="shared" si="0"/>
        <v>#REF!</v>
      </c>
      <c r="G3" s="8" t="e">
        <f t="shared" si="0"/>
        <v>#REF!</v>
      </c>
      <c r="H3" s="8" t="e">
        <f t="shared" si="0"/>
        <v>#REF!</v>
      </c>
      <c r="I3" s="9" t="e">
        <f t="shared" si="0"/>
        <v>#REF!</v>
      </c>
      <c r="J3" s="4"/>
      <c r="K3" s="5"/>
      <c r="L3" s="4"/>
      <c r="M3" s="6" t="e">
        <f>IF(E2=1," min",IF(F2=1," min",IF(N3=TRUE," min"," min")))</f>
        <v>#REF!</v>
      </c>
      <c r="N3" s="6" t="e">
        <f>OR(F2=2,F2=3,F2=4)</f>
        <v>#REF!</v>
      </c>
      <c r="P3" s="6" t="e">
        <f>OR(H2=2,H2=3,H2=4)</f>
        <v>#REF!</v>
      </c>
    </row>
    <row r="4" spans="1:16">
      <c r="A4" s="10"/>
      <c r="B4" s="10" t="e">
        <f>IF(A1&gt;99999999,B5,B6)</f>
        <v>#REF!</v>
      </c>
      <c r="C4" s="10" t="e">
        <f>IF(B2=1,0,C5)</f>
        <v>#REF!</v>
      </c>
      <c r="D4" s="10" t="e">
        <f>IF(A1&gt;999999,D5,D7)</f>
        <v>#REF!</v>
      </c>
      <c r="E4" s="10" t="e">
        <f>IF(A1&gt;99999,E5,E6)</f>
        <v>#REF!</v>
      </c>
      <c r="F4" s="10" t="e">
        <f>IF(E2=1,0,F5)</f>
        <v>#REF!</v>
      </c>
      <c r="G4" s="10" t="e">
        <f>IF(A1&gt;999,G5,G7)</f>
        <v>#REF!</v>
      </c>
      <c r="H4" s="10" t="e">
        <f>IF(A1&gt;99,H5,H6)</f>
        <v>#REF!</v>
      </c>
      <c r="I4" s="10" t="e">
        <f>IF(H2=1,0,I5)</f>
        <v>#REF!</v>
      </c>
      <c r="J4" s="4"/>
      <c r="K4" s="5"/>
      <c r="L4" s="4"/>
      <c r="M4" s="6" t="e">
        <f>IF(B2=1," milyon",IF(C2=1," milyon",IF(N4=TRUE," milyon"," milyon")))</f>
        <v>#REF!</v>
      </c>
      <c r="N4" s="6" t="e">
        <f>OR(C2=2,C2=3,C2=4)</f>
        <v>#REF!</v>
      </c>
      <c r="P4" s="6" t="e">
        <f>OR(E2=2,E2=3,E2=4)</f>
        <v>#REF!</v>
      </c>
    </row>
    <row r="5" spans="1:16">
      <c r="A5" s="11" t="e">
        <f>IF(A2=1,H20,IF(A2=2,H21,IF(A2=3,H22,IF(A2=4,H23,IF(A2=5,H24,IF(A2=6,H25,IF(A2=7,H26,IF(A2&gt;7,A6))))))))</f>
        <v>#REF!</v>
      </c>
      <c r="B5" s="10" t="e">
        <f>IF(B2=1,B7,B11)</f>
        <v>#REF!</v>
      </c>
      <c r="C5" s="10" t="e">
        <f>IF(A1&gt;9999999,C6,C7)</f>
        <v>#REF!</v>
      </c>
      <c r="D5" s="11" t="e">
        <f>IF(D2=1,I20,IF(D2=2,I21,IF(D2=3,I22,IF(D2=4,I23,IF(D2=5,I24,IF(D2=6,I25,IF(D2=7,I26,IF(D2&gt;7,D6))))))))</f>
        <v>#REF!</v>
      </c>
      <c r="E5" s="10" t="e">
        <f>IF(E2=1,E7,E11)</f>
        <v>#REF!</v>
      </c>
      <c r="F5" s="10" t="e">
        <f>IF(A1&gt;9999,F6,F7)</f>
        <v>#REF!</v>
      </c>
      <c r="G5" s="11" t="e">
        <f>IF(G2=1,I20,IF(G2=2,I21,IF(G2=3,I22,IF(G2=4,I23,IF(G2=5,I24,IF(G2=6,I25,IF(G2=7,I26,IF(G2&gt;7,G6))))))))</f>
        <v>#REF!</v>
      </c>
      <c r="H5" s="10" t="e">
        <f>IF(H2=1,H7,H11)</f>
        <v>#REF!</v>
      </c>
      <c r="I5" s="10" t="e">
        <f>IF(A1&gt;9,I6,I7)</f>
        <v>#REF!</v>
      </c>
      <c r="J5" s="4"/>
      <c r="K5" s="5"/>
      <c r="L5" s="4"/>
      <c r="M5" s="12" t="e">
        <f>#REF!</f>
        <v>#REF!</v>
      </c>
    </row>
    <row r="6" spans="1:16">
      <c r="A6" s="11" t="e">
        <f>IF(A2=8,H27,IF(A2=9,H28))</f>
        <v>#REF!</v>
      </c>
      <c r="B6" s="10" t="e">
        <f>IF(B2=1,B9,B12)</f>
        <v>#REF!</v>
      </c>
      <c r="C6" s="10" t="e">
        <f>IF(C2=1,B20,IF(C2=2,B21,IF(C2=3,B22,IF(C2=4,B23,IF(C2=5,B24,IF(C2=6,B25,IF(C2=7,B26,IF(C2&gt;7,C8))))))))</f>
        <v>#REF!</v>
      </c>
      <c r="D6" s="11" t="e">
        <f>IF(D2=8,I27,IF(D2=9,I28))</f>
        <v>#REF!</v>
      </c>
      <c r="E6" s="10" t="e">
        <f>IF(E2=1,E9,E12)</f>
        <v>#REF!</v>
      </c>
      <c r="F6" s="10" t="e">
        <f>IF(F2=1,G22,IF(F2=2,G23,IF(F2=3,B22,IF(F2=4,B23,IF(F2=5,B24,IF(F2=6,B25,IF(F2=7,B26,IF(F2&gt;7,F8))))))))</f>
        <v>#REF!</v>
      </c>
      <c r="G6" s="11" t="e">
        <f>IF(G2=8,I27,IF(G2=9,I28))</f>
        <v>#REF!</v>
      </c>
      <c r="H6" s="10" t="e">
        <f>IF(H2=1,H9,H12)</f>
        <v>#REF!</v>
      </c>
      <c r="I6" s="10" t="e">
        <f>IF(I2=1,B20,IF(I2=2,B21,IF(I2=3,B22,IF(I2=4,B23,IF(I2=5,B24,IF(I2=6,B25,IF(I2=7,B26,IF(I2&gt;7,I8))))))))</f>
        <v>#REF!</v>
      </c>
      <c r="J6" s="4"/>
      <c r="K6" s="5"/>
      <c r="L6" s="4"/>
      <c r="M6" s="13" t="e">
        <f>CONCATENATE(M8,M9,M11)</f>
        <v>#REF!</v>
      </c>
    </row>
    <row r="7" spans="1:16">
      <c r="A7" s="4"/>
      <c r="B7" s="11" t="e">
        <f>IF(C2=0,F20,IF(C2=1,D20,IF(C2=2,D21,IF(C2=3,D22,IF(C2=4,D23,IF(C2=5,D24,IF(C2=6,D25,IF(C2&gt;6,B8))))))))</f>
        <v>#REF!</v>
      </c>
      <c r="C7" s="10" t="e">
        <f>IF(C2=1,A20,IF(C2=2,A21,IF(C2=3,A22,IF(C2=4,A23,IF(C2=5,A24,IF(C2=6,A25,IF(C2=7,A26,IF(C2&gt;7,C9))))))))</f>
        <v>#REF!</v>
      </c>
      <c r="D7" s="14" t="e">
        <f>IF(D2=1,H20,IF(D2=2,H21,IF(D2=3,H22,IF(D2=4,H23,IF(D2=5,H24,IF(D2=6,H25,IF(D2=7,H26,IF(D2&gt;7,D8))))))))</f>
        <v>#REF!</v>
      </c>
      <c r="E7" s="11" t="e">
        <f>IF(F2=0,F20,IF(F2=1,D20,IF(F2=2,D21,IF(F2=3,D22,IF(F2=4,D23,IF(F2=5,D24,IF(F2=6,D25,IF(F2&gt;6,E8))))))))</f>
        <v>#REF!</v>
      </c>
      <c r="F7" s="10" t="e">
        <f>IF(F2=1,G20,IF(F2=2,G21,IF(F2=3,A22,IF(F2=4,A23,IF(F2=5,A24,IF(F2=6,A25,IF(F2=7,A26,IF(F2&gt;7,F9))))))))</f>
        <v>#REF!</v>
      </c>
      <c r="G7" s="14" t="e">
        <f>IF(G2=1,H20,IF(G2=2,H21,IF(G2=3,H22,IF(G2=4,H23,IF(G2=5,H24,IF(G2=6,H25,IF(G2=7,H26,IF(G2&gt;7,G8))))))))</f>
        <v>#REF!</v>
      </c>
      <c r="H7" s="11" t="e">
        <f>IF(I2=0,F20,IF(I2=1,D20,IF(I2=2,D21,IF(I2=3,D22,IF(I2=4,D23,IF(I2=5,D24,IF(I2=6,D25,IF(I2&gt;6,H8))))))))</f>
        <v>#REF!</v>
      </c>
      <c r="I7" s="10" t="e">
        <f>IF(I2=1,A20,IF(I2=2,A21,IF(I2=3,A22,IF(I2=4,A23,IF(I2=5,A24,IF(I2=6,A25,IF(I2=7,A26,IF(I2&gt;7,I9))))))))</f>
        <v>#REF!</v>
      </c>
      <c r="J7" s="4"/>
      <c r="K7" s="5"/>
      <c r="L7" s="4"/>
      <c r="M7" s="15"/>
    </row>
    <row r="8" spans="1:16">
      <c r="A8" s="4"/>
      <c r="B8" s="11" t="e">
        <f>IF(C2=7,D26,IF(C2=8,D27,IF(C2=9,D28)))</f>
        <v>#REF!</v>
      </c>
      <c r="C8" s="10" t="e">
        <f>IF(C2=8,B27,IF(C2=9,B28))</f>
        <v>#REF!</v>
      </c>
      <c r="D8" s="14" t="e">
        <f>IF(D2=8,H27,IF(D2=9,H28))</f>
        <v>#REF!</v>
      </c>
      <c r="E8" s="11" t="e">
        <f>IF(F2=7,D26,IF(F2=8,D27,IF(F2=9,D28)))</f>
        <v>#REF!</v>
      </c>
      <c r="F8" s="10" t="e">
        <f>IF(F2=8,B27,IF(F2=9,B28))</f>
        <v>#REF!</v>
      </c>
      <c r="G8" s="14" t="e">
        <f>IF(G2=8,H27,IF(G2=9,H28))</f>
        <v>#REF!</v>
      </c>
      <c r="H8" s="11" t="e">
        <f>IF(I2=7,D26,IF(I2=8,D27,IF(I2=9,D28)))</f>
        <v>#REF!</v>
      </c>
      <c r="I8" s="10" t="e">
        <f>IF(I2=8,B27,IF(I2=9,B28))</f>
        <v>#REF!</v>
      </c>
      <c r="J8" s="4"/>
      <c r="K8" s="5"/>
      <c r="L8" s="4"/>
      <c r="M8" s="16" t="e">
        <f>TRUNC(M5,0)</f>
        <v>#REF!</v>
      </c>
    </row>
    <row r="9" spans="1:16">
      <c r="A9" s="4"/>
      <c r="B9" s="14" t="e">
        <f>IF(C2=0,E20,IF(C2=1,C20,IF(C2=2,C21,IF(C2=3,C22,IF(C2=4,C23,IF(C2=5,C24,IF(C2=6,C25,IF(C2&gt;6,B10))))))))</f>
        <v>#REF!</v>
      </c>
      <c r="C9" s="10" t="e">
        <f>IF(C2=8,A27,IF(C2=9,A28))</f>
        <v>#REF!</v>
      </c>
      <c r="D9" s="4"/>
      <c r="E9" s="14" t="e">
        <f>IF(F2=0,E20,IF(F2=1,C20,IF(F2=2,C21,IF(F2=3,C22,IF(F2=4,C23,IF(F2=5,C24,IF(F2=6,C25,IF(F2&gt;6,E10))))))))</f>
        <v>#REF!</v>
      </c>
      <c r="F9" s="10" t="e">
        <f>IF(F2=8,A27,IF(F2=9,A28))</f>
        <v>#REF!</v>
      </c>
      <c r="G9" s="4"/>
      <c r="H9" s="14" t="e">
        <f>IF(I2=0,E20,IF(I2=1,C20,IF(I2=2,C21,IF(I2=3,C22,IF(I2=4,C23,IF(I2=5,C24,IF(I2=6,C25,IF(I2&gt;6,H10))))))))</f>
        <v>#REF!</v>
      </c>
      <c r="I9" s="10" t="e">
        <f>IF(I2=8,A27,IF(I2=9,A28))</f>
        <v>#REF!</v>
      </c>
      <c r="J9" s="4"/>
      <c r="K9" s="5"/>
      <c r="L9" s="4"/>
      <c r="M9" s="17" t="s">
        <v>9</v>
      </c>
    </row>
    <row r="10" spans="1:16">
      <c r="A10" s="4"/>
      <c r="B10" s="14" t="e">
        <f>IF(C2=7,C26,IF(C2=8,C27,IF(C2=9,C28)))</f>
        <v>#REF!</v>
      </c>
      <c r="C10" s="4"/>
      <c r="D10" s="4"/>
      <c r="E10" s="14" t="e">
        <f>IF(F2=7,C26,IF(F2=8,C27,IF(F2=9,C28)))</f>
        <v>#REF!</v>
      </c>
      <c r="F10" s="4"/>
      <c r="G10" s="4"/>
      <c r="H10" s="14" t="e">
        <f>IF(I2=7,C26,IF(I2=8,C27,IF(I2=9,C28)))</f>
        <v>#REF!</v>
      </c>
      <c r="I10" s="4"/>
      <c r="J10" s="4"/>
      <c r="K10" s="5"/>
      <c r="L10" s="4"/>
      <c r="M10" s="18" t="e">
        <f>(M5-M8)*100</f>
        <v>#REF!</v>
      </c>
    </row>
    <row r="11" spans="1:16">
      <c r="A11" s="4"/>
      <c r="B11" s="11" t="e">
        <f>IF(B2=2,F21,IF(B2=3,F22,IF(B2=4,F23,IF(B2=5,F24,IF(B2=6,F25,IF(B2=7,F26,IF(B2=8,F27,IF(B2=9,F28))))))))</f>
        <v>#REF!</v>
      </c>
      <c r="C11" s="4"/>
      <c r="D11" s="4"/>
      <c r="E11" s="11" t="e">
        <f>IF(E2=2,F21,IF(E2=3,F22,IF(E2=4,F23,IF(E2=5,F24,IF(E2=6,F25,IF(E2=7,F26,IF(E2=8,F27,IF(E2=9,F28))))))))</f>
        <v>#REF!</v>
      </c>
      <c r="F11" s="4"/>
      <c r="G11" s="4"/>
      <c r="H11" s="11" t="e">
        <f>IF(H2=2,F21,IF(H2=3,F22,IF(H2=4,F23,IF(H2=5,F24,IF(H2=6,F25,IF(H2=7,F26,IF(H2=8,F27,IF(H2=9,F28))))))))</f>
        <v>#REF!</v>
      </c>
      <c r="I11" s="4"/>
      <c r="J11" s="4"/>
      <c r="K11" s="5"/>
      <c r="L11" s="4"/>
      <c r="M11" s="19"/>
    </row>
    <row r="12" spans="1:16">
      <c r="A12" s="4"/>
      <c r="B12" s="14" t="e">
        <f>IF(B2=2,E21,IF(B2=3,E22,IF(B2=4,E23,IF(B2=5,E24,IF(B2=6,E25,IF(B2=7,E26,IF(B2=8,E27,IF(B2=9,E28))))))))</f>
        <v>#REF!</v>
      </c>
      <c r="C12" s="4"/>
      <c r="D12" s="4"/>
      <c r="E12" s="14" t="e">
        <f>IF(E2=2,E21,IF(E2=3,E22,IF(E2=4,E23,IF(E2=5,E24,IF(E2=6,E25,IF(E2=7,E26,IF(E2=8,E27,IF(E2=9,E28))))))))</f>
        <v>#REF!</v>
      </c>
      <c r="F12" s="4"/>
      <c r="G12" s="4"/>
      <c r="H12" s="14" t="e">
        <f>IF(H2=2,E21,IF(H2=3,E22,IF(H2=4,E23,IF(H2=5,E24,IF(H2=6,E25,IF(H2=7,E26,IF(H2=8,E27,IF(H2=9,E28))))))))</f>
        <v>#REF!</v>
      </c>
      <c r="I12" s="4"/>
      <c r="J12" s="4"/>
      <c r="K12" s="5"/>
      <c r="L12" s="4"/>
      <c r="M12" s="12"/>
    </row>
    <row r="13" spans="1:16">
      <c r="A13" s="4"/>
      <c r="B13" s="4"/>
      <c r="C13" s="4"/>
      <c r="D13" s="4"/>
      <c r="E13" s="4"/>
      <c r="F13" s="4"/>
      <c r="G13" s="4"/>
      <c r="H13" s="4"/>
      <c r="I13" s="4"/>
      <c r="J13" s="4"/>
      <c r="K13" s="5"/>
      <c r="L13" s="4"/>
      <c r="M13" s="6" t="e">
        <f>M5+M11/100</f>
        <v>#REF!</v>
      </c>
    </row>
    <row r="14" spans="1:16">
      <c r="A14" s="4"/>
      <c r="B14" s="4"/>
      <c r="C14" s="4"/>
      <c r="D14" s="4"/>
      <c r="E14" s="4"/>
      <c r="F14" s="4"/>
      <c r="G14" s="4"/>
      <c r="H14" s="4"/>
      <c r="I14" s="4"/>
      <c r="J14" s="4"/>
      <c r="K14" s="5"/>
      <c r="L14" s="4"/>
      <c r="M14" s="20" t="e">
        <f>M13/6</f>
        <v>#REF!</v>
      </c>
    </row>
    <row r="15" spans="1:16">
      <c r="A15" s="4"/>
      <c r="B15" s="4"/>
      <c r="C15" s="4"/>
      <c r="D15" s="4"/>
      <c r="E15" s="4"/>
      <c r="F15" s="4"/>
      <c r="G15" s="4"/>
      <c r="H15" s="4"/>
      <c r="I15" s="4"/>
      <c r="J15" s="4"/>
      <c r="K15" s="5"/>
      <c r="L15" s="4"/>
      <c r="M15" s="21" t="e">
        <f>M13/6</f>
        <v>#REF!</v>
      </c>
    </row>
    <row r="16" spans="1:16">
      <c r="A16" s="4"/>
      <c r="B16" s="4"/>
      <c r="C16" s="4"/>
      <c r="D16" s="4"/>
      <c r="E16" s="4"/>
      <c r="F16" s="4"/>
      <c r="G16" s="4"/>
      <c r="H16" s="4"/>
      <c r="I16" s="4"/>
      <c r="J16" s="4"/>
      <c r="K16" s="5"/>
      <c r="L16" s="4"/>
      <c r="M16" s="22" t="e">
        <f>TRUNC(M15,0)</f>
        <v>#REF!</v>
      </c>
    </row>
    <row r="17" spans="1:13">
      <c r="A17" s="4"/>
      <c r="B17" s="4"/>
      <c r="C17" s="4"/>
      <c r="D17" s="4"/>
      <c r="E17" s="4"/>
      <c r="F17" s="4"/>
      <c r="G17" s="4"/>
      <c r="H17" s="4"/>
      <c r="I17" s="4"/>
      <c r="J17" s="4"/>
      <c r="K17" s="5"/>
      <c r="L17" s="4"/>
      <c r="M17" s="23" t="e">
        <f>M16</f>
        <v>#REF!</v>
      </c>
    </row>
    <row r="18" spans="1:13">
      <c r="A18" s="4"/>
      <c r="B18" s="4"/>
      <c r="C18" s="4"/>
      <c r="D18" s="4"/>
      <c r="E18" s="4"/>
      <c r="F18" s="4"/>
      <c r="G18" s="4"/>
      <c r="H18" s="4"/>
      <c r="I18" s="4"/>
      <c r="J18" s="4"/>
      <c r="K18" s="5"/>
      <c r="L18" s="4"/>
      <c r="M18" s="19" t="e">
        <f>(M15-M17)*100</f>
        <v>#REF!</v>
      </c>
    </row>
    <row r="19" spans="1:13">
      <c r="A19" s="4"/>
      <c r="B19" s="4"/>
      <c r="C19" s="4"/>
      <c r="D19" s="4"/>
      <c r="E19" s="4"/>
      <c r="F19" s="4"/>
      <c r="G19" s="4"/>
      <c r="H19" s="4"/>
      <c r="I19" s="4"/>
      <c r="J19" s="4"/>
      <c r="K19" s="5"/>
      <c r="L19" s="4"/>
      <c r="M19" s="24" t="e">
        <f>CONCATENATE(M17,M9,M18)</f>
        <v>#REF!</v>
      </c>
    </row>
    <row r="20" spans="1:13">
      <c r="A20" s="25" t="s">
        <v>10</v>
      </c>
      <c r="B20" s="25" t="s">
        <v>11</v>
      </c>
      <c r="C20" s="25" t="s">
        <v>12</v>
      </c>
      <c r="D20" s="25" t="s">
        <v>13</v>
      </c>
      <c r="E20" s="25" t="s">
        <v>14</v>
      </c>
      <c r="F20" s="25" t="s">
        <v>15</v>
      </c>
      <c r="G20" s="25" t="s">
        <v>10</v>
      </c>
      <c r="H20" s="25" t="s">
        <v>16</v>
      </c>
      <c r="I20" s="25" t="s">
        <v>17</v>
      </c>
      <c r="J20" s="4"/>
      <c r="K20" s="5"/>
      <c r="L20" s="4"/>
    </row>
    <row r="21" spans="1:13">
      <c r="A21" s="25" t="s">
        <v>18</v>
      </c>
      <c r="B21" s="25" t="s">
        <v>19</v>
      </c>
      <c r="C21" s="25" t="s">
        <v>20</v>
      </c>
      <c r="D21" s="25" t="s">
        <v>21</v>
      </c>
      <c r="E21" s="25" t="s">
        <v>22</v>
      </c>
      <c r="F21" s="25" t="s">
        <v>23</v>
      </c>
      <c r="G21" s="25" t="s">
        <v>18</v>
      </c>
      <c r="H21" s="25" t="s">
        <v>24</v>
      </c>
      <c r="I21" s="25" t="s">
        <v>25</v>
      </c>
      <c r="J21" s="4"/>
      <c r="K21" s="5"/>
      <c r="L21" s="4"/>
      <c r="M21" s="19">
        <v>1.9999999999996021</v>
      </c>
    </row>
    <row r="22" spans="1:13">
      <c r="A22" s="25" t="s">
        <v>26</v>
      </c>
      <c r="B22" s="25" t="s">
        <v>27</v>
      </c>
      <c r="C22" s="25" t="s">
        <v>28</v>
      </c>
      <c r="D22" s="25" t="s">
        <v>29</v>
      </c>
      <c r="E22" s="25" t="s">
        <v>30</v>
      </c>
      <c r="F22" s="25" t="s">
        <v>31</v>
      </c>
      <c r="G22" s="25" t="s">
        <v>11</v>
      </c>
      <c r="H22" s="25" t="s">
        <v>32</v>
      </c>
      <c r="I22" s="25" t="s">
        <v>33</v>
      </c>
      <c r="J22" s="4"/>
      <c r="K22" s="5"/>
      <c r="L22" s="4"/>
    </row>
    <row r="23" spans="1:13">
      <c r="A23" s="25" t="s">
        <v>34</v>
      </c>
      <c r="B23" s="25" t="s">
        <v>35</v>
      </c>
      <c r="C23" s="25" t="s">
        <v>36</v>
      </c>
      <c r="D23" s="25" t="s">
        <v>37</v>
      </c>
      <c r="E23" s="26" t="s">
        <v>38</v>
      </c>
      <c r="F23" s="25" t="s">
        <v>39</v>
      </c>
      <c r="G23" s="25" t="s">
        <v>19</v>
      </c>
      <c r="H23" s="27" t="s">
        <v>40</v>
      </c>
      <c r="I23" s="25" t="s">
        <v>41</v>
      </c>
      <c r="J23" s="4"/>
      <c r="K23" s="5"/>
      <c r="L23" s="4"/>
    </row>
    <row r="24" spans="1:13">
      <c r="A24" s="25" t="s">
        <v>42</v>
      </c>
      <c r="B24" s="25" t="s">
        <v>43</v>
      </c>
      <c r="C24" s="25" t="s">
        <v>44</v>
      </c>
      <c r="D24" s="25" t="s">
        <v>45</v>
      </c>
      <c r="E24" s="25" t="s">
        <v>46</v>
      </c>
      <c r="F24" s="25" t="s">
        <v>47</v>
      </c>
      <c r="G24" s="25"/>
      <c r="H24" s="25" t="s">
        <v>48</v>
      </c>
      <c r="I24" s="25" t="s">
        <v>49</v>
      </c>
      <c r="J24" s="4"/>
      <c r="K24" s="5"/>
      <c r="L24" s="4"/>
    </row>
    <row r="25" spans="1:13">
      <c r="A25" s="25" t="s">
        <v>50</v>
      </c>
      <c r="B25" s="25" t="s">
        <v>51</v>
      </c>
      <c r="C25" s="25" t="s">
        <v>52</v>
      </c>
      <c r="D25" s="25" t="s">
        <v>53</v>
      </c>
      <c r="E25" s="25" t="s">
        <v>54</v>
      </c>
      <c r="F25" s="25" t="s">
        <v>55</v>
      </c>
      <c r="G25" s="25"/>
      <c r="H25" s="25" t="s">
        <v>56</v>
      </c>
      <c r="I25" s="25" t="s">
        <v>57</v>
      </c>
      <c r="J25" s="4"/>
      <c r="K25" s="5"/>
      <c r="L25" s="4"/>
    </row>
    <row r="26" spans="1:13">
      <c r="A26" s="25" t="s">
        <v>58</v>
      </c>
      <c r="B26" s="25" t="s">
        <v>59</v>
      </c>
      <c r="C26" s="25" t="s">
        <v>60</v>
      </c>
      <c r="D26" s="25" t="s">
        <v>61</v>
      </c>
      <c r="E26" s="25" t="s">
        <v>62</v>
      </c>
      <c r="F26" s="25" t="s">
        <v>63</v>
      </c>
      <c r="G26" s="25"/>
      <c r="H26" s="25" t="s">
        <v>64</v>
      </c>
      <c r="I26" s="25" t="s">
        <v>65</v>
      </c>
      <c r="J26" s="4"/>
      <c r="K26" s="5"/>
      <c r="L26" s="4"/>
    </row>
    <row r="27" spans="1:13">
      <c r="A27" s="25" t="s">
        <v>66</v>
      </c>
      <c r="B27" s="25" t="s">
        <v>67</v>
      </c>
      <c r="C27" s="25" t="s">
        <v>68</v>
      </c>
      <c r="D27" s="25" t="s">
        <v>69</v>
      </c>
      <c r="E27" s="25" t="s">
        <v>70</v>
      </c>
      <c r="F27" s="25" t="s">
        <v>71</v>
      </c>
      <c r="G27" s="25"/>
      <c r="H27" s="25" t="s">
        <v>72</v>
      </c>
      <c r="I27" s="25" t="s">
        <v>73</v>
      </c>
      <c r="J27" s="4"/>
      <c r="K27" s="5"/>
      <c r="L27" s="4"/>
    </row>
    <row r="28" spans="1:13">
      <c r="A28" s="25" t="s">
        <v>74</v>
      </c>
      <c r="B28" s="25" t="s">
        <v>75</v>
      </c>
      <c r="C28" s="25" t="s">
        <v>76</v>
      </c>
      <c r="D28" s="25" t="s">
        <v>77</v>
      </c>
      <c r="E28" s="25" t="s">
        <v>78</v>
      </c>
      <c r="F28" s="25" t="s">
        <v>79</v>
      </c>
      <c r="G28" s="25"/>
      <c r="H28" s="25" t="s">
        <v>80</v>
      </c>
      <c r="I28" s="25" t="s">
        <v>81</v>
      </c>
      <c r="J28" s="4"/>
      <c r="K28" s="5"/>
      <c r="L28" s="4"/>
    </row>
    <row r="29" spans="1:13">
      <c r="A29" s="4"/>
      <c r="B29" s="4"/>
      <c r="C29" s="4"/>
      <c r="D29" s="4"/>
      <c r="E29" s="4"/>
      <c r="F29" s="4"/>
      <c r="G29" s="4"/>
      <c r="H29" s="4"/>
      <c r="I29" s="4"/>
      <c r="J29" s="4"/>
      <c r="K29" s="5"/>
      <c r="L29" s="4"/>
    </row>
    <row r="30" spans="1:13">
      <c r="A30" s="28" t="e">
        <f t="shared" ref="A30:I30" si="1">A3</f>
        <v>#REF!</v>
      </c>
      <c r="B30" s="28" t="e">
        <f t="shared" si="1"/>
        <v>#REF!</v>
      </c>
      <c r="C30" s="28" t="e">
        <f t="shared" si="1"/>
        <v>#REF!</v>
      </c>
      <c r="D30" s="28" t="e">
        <f t="shared" si="1"/>
        <v>#REF!</v>
      </c>
      <c r="E30" s="28" t="e">
        <f t="shared" si="1"/>
        <v>#REF!</v>
      </c>
      <c r="F30" s="28" t="e">
        <f t="shared" si="1"/>
        <v>#REF!</v>
      </c>
      <c r="G30" s="28" t="e">
        <f t="shared" si="1"/>
        <v>#REF!</v>
      </c>
      <c r="H30" s="28" t="e">
        <f t="shared" si="1"/>
        <v>#REF!</v>
      </c>
      <c r="I30" s="28" t="e">
        <f t="shared" si="1"/>
        <v>#REF!</v>
      </c>
      <c r="J30" s="3"/>
      <c r="K30" s="4"/>
      <c r="L30" s="4"/>
    </row>
    <row r="31" spans="1:13">
      <c r="A31" s="29" t="e">
        <f>A30</f>
        <v>#REF!</v>
      </c>
      <c r="B31" s="29" t="e">
        <f>B30</f>
        <v>#REF!</v>
      </c>
      <c r="C31" s="29" t="e">
        <f>C30</f>
        <v>#REF!</v>
      </c>
      <c r="D31" s="14" t="e">
        <f>M4</f>
        <v>#REF!</v>
      </c>
      <c r="E31" s="29" t="e">
        <f>D30</f>
        <v>#REF!</v>
      </c>
      <c r="F31" s="29" t="e">
        <f>E30</f>
        <v>#REF!</v>
      </c>
      <c r="G31" s="29" t="e">
        <f>F30</f>
        <v>#REF!</v>
      </c>
      <c r="H31" s="14" t="e">
        <f>M3</f>
        <v>#REF!</v>
      </c>
      <c r="I31" s="29" t="e">
        <f>G30</f>
        <v>#REF!</v>
      </c>
      <c r="J31" s="29" t="e">
        <f>H30</f>
        <v>#REF!</v>
      </c>
      <c r="K31" s="29" t="e">
        <f>I30</f>
        <v>#REF!</v>
      </c>
      <c r="L31" s="14" t="e">
        <f>M2</f>
        <v>#REF!</v>
      </c>
    </row>
    <row r="32" spans="1:13">
      <c r="A32" s="30" t="e">
        <f>IF(A31=0,0,1)</f>
        <v>#REF!</v>
      </c>
      <c r="B32" s="30" t="e">
        <f>IF(B31=0,0,1)</f>
        <v>#REF!</v>
      </c>
      <c r="C32" s="30" t="e">
        <f>IF(C31=0,0,1)</f>
        <v>#REF!</v>
      </c>
      <c r="D32" s="30">
        <v>1</v>
      </c>
      <c r="E32" s="30" t="e">
        <f>IF(E31=0,0,1)</f>
        <v>#REF!</v>
      </c>
      <c r="F32" s="30" t="e">
        <f>IF(F31=0,0,1)</f>
        <v>#REF!</v>
      </c>
      <c r="G32" s="30" t="e">
        <f>IF(G31=0,0,1)</f>
        <v>#REF!</v>
      </c>
      <c r="H32" s="30">
        <v>1</v>
      </c>
      <c r="I32" s="30" t="e">
        <f>IF(I31=0,0,1)</f>
        <v>#REF!</v>
      </c>
      <c r="J32" s="30" t="e">
        <f>IF(J31=0,0,1)</f>
        <v>#REF!</v>
      </c>
      <c r="K32" s="30" t="e">
        <f>IF(K31=0,0,1)</f>
        <v>#REF!</v>
      </c>
      <c r="L32" s="30">
        <v>1</v>
      </c>
    </row>
    <row r="33" spans="1:12">
      <c r="A33" s="31" t="e">
        <f>IF(L45=1,A31,A34)</f>
        <v>#REF!</v>
      </c>
      <c r="B33" s="31" t="e">
        <f>IF(L44=2,B31,IF(L44=1,B34,IF(L44=0,B35)))</f>
        <v>#REF!</v>
      </c>
      <c r="C33" s="31" t="e">
        <f>IF(L43=3,C31,IF(L43=2,D31,IF(L43=1,D35,IF(L43=0,C34))))</f>
        <v>#REF!</v>
      </c>
      <c r="D33" s="31" t="e">
        <f>IF(L42=4,D31,IF(L42=3,D35,IF(L42=2,D34,IF(L42=1,D43))))</f>
        <v>#REF!</v>
      </c>
      <c r="E33" s="31" t="e">
        <f>IF(L41=5,E31,IF(L41=4,E34,IF(L41=3,E39,IF(L41=2,E52,E49))))</f>
        <v>#REF!</v>
      </c>
      <c r="F33" s="31" t="e">
        <f>IF(L40=6,F31,IF(L40=5,F34,IF(L40=4,F35,IF(L40=3,F37,IF(L40=2,F41,IF(L40=1,F44))))))</f>
        <v>#REF!</v>
      </c>
      <c r="G33" s="31" t="e">
        <f>IF(L39=7,G31,IF(L39=6,H31,IF(L39=5,H34,IF(L39=4,G34,IF(L39=3,G38,IF(L39=2,G36,0))))))</f>
        <v>#REF!</v>
      </c>
      <c r="H33" s="31" t="e">
        <f>IF(L38=8,H31,IF(L38=7,H34,IF(L38=6,H38,IF(L38=5,H43,IF(L38=4,H44,0)))))</f>
        <v>#REF!</v>
      </c>
      <c r="I33" s="31" t="e">
        <f>IF(L37=9,I31,IF(L37=8,I34,IF(L37=7,I36,IF(L37=6,I37,0))))</f>
        <v>#REF!</v>
      </c>
      <c r="J33" s="31" t="e">
        <f>IF(L36=10,J31,IF(L36=9,J34,IF(L36=8,J35,0)))</f>
        <v>#REF!</v>
      </c>
      <c r="K33" s="31" t="e">
        <f>IF(L35=11,K31,IF(L35=10,L31,))</f>
        <v>#REF!</v>
      </c>
      <c r="L33" s="31" t="e">
        <f>IF(L34=12,L31,0)</f>
        <v>#REF!</v>
      </c>
    </row>
    <row r="34" spans="1:12">
      <c r="A34" s="11" t="e">
        <f>IF(B32=0,A35,B31)</f>
        <v>#REF!</v>
      </c>
      <c r="B34" s="11" t="e">
        <f>IF(C32=0,D31,C31)</f>
        <v>#REF!</v>
      </c>
      <c r="C34" s="11" t="e">
        <f>IF(L48=3,G31,IF(L48=2,H31,IF(L48=1,H34,H41)))</f>
        <v>#REF!</v>
      </c>
      <c r="D34" s="32" t="e">
        <f>IF(E31=0,D38,D40)</f>
        <v>#REF!</v>
      </c>
      <c r="E34" s="33" t="e">
        <f>IF(L49=3,E35,E37)</f>
        <v>#REF!</v>
      </c>
      <c r="F34" s="11" t="e">
        <f>IF(G31=0,H31,G31)</f>
        <v>#REF!</v>
      </c>
      <c r="G34" s="33" t="e">
        <f>IF(L48=0,H41,G37)</f>
        <v>#REF!</v>
      </c>
      <c r="H34" s="33" t="e">
        <f>IF(L47=0,L31,IF(L47=1,H35,IF(L47=2,H37,IF(L47=3,I31))))</f>
        <v>#REF!</v>
      </c>
      <c r="I34" s="33" t="e">
        <f>IF(L46=1,L31,IF(L46=2,I35,IF(L46=3,J31)))</f>
        <v>#REF!</v>
      </c>
      <c r="J34" s="11" t="e">
        <f>IF(K32=0,L31,K31)</f>
        <v>#REF!</v>
      </c>
      <c r="K34" s="4"/>
      <c r="L34" s="34" t="e">
        <f>SUM(A32:L32)</f>
        <v>#REF!</v>
      </c>
    </row>
    <row r="35" spans="1:12">
      <c r="A35" s="11" t="e">
        <f>IF(C31=0,A36,C31)</f>
        <v>#REF!</v>
      </c>
      <c r="B35" s="11" t="e">
        <f>IF(C31=0,D34,D31)</f>
        <v>#REF!</v>
      </c>
      <c r="C35" s="4"/>
      <c r="D35" s="11" t="e">
        <f>IF(E32=0,D36,E31)</f>
        <v>#REF!</v>
      </c>
      <c r="E35" s="33" t="e">
        <f>IF(F32=0,E36,F31)</f>
        <v>#REF!</v>
      </c>
      <c r="F35" s="35" t="e">
        <f>IF(L48=0,H38,F36)</f>
        <v>#REF!</v>
      </c>
      <c r="G35" s="11" t="e">
        <f>IF(L48=0,H42,H41)</f>
        <v>#REF!</v>
      </c>
      <c r="H35" s="14" t="e">
        <f>IF(I32=0,H36,I31)</f>
        <v>#REF!</v>
      </c>
      <c r="I35" s="33" t="e">
        <f>IF(J32=0,K31,J31)</f>
        <v>#REF!</v>
      </c>
      <c r="J35" s="11" t="e">
        <f>IF(K32=0,0,L31)</f>
        <v>#REF!</v>
      </c>
      <c r="K35" s="4"/>
      <c r="L35" s="14" t="e">
        <f>SUM(A32:K32)</f>
        <v>#REF!</v>
      </c>
    </row>
    <row r="36" spans="1:12">
      <c r="A36" s="11" t="e">
        <f>IF(E32=0,A37,E31)</f>
        <v>#REF!</v>
      </c>
      <c r="B36" s="4"/>
      <c r="C36" s="4"/>
      <c r="D36" s="11" t="e">
        <f>IF(F32=0,D37,F31)</f>
        <v>#REF!</v>
      </c>
      <c r="E36" s="33" t="e">
        <f>IF(G32=0,H34,G31)</f>
        <v>#REF!</v>
      </c>
      <c r="F36" s="33" t="e">
        <f>IF(G32=0,H34,H31)</f>
        <v>#REF!</v>
      </c>
      <c r="G36" s="11" t="e">
        <f>IF(L48=0,0,G39)</f>
        <v>#REF!</v>
      </c>
      <c r="H36" s="14" t="e">
        <f>IF(J32=0,K31,J31)</f>
        <v>#REF!</v>
      </c>
      <c r="I36" s="11" t="e">
        <f>IF(L46=3,K31,IF(L46=2,L31,IF(L46=1,0)))</f>
        <v>#REF!</v>
      </c>
      <c r="J36" s="4"/>
      <c r="K36" s="4"/>
      <c r="L36" s="14" t="e">
        <f>SUM(A32:J32)</f>
        <v>#REF!</v>
      </c>
    </row>
    <row r="37" spans="1:12">
      <c r="A37" s="11" t="e">
        <f>IF(F32=0,A38,F31)</f>
        <v>#REF!</v>
      </c>
      <c r="B37" s="4"/>
      <c r="C37" s="4"/>
      <c r="D37" s="11" t="e">
        <f>IF(G32=0,H34,G31)</f>
        <v>#REF!</v>
      </c>
      <c r="E37" s="33" t="e">
        <f>IF(F32=0,E38,F31)</f>
        <v>#REF!</v>
      </c>
      <c r="F37" s="11" t="e">
        <f>IF(L49=0,F38,F39)</f>
        <v>#REF!</v>
      </c>
      <c r="G37" s="11" t="e">
        <f>IF(L49=0,H41,H38)</f>
        <v>#REF!</v>
      </c>
      <c r="H37" s="11" t="e">
        <f>IF(I32=0,J31,I31)</f>
        <v>#REF!</v>
      </c>
      <c r="I37" s="11" t="e">
        <f>IF(L49=0,0,I38)</f>
        <v>#REF!</v>
      </c>
      <c r="J37" s="4"/>
      <c r="K37" s="4"/>
      <c r="L37" s="14" t="e">
        <f>SUM(A32:I32)</f>
        <v>#REF!</v>
      </c>
    </row>
    <row r="38" spans="1:12">
      <c r="A38" s="11" t="e">
        <f>IF(G32=0,A39,G31)</f>
        <v>#REF!</v>
      </c>
      <c r="B38" s="4"/>
      <c r="C38" s="4"/>
      <c r="D38" s="32" t="e">
        <f>IF(F31=0,D39,D42)</f>
        <v>#REF!</v>
      </c>
      <c r="E38" s="33" t="e">
        <f>IF(G32=0,H31,G31)</f>
        <v>#REF!</v>
      </c>
      <c r="F38" s="11" t="e">
        <f>IF(G31=0,H41,H38)</f>
        <v>#REF!</v>
      </c>
      <c r="G38" s="14" t="e">
        <f>IF(L49=0,H42,G35)</f>
        <v>#REF!</v>
      </c>
      <c r="H38" s="32" t="e">
        <f>IF(L47=0,0,IF(L47=1,L31,IF(L47=2,H39,IF(L47=3,J31))))</f>
        <v>#REF!</v>
      </c>
      <c r="I38" s="11" t="e">
        <f>IF(L48=0,0,I39)</f>
        <v>#REF!</v>
      </c>
      <c r="J38" s="4"/>
      <c r="K38" s="4"/>
      <c r="L38" s="33" t="e">
        <f>SUM(A32:H32)</f>
        <v>#REF!</v>
      </c>
    </row>
    <row r="39" spans="1:12">
      <c r="A39" s="11" t="e">
        <f>IF(I32=0,A40,I31)</f>
        <v>#REF!</v>
      </c>
      <c r="B39" s="4"/>
      <c r="C39" s="4"/>
      <c r="D39" s="32" t="e">
        <f>IF(G31=0,H38,H31)</f>
        <v>#REF!</v>
      </c>
      <c r="E39" s="14" t="e">
        <f>IF(L49=2,E40,E43)</f>
        <v>#REF!</v>
      </c>
      <c r="F39" s="32" t="e">
        <f>IF(L48=0,H41,F40)</f>
        <v>#REF!</v>
      </c>
      <c r="G39" s="11" t="e">
        <f>IF(L49=0,0,H42)</f>
        <v>#REF!</v>
      </c>
      <c r="H39" s="11" t="e">
        <f>IF(I32=0,K31,H40)</f>
        <v>#REF!</v>
      </c>
      <c r="I39" s="11" t="e">
        <f>IF(L47=3,L31,I40)</f>
        <v>#REF!</v>
      </c>
      <c r="J39" s="4"/>
      <c r="K39" s="4"/>
      <c r="L39" s="11" t="e">
        <f>SUM(A32:G32)</f>
        <v>#REF!</v>
      </c>
    </row>
    <row r="40" spans="1:12">
      <c r="A40" s="11" t="e">
        <f>IF(J32=0,A41,J31)</f>
        <v>#REF!</v>
      </c>
      <c r="B40" s="4"/>
      <c r="C40" s="4"/>
      <c r="D40" s="32" t="e">
        <f>IF(F32=0,D41,F31)</f>
        <v>#REF!</v>
      </c>
      <c r="E40" s="11" t="e">
        <f>IF(F32=0,E41,E42)</f>
        <v>#REF!</v>
      </c>
      <c r="F40" s="32" t="e">
        <f>IF(G32=0,H38,H34)</f>
        <v>#REF!</v>
      </c>
      <c r="G40" s="4"/>
      <c r="H40" s="11" t="e">
        <f>IF(J32=0,K31,J31)</f>
        <v>#REF!</v>
      </c>
      <c r="I40" s="11" t="e">
        <f>IF(L47=2,L31,0)</f>
        <v>#REF!</v>
      </c>
      <c r="J40" s="4"/>
      <c r="K40" s="4"/>
      <c r="L40" s="11" t="e">
        <f>SUM(A32:F32)</f>
        <v>#REF!</v>
      </c>
    </row>
    <row r="41" spans="1:12">
      <c r="A41" s="11" t="e">
        <f>IF(K32=0,0,K31)</f>
        <v>#REF!</v>
      </c>
      <c r="B41" s="4"/>
      <c r="C41" s="4"/>
      <c r="D41" s="32" t="e">
        <f>IF(G32=0,H31,G31)</f>
        <v>#REF!</v>
      </c>
      <c r="E41" s="11" t="e">
        <f>IF(G32=0,H38,H31)</f>
        <v>#REF!</v>
      </c>
      <c r="F41" s="14" t="e">
        <f>IF(L49=0,F43,F42)</f>
        <v>#REF!</v>
      </c>
      <c r="G41" s="4"/>
      <c r="H41" s="32" t="e">
        <f>IF(L47=3,K31,IF(L47=2,L31,0))</f>
        <v>#REF!</v>
      </c>
      <c r="I41" s="4"/>
      <c r="J41" s="4"/>
      <c r="K41" s="4"/>
      <c r="L41" s="33" t="e">
        <f>SUM(A32:E32)</f>
        <v>#REF!</v>
      </c>
    </row>
    <row r="42" spans="1:12">
      <c r="A42" s="4"/>
      <c r="B42" s="4"/>
      <c r="C42" s="4"/>
      <c r="D42" s="32" t="e">
        <f>IF(G32=0,H31,G31)</f>
        <v>#REF!</v>
      </c>
      <c r="E42" s="11" t="e">
        <f>IF(G32=0,H31,G31)</f>
        <v>#REF!</v>
      </c>
      <c r="F42" s="14" t="e">
        <f>IF(G32=0,H41,H38)</f>
        <v>#REF!</v>
      </c>
      <c r="G42" s="4"/>
      <c r="H42" s="33" t="e">
        <f>IF(L47=3,L31,0)</f>
        <v>#REF!</v>
      </c>
      <c r="I42" s="4"/>
      <c r="J42" s="4"/>
      <c r="K42" s="4"/>
      <c r="L42" s="10" t="e">
        <f>SUM(A32:D32)</f>
        <v>#REF!</v>
      </c>
    </row>
    <row r="43" spans="1:12">
      <c r="A43" s="4"/>
      <c r="B43" s="4"/>
      <c r="C43" s="4"/>
      <c r="D43" s="11" t="e">
        <f>IF(L48=3,H31,IF(L48=2,H34,IF(L48=1,H38,IF(L48=0,H42))))</f>
        <v>#REF!</v>
      </c>
      <c r="E43" s="14" t="e">
        <f>IF(F32=0,E44,E45)</f>
        <v>#REF!</v>
      </c>
      <c r="F43" s="14" t="e">
        <f>IF(G31=0,H42,H41)</f>
        <v>#REF!</v>
      </c>
      <c r="G43" s="4"/>
      <c r="H43" s="14" t="e">
        <f>IF(L49=0,H42,H41)</f>
        <v>#REF!</v>
      </c>
      <c r="I43" s="4"/>
      <c r="J43" s="4"/>
      <c r="K43" s="4"/>
      <c r="L43" s="10" t="e">
        <f>SUM(A32:C32)</f>
        <v>#REF!</v>
      </c>
    </row>
    <row r="44" spans="1:12">
      <c r="A44" s="4"/>
      <c r="B44" s="4"/>
      <c r="C44" s="4"/>
      <c r="D44" s="4"/>
      <c r="E44" s="14" t="e">
        <f>IF(G32=0,H34,H31)</f>
        <v>#REF!</v>
      </c>
      <c r="F44" s="14" t="e">
        <f>IF(G31=0,0,H42)</f>
        <v>#REF!</v>
      </c>
      <c r="G44" s="4"/>
      <c r="H44" s="11" t="e">
        <f>IF(L49=0,0,H42)</f>
        <v>#REF!</v>
      </c>
      <c r="I44" s="4"/>
      <c r="J44" s="4"/>
      <c r="K44" s="4"/>
      <c r="L44" s="10" t="e">
        <f>SUM(A32:B32)</f>
        <v>#REF!</v>
      </c>
    </row>
    <row r="45" spans="1:12">
      <c r="A45" s="4"/>
      <c r="B45" s="4"/>
      <c r="C45" s="4"/>
      <c r="D45" s="4"/>
      <c r="E45" s="14" t="e">
        <f>IF(G32=0,H31,G31)</f>
        <v>#REF!</v>
      </c>
      <c r="F45" s="4"/>
      <c r="G45" s="4"/>
      <c r="H45" s="4"/>
      <c r="I45" s="4"/>
      <c r="J45" s="4"/>
      <c r="K45" s="4"/>
      <c r="L45" s="10" t="e">
        <f>SUM(A32)</f>
        <v>#REF!</v>
      </c>
    </row>
    <row r="46" spans="1:12">
      <c r="A46" s="4"/>
      <c r="B46" s="4"/>
      <c r="C46" s="4"/>
      <c r="D46" s="4"/>
      <c r="E46" s="33" t="e">
        <f>IF(F32=0,E47,E48)</f>
        <v>#REF!</v>
      </c>
      <c r="F46" s="4"/>
      <c r="G46" s="4"/>
      <c r="H46" s="4"/>
      <c r="I46" s="4"/>
      <c r="J46" s="4"/>
      <c r="K46" s="4"/>
      <c r="L46" s="11" t="e">
        <f>SUM(J32:L32)</f>
        <v>#REF!</v>
      </c>
    </row>
    <row r="47" spans="1:12">
      <c r="A47" s="4"/>
      <c r="B47" s="4"/>
      <c r="C47" s="4"/>
      <c r="D47" s="4"/>
      <c r="E47" s="33" t="e">
        <f>IF(G32=0,H41,H34)</f>
        <v>#REF!</v>
      </c>
      <c r="F47" s="4"/>
      <c r="G47" s="4"/>
      <c r="H47" s="4"/>
      <c r="I47" s="4"/>
      <c r="J47" s="4"/>
      <c r="K47" s="4"/>
      <c r="L47" s="33" t="e">
        <f>SUM(I32:K32)</f>
        <v>#REF!</v>
      </c>
    </row>
    <row r="48" spans="1:12">
      <c r="A48" s="4"/>
      <c r="B48" s="4"/>
      <c r="C48" s="4"/>
      <c r="D48" s="4"/>
      <c r="E48" s="33" t="e">
        <f>IF(G31=0,H34,H31)</f>
        <v>#REF!</v>
      </c>
      <c r="F48" s="4"/>
      <c r="G48" s="4"/>
      <c r="H48" s="4"/>
      <c r="I48" s="4"/>
      <c r="J48" s="4"/>
      <c r="K48" s="4"/>
      <c r="L48" s="10" t="e">
        <f>SUM(E32:G32)</f>
        <v>#REF!</v>
      </c>
    </row>
    <row r="49" spans="1:12">
      <c r="A49" s="4"/>
      <c r="B49" s="4"/>
      <c r="C49" s="4"/>
      <c r="D49" s="4"/>
      <c r="E49" s="32" t="e">
        <f>IF(F31=0,E50,E51)</f>
        <v>#REF!</v>
      </c>
      <c r="F49" s="4"/>
      <c r="G49" s="4"/>
      <c r="H49" s="4"/>
      <c r="I49" s="4"/>
      <c r="J49" s="4"/>
      <c r="K49" s="4"/>
      <c r="L49" s="33" t="e">
        <f>SUM(A32:C32)</f>
        <v>#REF!</v>
      </c>
    </row>
    <row r="50" spans="1:12">
      <c r="A50" s="4"/>
      <c r="B50" s="4"/>
      <c r="C50" s="4"/>
      <c r="D50" s="4"/>
      <c r="E50" s="32" t="e">
        <f>IF(G31=0,0,H41)</f>
        <v>#REF!</v>
      </c>
      <c r="F50" s="4"/>
      <c r="G50" s="4"/>
      <c r="H50" s="4"/>
      <c r="I50" s="4"/>
      <c r="J50" s="4"/>
      <c r="K50" s="4"/>
      <c r="L50" s="4"/>
    </row>
    <row r="51" spans="1:12">
      <c r="A51" s="4"/>
      <c r="B51" s="4"/>
      <c r="C51" s="4"/>
      <c r="D51" s="4"/>
      <c r="E51" s="32" t="e">
        <f>IF(G32=0,H41,H38)</f>
        <v>#REF!</v>
      </c>
      <c r="F51" s="4"/>
      <c r="G51" s="4"/>
      <c r="H51" s="4"/>
      <c r="I51" s="4"/>
      <c r="J51" s="4"/>
      <c r="K51" s="4"/>
      <c r="L51" s="4"/>
    </row>
    <row r="52" spans="1:12">
      <c r="A52" s="4"/>
      <c r="B52" s="4"/>
      <c r="C52" s="4"/>
      <c r="D52" s="4"/>
      <c r="E52" s="33" t="e">
        <f>IF(L49=0,E53,E46)</f>
        <v>#REF!</v>
      </c>
      <c r="F52" s="4"/>
      <c r="G52" s="4"/>
      <c r="H52" s="4"/>
      <c r="I52" s="4"/>
      <c r="J52" s="4"/>
      <c r="K52" s="4"/>
      <c r="L52" s="4"/>
    </row>
    <row r="53" spans="1:12">
      <c r="A53" s="4"/>
      <c r="B53" s="4"/>
      <c r="C53" s="4"/>
      <c r="D53" s="4"/>
      <c r="E53" s="33" t="e">
        <f>IF(L48=3,H34,IF(L48=2,H38,IF(L48=1,H41,0)))</f>
        <v>#REF!</v>
      </c>
      <c r="F53" s="4"/>
      <c r="G53" s="4"/>
      <c r="H53" s="4"/>
      <c r="I53" s="4"/>
      <c r="J53" s="4"/>
      <c r="K53" s="4"/>
      <c r="L53" s="4"/>
    </row>
    <row r="54" spans="1:12">
      <c r="A54" s="8" t="e">
        <f t="shared" ref="A54:L54" si="2">LEN(A33)</f>
        <v>#REF!</v>
      </c>
      <c r="B54" s="8" t="e">
        <f t="shared" si="2"/>
        <v>#REF!</v>
      </c>
      <c r="C54" s="8" t="e">
        <f t="shared" si="2"/>
        <v>#REF!</v>
      </c>
      <c r="D54" s="8" t="e">
        <f t="shared" si="2"/>
        <v>#REF!</v>
      </c>
      <c r="E54" s="8" t="e">
        <f t="shared" si="2"/>
        <v>#REF!</v>
      </c>
      <c r="F54" s="8" t="e">
        <f t="shared" si="2"/>
        <v>#REF!</v>
      </c>
      <c r="G54" s="8" t="e">
        <f t="shared" si="2"/>
        <v>#REF!</v>
      </c>
      <c r="H54" s="8" t="e">
        <f t="shared" si="2"/>
        <v>#REF!</v>
      </c>
      <c r="I54" s="8" t="e">
        <f t="shared" si="2"/>
        <v>#REF!</v>
      </c>
      <c r="J54" s="8" t="e">
        <f t="shared" si="2"/>
        <v>#REF!</v>
      </c>
      <c r="K54" s="8" t="e">
        <f t="shared" si="2"/>
        <v>#REF!</v>
      </c>
      <c r="L54" s="8" t="e">
        <f t="shared" si="2"/>
        <v>#REF!</v>
      </c>
    </row>
    <row r="55" spans="1:12">
      <c r="A55" s="11"/>
      <c r="B55" s="11"/>
      <c r="C55" s="11"/>
      <c r="D55" s="11"/>
      <c r="E55" s="11" t="e">
        <f>SUM(A54:E54)</f>
        <v>#REF!</v>
      </c>
      <c r="F55" s="11" t="e">
        <f>SUM(A54:F54)</f>
        <v>#REF!</v>
      </c>
      <c r="G55" s="11" t="e">
        <f>SUM(A54:G54)</f>
        <v>#REF!</v>
      </c>
      <c r="H55" s="11" t="e">
        <f>SUM(A54:H54)</f>
        <v>#REF!</v>
      </c>
      <c r="I55" s="11" t="e">
        <f>SUM(A54:I54)</f>
        <v>#REF!</v>
      </c>
      <c r="J55" s="11" t="e">
        <f>SUM(A54:J54)</f>
        <v>#REF!</v>
      </c>
      <c r="K55" s="11" t="e">
        <f>SUM(A54:K54)</f>
        <v>#REF!</v>
      </c>
      <c r="L55" s="11" t="e">
        <f>SUM(A54:L54)</f>
        <v>#REF!</v>
      </c>
    </row>
    <row r="56" spans="1:12">
      <c r="A56" s="10" t="e">
        <f>IF(A33=0,"    ",A33)</f>
        <v>#REF!</v>
      </c>
      <c r="B56" s="10" t="e">
        <f>IF(B33=0,"    ",B33)</f>
        <v>#REF!</v>
      </c>
      <c r="C56" s="10" t="e">
        <f t="shared" ref="C56:K56" si="3">IF(C33=0," ",C33)</f>
        <v>#REF!</v>
      </c>
      <c r="D56" s="10" t="e">
        <f t="shared" si="3"/>
        <v>#REF!</v>
      </c>
      <c r="E56" s="10" t="e">
        <f t="shared" si="3"/>
        <v>#REF!</v>
      </c>
      <c r="F56" s="10" t="e">
        <f t="shared" si="3"/>
        <v>#REF!</v>
      </c>
      <c r="G56" s="10" t="e">
        <f t="shared" si="3"/>
        <v>#REF!</v>
      </c>
      <c r="H56" s="10" t="e">
        <f t="shared" si="3"/>
        <v>#REF!</v>
      </c>
      <c r="I56" s="10" t="e">
        <f t="shared" si="3"/>
        <v>#REF!</v>
      </c>
      <c r="J56" s="10" t="e">
        <f t="shared" si="3"/>
        <v>#REF!</v>
      </c>
      <c r="K56" s="10" t="e">
        <f t="shared" si="3"/>
        <v>#REF!</v>
      </c>
      <c r="L56" s="10" t="str">
        <f>IF(B61=0,"    ",B61)</f>
        <v>qəp.</v>
      </c>
    </row>
    <row r="57" spans="1:12">
      <c r="A57" s="10" t="e">
        <f>CONCATENATE(D57,A56,B56,C56,D56,E56,F56,G56,H56,I56,J56,L56,K56)</f>
        <v>#REF!</v>
      </c>
      <c r="B57" s="10"/>
      <c r="C57" s="10"/>
      <c r="D57" s="10" t="s">
        <v>82</v>
      </c>
      <c r="E57" s="10"/>
      <c r="F57" s="10"/>
      <c r="G57" s="10"/>
      <c r="H57" s="10"/>
      <c r="I57" s="10"/>
      <c r="J57" s="10"/>
      <c r="K57" s="10"/>
      <c r="L57" s="10"/>
    </row>
    <row r="58" spans="1:12">
      <c r="A58" s="36"/>
      <c r="B58" s="37">
        <f>ROUND(A58,0)</f>
        <v>0</v>
      </c>
    </row>
    <row r="59" spans="1:12">
      <c r="A59" s="6" t="s">
        <v>83</v>
      </c>
      <c r="B59" s="38" t="e">
        <f>M13/6</f>
        <v>#REF!</v>
      </c>
      <c r="C59" s="6" t="s">
        <v>84</v>
      </c>
      <c r="D59" s="39"/>
    </row>
    <row r="60" spans="1:12">
      <c r="A60" s="13" t="e">
        <f>CONCATENATE(A59,B59,C59)</f>
        <v>#REF!</v>
      </c>
      <c r="D60" s="39"/>
    </row>
    <row r="61" spans="1:12">
      <c r="A61" s="6" t="e">
        <f>(M5-M8)*100</f>
        <v>#REF!</v>
      </c>
      <c r="B61" s="6" t="s">
        <v>85</v>
      </c>
      <c r="D61" s="39"/>
    </row>
    <row r="62" spans="1:12">
      <c r="A62" s="19">
        <f>M11</f>
        <v>0</v>
      </c>
      <c r="B62" s="12">
        <f>M12/6</f>
        <v>0</v>
      </c>
      <c r="D62" s="39"/>
    </row>
    <row r="63" spans="1:12">
      <c r="A63" s="40" t="str">
        <f>CONCATENATE(B62,C59)</f>
        <v>0ман.</v>
      </c>
    </row>
    <row r="64" spans="1:12">
      <c r="A64" s="6" t="e">
        <f>CONCATENATE(A56,B56)</f>
        <v>#REF!</v>
      </c>
      <c r="L64" s="6" t="e">
        <f>IF(L33=0,"    ",L33)</f>
        <v>#REF!</v>
      </c>
    </row>
  </sheetData>
  <phoneticPr fontId="5" type="noConversion"/>
  <pageMargins left="0.75" right="0.75" top="1" bottom="1" header="0.5" footer="0.5"/>
  <pageSetup paperSize="9" orientation="portrait" r:id="rId1"/>
  <headerFooter alignWithMargin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codeName="Sayfa20"/>
  <dimension ref="B1:AE292"/>
  <sheetViews>
    <sheetView topLeftCell="A28" workbookViewId="0">
      <selection activeCell="B297" sqref="B297"/>
    </sheetView>
  </sheetViews>
  <sheetFormatPr defaultRowHeight="12.75"/>
  <cols>
    <col min="1" max="1" width="2" customWidth="1"/>
    <col min="2" max="2" width="43.85546875" customWidth="1"/>
    <col min="3" max="3" width="8.42578125" customWidth="1"/>
    <col min="4" max="4" width="0.7109375" customWidth="1"/>
    <col min="5" max="5" width="0.7109375" hidden="1" customWidth="1"/>
    <col min="6" max="6" width="6" hidden="1" customWidth="1"/>
    <col min="7" max="7" width="1.5703125" hidden="1" customWidth="1"/>
    <col min="8" max="8" width="2.5703125" hidden="1" customWidth="1"/>
    <col min="9" max="9" width="2.42578125" hidden="1" customWidth="1"/>
    <col min="10" max="10" width="9.140625" customWidth="1"/>
    <col min="11" max="11" width="3.28515625" customWidth="1"/>
    <col min="12" max="12" width="9.140625" hidden="1" customWidth="1"/>
    <col min="13" max="13" width="9.5703125" customWidth="1"/>
    <col min="14" max="14" width="2.42578125" customWidth="1"/>
    <col min="15" max="15" width="26.42578125" customWidth="1"/>
    <col min="16" max="16" width="27.85546875" hidden="1" customWidth="1"/>
    <col min="17" max="57" width="0" hidden="1" customWidth="1"/>
    <col min="258" max="258" width="30" customWidth="1"/>
    <col min="259" max="259" width="7.140625" customWidth="1"/>
    <col min="260" max="260" width="0.7109375" customWidth="1"/>
    <col min="261" max="265" width="0" hidden="1" customWidth="1"/>
    <col min="266" max="266" width="9.140625" customWidth="1"/>
    <col min="267" max="267" width="3.28515625" customWidth="1"/>
    <col min="268" max="268" width="0" hidden="1" customWidth="1"/>
    <col min="269" max="269" width="9.5703125" customWidth="1"/>
    <col min="270" max="270" width="2.42578125" customWidth="1"/>
    <col min="271" max="271" width="26.140625" customWidth="1"/>
    <col min="272" max="272" width="27.85546875" customWidth="1"/>
    <col min="514" max="514" width="30" customWidth="1"/>
    <col min="515" max="515" width="7.140625" customWidth="1"/>
    <col min="516" max="516" width="0.7109375" customWidth="1"/>
    <col min="517" max="521" width="0" hidden="1" customWidth="1"/>
    <col min="522" max="522" width="9.140625" customWidth="1"/>
    <col min="523" max="523" width="3.28515625" customWidth="1"/>
    <col min="524" max="524" width="0" hidden="1" customWidth="1"/>
    <col min="525" max="525" width="9.5703125" customWidth="1"/>
    <col min="526" max="526" width="2.42578125" customWidth="1"/>
    <col min="527" max="527" width="26.140625" customWidth="1"/>
    <col min="528" max="528" width="27.85546875" customWidth="1"/>
    <col min="770" max="770" width="30" customWidth="1"/>
    <col min="771" max="771" width="7.140625" customWidth="1"/>
    <col min="772" max="772" width="0.7109375" customWidth="1"/>
    <col min="773" max="777" width="0" hidden="1" customWidth="1"/>
    <col min="778" max="778" width="9.140625" customWidth="1"/>
    <col min="779" max="779" width="3.28515625" customWidth="1"/>
    <col min="780" max="780" width="0" hidden="1" customWidth="1"/>
    <col min="781" max="781" width="9.5703125" customWidth="1"/>
    <col min="782" max="782" width="2.42578125" customWidth="1"/>
    <col min="783" max="783" width="26.140625" customWidth="1"/>
    <col min="784" max="784" width="27.85546875" customWidth="1"/>
    <col min="1026" max="1026" width="30" customWidth="1"/>
    <col min="1027" max="1027" width="7.140625" customWidth="1"/>
    <col min="1028" max="1028" width="0.7109375" customWidth="1"/>
    <col min="1029" max="1033" width="0" hidden="1" customWidth="1"/>
    <col min="1034" max="1034" width="9.140625" customWidth="1"/>
    <col min="1035" max="1035" width="3.28515625" customWidth="1"/>
    <col min="1036" max="1036" width="0" hidden="1" customWidth="1"/>
    <col min="1037" max="1037" width="9.5703125" customWidth="1"/>
    <col min="1038" max="1038" width="2.42578125" customWidth="1"/>
    <col min="1039" max="1039" width="26.140625" customWidth="1"/>
    <col min="1040" max="1040" width="27.85546875" customWidth="1"/>
    <col min="1282" max="1282" width="30" customWidth="1"/>
    <col min="1283" max="1283" width="7.140625" customWidth="1"/>
    <col min="1284" max="1284" width="0.7109375" customWidth="1"/>
    <col min="1285" max="1289" width="0" hidden="1" customWidth="1"/>
    <col min="1290" max="1290" width="9.140625" customWidth="1"/>
    <col min="1291" max="1291" width="3.28515625" customWidth="1"/>
    <col min="1292" max="1292" width="0" hidden="1" customWidth="1"/>
    <col min="1293" max="1293" width="9.5703125" customWidth="1"/>
    <col min="1294" max="1294" width="2.42578125" customWidth="1"/>
    <col min="1295" max="1295" width="26.140625" customWidth="1"/>
    <col min="1296" max="1296" width="27.85546875" customWidth="1"/>
    <col min="1538" max="1538" width="30" customWidth="1"/>
    <col min="1539" max="1539" width="7.140625" customWidth="1"/>
    <col min="1540" max="1540" width="0.7109375" customWidth="1"/>
    <col min="1541" max="1545" width="0" hidden="1" customWidth="1"/>
    <col min="1546" max="1546" width="9.140625" customWidth="1"/>
    <col min="1547" max="1547" width="3.28515625" customWidth="1"/>
    <col min="1548" max="1548" width="0" hidden="1" customWidth="1"/>
    <col min="1549" max="1549" width="9.5703125" customWidth="1"/>
    <col min="1550" max="1550" width="2.42578125" customWidth="1"/>
    <col min="1551" max="1551" width="26.140625" customWidth="1"/>
    <col min="1552" max="1552" width="27.85546875" customWidth="1"/>
    <col min="1794" max="1794" width="30" customWidth="1"/>
    <col min="1795" max="1795" width="7.140625" customWidth="1"/>
    <col min="1796" max="1796" width="0.7109375" customWidth="1"/>
    <col min="1797" max="1801" width="0" hidden="1" customWidth="1"/>
    <col min="1802" max="1802" width="9.140625" customWidth="1"/>
    <col min="1803" max="1803" width="3.28515625" customWidth="1"/>
    <col min="1804" max="1804" width="0" hidden="1" customWidth="1"/>
    <col min="1805" max="1805" width="9.5703125" customWidth="1"/>
    <col min="1806" max="1806" width="2.42578125" customWidth="1"/>
    <col min="1807" max="1807" width="26.140625" customWidth="1"/>
    <col min="1808" max="1808" width="27.85546875" customWidth="1"/>
    <col min="2050" max="2050" width="30" customWidth="1"/>
    <col min="2051" max="2051" width="7.140625" customWidth="1"/>
    <col min="2052" max="2052" width="0.7109375" customWidth="1"/>
    <col min="2053" max="2057" width="0" hidden="1" customWidth="1"/>
    <col min="2058" max="2058" width="9.140625" customWidth="1"/>
    <col min="2059" max="2059" width="3.28515625" customWidth="1"/>
    <col min="2060" max="2060" width="0" hidden="1" customWidth="1"/>
    <col min="2061" max="2061" width="9.5703125" customWidth="1"/>
    <col min="2062" max="2062" width="2.42578125" customWidth="1"/>
    <col min="2063" max="2063" width="26.140625" customWidth="1"/>
    <col min="2064" max="2064" width="27.85546875" customWidth="1"/>
    <col min="2306" max="2306" width="30" customWidth="1"/>
    <col min="2307" max="2307" width="7.140625" customWidth="1"/>
    <col min="2308" max="2308" width="0.7109375" customWidth="1"/>
    <col min="2309" max="2313" width="0" hidden="1" customWidth="1"/>
    <col min="2314" max="2314" width="9.140625" customWidth="1"/>
    <col min="2315" max="2315" width="3.28515625" customWidth="1"/>
    <col min="2316" max="2316" width="0" hidden="1" customWidth="1"/>
    <col min="2317" max="2317" width="9.5703125" customWidth="1"/>
    <col min="2318" max="2318" width="2.42578125" customWidth="1"/>
    <col min="2319" max="2319" width="26.140625" customWidth="1"/>
    <col min="2320" max="2320" width="27.85546875" customWidth="1"/>
    <col min="2562" max="2562" width="30" customWidth="1"/>
    <col min="2563" max="2563" width="7.140625" customWidth="1"/>
    <col min="2564" max="2564" width="0.7109375" customWidth="1"/>
    <col min="2565" max="2569" width="0" hidden="1" customWidth="1"/>
    <col min="2570" max="2570" width="9.140625" customWidth="1"/>
    <col min="2571" max="2571" width="3.28515625" customWidth="1"/>
    <col min="2572" max="2572" width="0" hidden="1" customWidth="1"/>
    <col min="2573" max="2573" width="9.5703125" customWidth="1"/>
    <col min="2574" max="2574" width="2.42578125" customWidth="1"/>
    <col min="2575" max="2575" width="26.140625" customWidth="1"/>
    <col min="2576" max="2576" width="27.85546875" customWidth="1"/>
    <col min="2818" max="2818" width="30" customWidth="1"/>
    <col min="2819" max="2819" width="7.140625" customWidth="1"/>
    <col min="2820" max="2820" width="0.7109375" customWidth="1"/>
    <col min="2821" max="2825" width="0" hidden="1" customWidth="1"/>
    <col min="2826" max="2826" width="9.140625" customWidth="1"/>
    <col min="2827" max="2827" width="3.28515625" customWidth="1"/>
    <col min="2828" max="2828" width="0" hidden="1" customWidth="1"/>
    <col min="2829" max="2829" width="9.5703125" customWidth="1"/>
    <col min="2830" max="2830" width="2.42578125" customWidth="1"/>
    <col min="2831" max="2831" width="26.140625" customWidth="1"/>
    <col min="2832" max="2832" width="27.85546875" customWidth="1"/>
    <col min="3074" max="3074" width="30" customWidth="1"/>
    <col min="3075" max="3075" width="7.140625" customWidth="1"/>
    <col min="3076" max="3076" width="0.7109375" customWidth="1"/>
    <col min="3077" max="3081" width="0" hidden="1" customWidth="1"/>
    <col min="3082" max="3082" width="9.140625" customWidth="1"/>
    <col min="3083" max="3083" width="3.28515625" customWidth="1"/>
    <col min="3084" max="3084" width="0" hidden="1" customWidth="1"/>
    <col min="3085" max="3085" width="9.5703125" customWidth="1"/>
    <col min="3086" max="3086" width="2.42578125" customWidth="1"/>
    <col min="3087" max="3087" width="26.140625" customWidth="1"/>
    <col min="3088" max="3088" width="27.85546875" customWidth="1"/>
    <col min="3330" max="3330" width="30" customWidth="1"/>
    <col min="3331" max="3331" width="7.140625" customWidth="1"/>
    <col min="3332" max="3332" width="0.7109375" customWidth="1"/>
    <col min="3333" max="3337" width="0" hidden="1" customWidth="1"/>
    <col min="3338" max="3338" width="9.140625" customWidth="1"/>
    <col min="3339" max="3339" width="3.28515625" customWidth="1"/>
    <col min="3340" max="3340" width="0" hidden="1" customWidth="1"/>
    <col min="3341" max="3341" width="9.5703125" customWidth="1"/>
    <col min="3342" max="3342" width="2.42578125" customWidth="1"/>
    <col min="3343" max="3343" width="26.140625" customWidth="1"/>
    <col min="3344" max="3344" width="27.85546875" customWidth="1"/>
    <col min="3586" max="3586" width="30" customWidth="1"/>
    <col min="3587" max="3587" width="7.140625" customWidth="1"/>
    <col min="3588" max="3588" width="0.7109375" customWidth="1"/>
    <col min="3589" max="3593" width="0" hidden="1" customWidth="1"/>
    <col min="3594" max="3594" width="9.140625" customWidth="1"/>
    <col min="3595" max="3595" width="3.28515625" customWidth="1"/>
    <col min="3596" max="3596" width="0" hidden="1" customWidth="1"/>
    <col min="3597" max="3597" width="9.5703125" customWidth="1"/>
    <col min="3598" max="3598" width="2.42578125" customWidth="1"/>
    <col min="3599" max="3599" width="26.140625" customWidth="1"/>
    <col min="3600" max="3600" width="27.85546875" customWidth="1"/>
    <col min="3842" max="3842" width="30" customWidth="1"/>
    <col min="3843" max="3843" width="7.140625" customWidth="1"/>
    <col min="3844" max="3844" width="0.7109375" customWidth="1"/>
    <col min="3845" max="3849" width="0" hidden="1" customWidth="1"/>
    <col min="3850" max="3850" width="9.140625" customWidth="1"/>
    <col min="3851" max="3851" width="3.28515625" customWidth="1"/>
    <col min="3852" max="3852" width="0" hidden="1" customWidth="1"/>
    <col min="3853" max="3853" width="9.5703125" customWidth="1"/>
    <col min="3854" max="3854" width="2.42578125" customWidth="1"/>
    <col min="3855" max="3855" width="26.140625" customWidth="1"/>
    <col min="3856" max="3856" width="27.85546875" customWidth="1"/>
    <col min="4098" max="4098" width="30" customWidth="1"/>
    <col min="4099" max="4099" width="7.140625" customWidth="1"/>
    <col min="4100" max="4100" width="0.7109375" customWidth="1"/>
    <col min="4101" max="4105" width="0" hidden="1" customWidth="1"/>
    <col min="4106" max="4106" width="9.140625" customWidth="1"/>
    <col min="4107" max="4107" width="3.28515625" customWidth="1"/>
    <col min="4108" max="4108" width="0" hidden="1" customWidth="1"/>
    <col min="4109" max="4109" width="9.5703125" customWidth="1"/>
    <col min="4110" max="4110" width="2.42578125" customWidth="1"/>
    <col min="4111" max="4111" width="26.140625" customWidth="1"/>
    <col min="4112" max="4112" width="27.85546875" customWidth="1"/>
    <col min="4354" max="4354" width="30" customWidth="1"/>
    <col min="4355" max="4355" width="7.140625" customWidth="1"/>
    <col min="4356" max="4356" width="0.7109375" customWidth="1"/>
    <col min="4357" max="4361" width="0" hidden="1" customWidth="1"/>
    <col min="4362" max="4362" width="9.140625" customWidth="1"/>
    <col min="4363" max="4363" width="3.28515625" customWidth="1"/>
    <col min="4364" max="4364" width="0" hidden="1" customWidth="1"/>
    <col min="4365" max="4365" width="9.5703125" customWidth="1"/>
    <col min="4366" max="4366" width="2.42578125" customWidth="1"/>
    <col min="4367" max="4367" width="26.140625" customWidth="1"/>
    <col min="4368" max="4368" width="27.85546875" customWidth="1"/>
    <col min="4610" max="4610" width="30" customWidth="1"/>
    <col min="4611" max="4611" width="7.140625" customWidth="1"/>
    <col min="4612" max="4612" width="0.7109375" customWidth="1"/>
    <col min="4613" max="4617" width="0" hidden="1" customWidth="1"/>
    <col min="4618" max="4618" width="9.140625" customWidth="1"/>
    <col min="4619" max="4619" width="3.28515625" customWidth="1"/>
    <col min="4620" max="4620" width="0" hidden="1" customWidth="1"/>
    <col min="4621" max="4621" width="9.5703125" customWidth="1"/>
    <col min="4622" max="4622" width="2.42578125" customWidth="1"/>
    <col min="4623" max="4623" width="26.140625" customWidth="1"/>
    <col min="4624" max="4624" width="27.85546875" customWidth="1"/>
    <col min="4866" max="4866" width="30" customWidth="1"/>
    <col min="4867" max="4867" width="7.140625" customWidth="1"/>
    <col min="4868" max="4868" width="0.7109375" customWidth="1"/>
    <col min="4869" max="4873" width="0" hidden="1" customWidth="1"/>
    <col min="4874" max="4874" width="9.140625" customWidth="1"/>
    <col min="4875" max="4875" width="3.28515625" customWidth="1"/>
    <col min="4876" max="4876" width="0" hidden="1" customWidth="1"/>
    <col min="4877" max="4877" width="9.5703125" customWidth="1"/>
    <col min="4878" max="4878" width="2.42578125" customWidth="1"/>
    <col min="4879" max="4879" width="26.140625" customWidth="1"/>
    <col min="4880" max="4880" width="27.85546875" customWidth="1"/>
    <col min="5122" max="5122" width="30" customWidth="1"/>
    <col min="5123" max="5123" width="7.140625" customWidth="1"/>
    <col min="5124" max="5124" width="0.7109375" customWidth="1"/>
    <col min="5125" max="5129" width="0" hidden="1" customWidth="1"/>
    <col min="5130" max="5130" width="9.140625" customWidth="1"/>
    <col min="5131" max="5131" width="3.28515625" customWidth="1"/>
    <col min="5132" max="5132" width="0" hidden="1" customWidth="1"/>
    <col min="5133" max="5133" width="9.5703125" customWidth="1"/>
    <col min="5134" max="5134" width="2.42578125" customWidth="1"/>
    <col min="5135" max="5135" width="26.140625" customWidth="1"/>
    <col min="5136" max="5136" width="27.85546875" customWidth="1"/>
    <col min="5378" max="5378" width="30" customWidth="1"/>
    <col min="5379" max="5379" width="7.140625" customWidth="1"/>
    <col min="5380" max="5380" width="0.7109375" customWidth="1"/>
    <col min="5381" max="5385" width="0" hidden="1" customWidth="1"/>
    <col min="5386" max="5386" width="9.140625" customWidth="1"/>
    <col min="5387" max="5387" width="3.28515625" customWidth="1"/>
    <col min="5388" max="5388" width="0" hidden="1" customWidth="1"/>
    <col min="5389" max="5389" width="9.5703125" customWidth="1"/>
    <col min="5390" max="5390" width="2.42578125" customWidth="1"/>
    <col min="5391" max="5391" width="26.140625" customWidth="1"/>
    <col min="5392" max="5392" width="27.85546875" customWidth="1"/>
    <col min="5634" max="5634" width="30" customWidth="1"/>
    <col min="5635" max="5635" width="7.140625" customWidth="1"/>
    <col min="5636" max="5636" width="0.7109375" customWidth="1"/>
    <col min="5637" max="5641" width="0" hidden="1" customWidth="1"/>
    <col min="5642" max="5642" width="9.140625" customWidth="1"/>
    <col min="5643" max="5643" width="3.28515625" customWidth="1"/>
    <col min="5644" max="5644" width="0" hidden="1" customWidth="1"/>
    <col min="5645" max="5645" width="9.5703125" customWidth="1"/>
    <col min="5646" max="5646" width="2.42578125" customWidth="1"/>
    <col min="5647" max="5647" width="26.140625" customWidth="1"/>
    <col min="5648" max="5648" width="27.85546875" customWidth="1"/>
    <col min="5890" max="5890" width="30" customWidth="1"/>
    <col min="5891" max="5891" width="7.140625" customWidth="1"/>
    <col min="5892" max="5892" width="0.7109375" customWidth="1"/>
    <col min="5893" max="5897" width="0" hidden="1" customWidth="1"/>
    <col min="5898" max="5898" width="9.140625" customWidth="1"/>
    <col min="5899" max="5899" width="3.28515625" customWidth="1"/>
    <col min="5900" max="5900" width="0" hidden="1" customWidth="1"/>
    <col min="5901" max="5901" width="9.5703125" customWidth="1"/>
    <col min="5902" max="5902" width="2.42578125" customWidth="1"/>
    <col min="5903" max="5903" width="26.140625" customWidth="1"/>
    <col min="5904" max="5904" width="27.85546875" customWidth="1"/>
    <col min="6146" max="6146" width="30" customWidth="1"/>
    <col min="6147" max="6147" width="7.140625" customWidth="1"/>
    <col min="6148" max="6148" width="0.7109375" customWidth="1"/>
    <col min="6149" max="6153" width="0" hidden="1" customWidth="1"/>
    <col min="6154" max="6154" width="9.140625" customWidth="1"/>
    <col min="6155" max="6155" width="3.28515625" customWidth="1"/>
    <col min="6156" max="6156" width="0" hidden="1" customWidth="1"/>
    <col min="6157" max="6157" width="9.5703125" customWidth="1"/>
    <col min="6158" max="6158" width="2.42578125" customWidth="1"/>
    <col min="6159" max="6159" width="26.140625" customWidth="1"/>
    <col min="6160" max="6160" width="27.85546875" customWidth="1"/>
    <col min="6402" max="6402" width="30" customWidth="1"/>
    <col min="6403" max="6403" width="7.140625" customWidth="1"/>
    <col min="6404" max="6404" width="0.7109375" customWidth="1"/>
    <col min="6405" max="6409" width="0" hidden="1" customWidth="1"/>
    <col min="6410" max="6410" width="9.140625" customWidth="1"/>
    <col min="6411" max="6411" width="3.28515625" customWidth="1"/>
    <col min="6412" max="6412" width="0" hidden="1" customWidth="1"/>
    <col min="6413" max="6413" width="9.5703125" customWidth="1"/>
    <col min="6414" max="6414" width="2.42578125" customWidth="1"/>
    <col min="6415" max="6415" width="26.140625" customWidth="1"/>
    <col min="6416" max="6416" width="27.85546875" customWidth="1"/>
    <col min="6658" max="6658" width="30" customWidth="1"/>
    <col min="6659" max="6659" width="7.140625" customWidth="1"/>
    <col min="6660" max="6660" width="0.7109375" customWidth="1"/>
    <col min="6661" max="6665" width="0" hidden="1" customWidth="1"/>
    <col min="6666" max="6666" width="9.140625" customWidth="1"/>
    <col min="6667" max="6667" width="3.28515625" customWidth="1"/>
    <col min="6668" max="6668" width="0" hidden="1" customWidth="1"/>
    <col min="6669" max="6669" width="9.5703125" customWidth="1"/>
    <col min="6670" max="6670" width="2.42578125" customWidth="1"/>
    <col min="6671" max="6671" width="26.140625" customWidth="1"/>
    <col min="6672" max="6672" width="27.85546875" customWidth="1"/>
    <col min="6914" max="6914" width="30" customWidth="1"/>
    <col min="6915" max="6915" width="7.140625" customWidth="1"/>
    <col min="6916" max="6916" width="0.7109375" customWidth="1"/>
    <col min="6917" max="6921" width="0" hidden="1" customWidth="1"/>
    <col min="6922" max="6922" width="9.140625" customWidth="1"/>
    <col min="6923" max="6923" width="3.28515625" customWidth="1"/>
    <col min="6924" max="6924" width="0" hidden="1" customWidth="1"/>
    <col min="6925" max="6925" width="9.5703125" customWidth="1"/>
    <col min="6926" max="6926" width="2.42578125" customWidth="1"/>
    <col min="6927" max="6927" width="26.140625" customWidth="1"/>
    <col min="6928" max="6928" width="27.85546875" customWidth="1"/>
    <col min="7170" max="7170" width="30" customWidth="1"/>
    <col min="7171" max="7171" width="7.140625" customWidth="1"/>
    <col min="7172" max="7172" width="0.7109375" customWidth="1"/>
    <col min="7173" max="7177" width="0" hidden="1" customWidth="1"/>
    <col min="7178" max="7178" width="9.140625" customWidth="1"/>
    <col min="7179" max="7179" width="3.28515625" customWidth="1"/>
    <col min="7180" max="7180" width="0" hidden="1" customWidth="1"/>
    <col min="7181" max="7181" width="9.5703125" customWidth="1"/>
    <col min="7182" max="7182" width="2.42578125" customWidth="1"/>
    <col min="7183" max="7183" width="26.140625" customWidth="1"/>
    <col min="7184" max="7184" width="27.85546875" customWidth="1"/>
    <col min="7426" max="7426" width="30" customWidth="1"/>
    <col min="7427" max="7427" width="7.140625" customWidth="1"/>
    <col min="7428" max="7428" width="0.7109375" customWidth="1"/>
    <col min="7429" max="7433" width="0" hidden="1" customWidth="1"/>
    <col min="7434" max="7434" width="9.140625" customWidth="1"/>
    <col min="7435" max="7435" width="3.28515625" customWidth="1"/>
    <col min="7436" max="7436" width="0" hidden="1" customWidth="1"/>
    <col min="7437" max="7437" width="9.5703125" customWidth="1"/>
    <col min="7438" max="7438" width="2.42578125" customWidth="1"/>
    <col min="7439" max="7439" width="26.140625" customWidth="1"/>
    <col min="7440" max="7440" width="27.85546875" customWidth="1"/>
    <col min="7682" max="7682" width="30" customWidth="1"/>
    <col min="7683" max="7683" width="7.140625" customWidth="1"/>
    <col min="7684" max="7684" width="0.7109375" customWidth="1"/>
    <col min="7685" max="7689" width="0" hidden="1" customWidth="1"/>
    <col min="7690" max="7690" width="9.140625" customWidth="1"/>
    <col min="7691" max="7691" width="3.28515625" customWidth="1"/>
    <col min="7692" max="7692" width="0" hidden="1" customWidth="1"/>
    <col min="7693" max="7693" width="9.5703125" customWidth="1"/>
    <col min="7694" max="7694" width="2.42578125" customWidth="1"/>
    <col min="7695" max="7695" width="26.140625" customWidth="1"/>
    <col min="7696" max="7696" width="27.85546875" customWidth="1"/>
    <col min="7938" max="7938" width="30" customWidth="1"/>
    <col min="7939" max="7939" width="7.140625" customWidth="1"/>
    <col min="7940" max="7940" width="0.7109375" customWidth="1"/>
    <col min="7941" max="7945" width="0" hidden="1" customWidth="1"/>
    <col min="7946" max="7946" width="9.140625" customWidth="1"/>
    <col min="7947" max="7947" width="3.28515625" customWidth="1"/>
    <col min="7948" max="7948" width="0" hidden="1" customWidth="1"/>
    <col min="7949" max="7949" width="9.5703125" customWidth="1"/>
    <col min="7950" max="7950" width="2.42578125" customWidth="1"/>
    <col min="7951" max="7951" width="26.140625" customWidth="1"/>
    <col min="7952" max="7952" width="27.85546875" customWidth="1"/>
    <col min="8194" max="8194" width="30" customWidth="1"/>
    <col min="8195" max="8195" width="7.140625" customWidth="1"/>
    <col min="8196" max="8196" width="0.7109375" customWidth="1"/>
    <col min="8197" max="8201" width="0" hidden="1" customWidth="1"/>
    <col min="8202" max="8202" width="9.140625" customWidth="1"/>
    <col min="8203" max="8203" width="3.28515625" customWidth="1"/>
    <col min="8204" max="8204" width="0" hidden="1" customWidth="1"/>
    <col min="8205" max="8205" width="9.5703125" customWidth="1"/>
    <col min="8206" max="8206" width="2.42578125" customWidth="1"/>
    <col min="8207" max="8207" width="26.140625" customWidth="1"/>
    <col min="8208" max="8208" width="27.85546875" customWidth="1"/>
    <col min="8450" max="8450" width="30" customWidth="1"/>
    <col min="8451" max="8451" width="7.140625" customWidth="1"/>
    <col min="8452" max="8452" width="0.7109375" customWidth="1"/>
    <col min="8453" max="8457" width="0" hidden="1" customWidth="1"/>
    <col min="8458" max="8458" width="9.140625" customWidth="1"/>
    <col min="8459" max="8459" width="3.28515625" customWidth="1"/>
    <col min="8460" max="8460" width="0" hidden="1" customWidth="1"/>
    <col min="8461" max="8461" width="9.5703125" customWidth="1"/>
    <col min="8462" max="8462" width="2.42578125" customWidth="1"/>
    <col min="8463" max="8463" width="26.140625" customWidth="1"/>
    <col min="8464" max="8464" width="27.85546875" customWidth="1"/>
    <col min="8706" max="8706" width="30" customWidth="1"/>
    <col min="8707" max="8707" width="7.140625" customWidth="1"/>
    <col min="8708" max="8708" width="0.7109375" customWidth="1"/>
    <col min="8709" max="8713" width="0" hidden="1" customWidth="1"/>
    <col min="8714" max="8714" width="9.140625" customWidth="1"/>
    <col min="8715" max="8715" width="3.28515625" customWidth="1"/>
    <col min="8716" max="8716" width="0" hidden="1" customWidth="1"/>
    <col min="8717" max="8717" width="9.5703125" customWidth="1"/>
    <col min="8718" max="8718" width="2.42578125" customWidth="1"/>
    <col min="8719" max="8719" width="26.140625" customWidth="1"/>
    <col min="8720" max="8720" width="27.85546875" customWidth="1"/>
    <col min="8962" max="8962" width="30" customWidth="1"/>
    <col min="8963" max="8963" width="7.140625" customWidth="1"/>
    <col min="8964" max="8964" width="0.7109375" customWidth="1"/>
    <col min="8965" max="8969" width="0" hidden="1" customWidth="1"/>
    <col min="8970" max="8970" width="9.140625" customWidth="1"/>
    <col min="8971" max="8971" width="3.28515625" customWidth="1"/>
    <col min="8972" max="8972" width="0" hidden="1" customWidth="1"/>
    <col min="8973" max="8973" width="9.5703125" customWidth="1"/>
    <col min="8974" max="8974" width="2.42578125" customWidth="1"/>
    <col min="8975" max="8975" width="26.140625" customWidth="1"/>
    <col min="8976" max="8976" width="27.85546875" customWidth="1"/>
    <col min="9218" max="9218" width="30" customWidth="1"/>
    <col min="9219" max="9219" width="7.140625" customWidth="1"/>
    <col min="9220" max="9220" width="0.7109375" customWidth="1"/>
    <col min="9221" max="9225" width="0" hidden="1" customWidth="1"/>
    <col min="9226" max="9226" width="9.140625" customWidth="1"/>
    <col min="9227" max="9227" width="3.28515625" customWidth="1"/>
    <col min="9228" max="9228" width="0" hidden="1" customWidth="1"/>
    <col min="9229" max="9229" width="9.5703125" customWidth="1"/>
    <col min="9230" max="9230" width="2.42578125" customWidth="1"/>
    <col min="9231" max="9231" width="26.140625" customWidth="1"/>
    <col min="9232" max="9232" width="27.85546875" customWidth="1"/>
    <col min="9474" max="9474" width="30" customWidth="1"/>
    <col min="9475" max="9475" width="7.140625" customWidth="1"/>
    <col min="9476" max="9476" width="0.7109375" customWidth="1"/>
    <col min="9477" max="9481" width="0" hidden="1" customWidth="1"/>
    <col min="9482" max="9482" width="9.140625" customWidth="1"/>
    <col min="9483" max="9483" width="3.28515625" customWidth="1"/>
    <col min="9484" max="9484" width="0" hidden="1" customWidth="1"/>
    <col min="9485" max="9485" width="9.5703125" customWidth="1"/>
    <col min="9486" max="9486" width="2.42578125" customWidth="1"/>
    <col min="9487" max="9487" width="26.140625" customWidth="1"/>
    <col min="9488" max="9488" width="27.85546875" customWidth="1"/>
    <col min="9730" max="9730" width="30" customWidth="1"/>
    <col min="9731" max="9731" width="7.140625" customWidth="1"/>
    <col min="9732" max="9732" width="0.7109375" customWidth="1"/>
    <col min="9733" max="9737" width="0" hidden="1" customWidth="1"/>
    <col min="9738" max="9738" width="9.140625" customWidth="1"/>
    <col min="9739" max="9739" width="3.28515625" customWidth="1"/>
    <col min="9740" max="9740" width="0" hidden="1" customWidth="1"/>
    <col min="9741" max="9741" width="9.5703125" customWidth="1"/>
    <col min="9742" max="9742" width="2.42578125" customWidth="1"/>
    <col min="9743" max="9743" width="26.140625" customWidth="1"/>
    <col min="9744" max="9744" width="27.85546875" customWidth="1"/>
    <col min="9986" max="9986" width="30" customWidth="1"/>
    <col min="9987" max="9987" width="7.140625" customWidth="1"/>
    <col min="9988" max="9988" width="0.7109375" customWidth="1"/>
    <col min="9989" max="9993" width="0" hidden="1" customWidth="1"/>
    <col min="9994" max="9994" width="9.140625" customWidth="1"/>
    <col min="9995" max="9995" width="3.28515625" customWidth="1"/>
    <col min="9996" max="9996" width="0" hidden="1" customWidth="1"/>
    <col min="9997" max="9997" width="9.5703125" customWidth="1"/>
    <col min="9998" max="9998" width="2.42578125" customWidth="1"/>
    <col min="9999" max="9999" width="26.140625" customWidth="1"/>
    <col min="10000" max="10000" width="27.85546875" customWidth="1"/>
    <col min="10242" max="10242" width="30" customWidth="1"/>
    <col min="10243" max="10243" width="7.140625" customWidth="1"/>
    <col min="10244" max="10244" width="0.7109375" customWidth="1"/>
    <col min="10245" max="10249" width="0" hidden="1" customWidth="1"/>
    <col min="10250" max="10250" width="9.140625" customWidth="1"/>
    <col min="10251" max="10251" width="3.28515625" customWidth="1"/>
    <col min="10252" max="10252" width="0" hidden="1" customWidth="1"/>
    <col min="10253" max="10253" width="9.5703125" customWidth="1"/>
    <col min="10254" max="10254" width="2.42578125" customWidth="1"/>
    <col min="10255" max="10255" width="26.140625" customWidth="1"/>
    <col min="10256" max="10256" width="27.85546875" customWidth="1"/>
    <col min="10498" max="10498" width="30" customWidth="1"/>
    <col min="10499" max="10499" width="7.140625" customWidth="1"/>
    <col min="10500" max="10500" width="0.7109375" customWidth="1"/>
    <col min="10501" max="10505" width="0" hidden="1" customWidth="1"/>
    <col min="10506" max="10506" width="9.140625" customWidth="1"/>
    <col min="10507" max="10507" width="3.28515625" customWidth="1"/>
    <col min="10508" max="10508" width="0" hidden="1" customWidth="1"/>
    <col min="10509" max="10509" width="9.5703125" customWidth="1"/>
    <col min="10510" max="10510" width="2.42578125" customWidth="1"/>
    <col min="10511" max="10511" width="26.140625" customWidth="1"/>
    <col min="10512" max="10512" width="27.85546875" customWidth="1"/>
    <col min="10754" max="10754" width="30" customWidth="1"/>
    <col min="10755" max="10755" width="7.140625" customWidth="1"/>
    <col min="10756" max="10756" width="0.7109375" customWidth="1"/>
    <col min="10757" max="10761" width="0" hidden="1" customWidth="1"/>
    <col min="10762" max="10762" width="9.140625" customWidth="1"/>
    <col min="10763" max="10763" width="3.28515625" customWidth="1"/>
    <col min="10764" max="10764" width="0" hidden="1" customWidth="1"/>
    <col min="10765" max="10765" width="9.5703125" customWidth="1"/>
    <col min="10766" max="10766" width="2.42578125" customWidth="1"/>
    <col min="10767" max="10767" width="26.140625" customWidth="1"/>
    <col min="10768" max="10768" width="27.85546875" customWidth="1"/>
    <col min="11010" max="11010" width="30" customWidth="1"/>
    <col min="11011" max="11011" width="7.140625" customWidth="1"/>
    <col min="11012" max="11012" width="0.7109375" customWidth="1"/>
    <col min="11013" max="11017" width="0" hidden="1" customWidth="1"/>
    <col min="11018" max="11018" width="9.140625" customWidth="1"/>
    <col min="11019" max="11019" width="3.28515625" customWidth="1"/>
    <col min="11020" max="11020" width="0" hidden="1" customWidth="1"/>
    <col min="11021" max="11021" width="9.5703125" customWidth="1"/>
    <col min="11022" max="11022" width="2.42578125" customWidth="1"/>
    <col min="11023" max="11023" width="26.140625" customWidth="1"/>
    <col min="11024" max="11024" width="27.85546875" customWidth="1"/>
    <col min="11266" max="11266" width="30" customWidth="1"/>
    <col min="11267" max="11267" width="7.140625" customWidth="1"/>
    <col min="11268" max="11268" width="0.7109375" customWidth="1"/>
    <col min="11269" max="11273" width="0" hidden="1" customWidth="1"/>
    <col min="11274" max="11274" width="9.140625" customWidth="1"/>
    <col min="11275" max="11275" width="3.28515625" customWidth="1"/>
    <col min="11276" max="11276" width="0" hidden="1" customWidth="1"/>
    <col min="11277" max="11277" width="9.5703125" customWidth="1"/>
    <col min="11278" max="11278" width="2.42578125" customWidth="1"/>
    <col min="11279" max="11279" width="26.140625" customWidth="1"/>
    <col min="11280" max="11280" width="27.85546875" customWidth="1"/>
    <col min="11522" max="11522" width="30" customWidth="1"/>
    <col min="11523" max="11523" width="7.140625" customWidth="1"/>
    <col min="11524" max="11524" width="0.7109375" customWidth="1"/>
    <col min="11525" max="11529" width="0" hidden="1" customWidth="1"/>
    <col min="11530" max="11530" width="9.140625" customWidth="1"/>
    <col min="11531" max="11531" width="3.28515625" customWidth="1"/>
    <col min="11532" max="11532" width="0" hidden="1" customWidth="1"/>
    <col min="11533" max="11533" width="9.5703125" customWidth="1"/>
    <col min="11534" max="11534" width="2.42578125" customWidth="1"/>
    <col min="11535" max="11535" width="26.140625" customWidth="1"/>
    <col min="11536" max="11536" width="27.85546875" customWidth="1"/>
    <col min="11778" max="11778" width="30" customWidth="1"/>
    <col min="11779" max="11779" width="7.140625" customWidth="1"/>
    <col min="11780" max="11780" width="0.7109375" customWidth="1"/>
    <col min="11781" max="11785" width="0" hidden="1" customWidth="1"/>
    <col min="11786" max="11786" width="9.140625" customWidth="1"/>
    <col min="11787" max="11787" width="3.28515625" customWidth="1"/>
    <col min="11788" max="11788" width="0" hidden="1" customWidth="1"/>
    <col min="11789" max="11789" width="9.5703125" customWidth="1"/>
    <col min="11790" max="11790" width="2.42578125" customWidth="1"/>
    <col min="11791" max="11791" width="26.140625" customWidth="1"/>
    <col min="11792" max="11792" width="27.85546875" customWidth="1"/>
    <col min="12034" max="12034" width="30" customWidth="1"/>
    <col min="12035" max="12035" width="7.140625" customWidth="1"/>
    <col min="12036" max="12036" width="0.7109375" customWidth="1"/>
    <col min="12037" max="12041" width="0" hidden="1" customWidth="1"/>
    <col min="12042" max="12042" width="9.140625" customWidth="1"/>
    <col min="12043" max="12043" width="3.28515625" customWidth="1"/>
    <col min="12044" max="12044" width="0" hidden="1" customWidth="1"/>
    <col min="12045" max="12045" width="9.5703125" customWidth="1"/>
    <col min="12046" max="12046" width="2.42578125" customWidth="1"/>
    <col min="12047" max="12047" width="26.140625" customWidth="1"/>
    <col min="12048" max="12048" width="27.85546875" customWidth="1"/>
    <col min="12290" max="12290" width="30" customWidth="1"/>
    <col min="12291" max="12291" width="7.140625" customWidth="1"/>
    <col min="12292" max="12292" width="0.7109375" customWidth="1"/>
    <col min="12293" max="12297" width="0" hidden="1" customWidth="1"/>
    <col min="12298" max="12298" width="9.140625" customWidth="1"/>
    <col min="12299" max="12299" width="3.28515625" customWidth="1"/>
    <col min="12300" max="12300" width="0" hidden="1" customWidth="1"/>
    <col min="12301" max="12301" width="9.5703125" customWidth="1"/>
    <col min="12302" max="12302" width="2.42578125" customWidth="1"/>
    <col min="12303" max="12303" width="26.140625" customWidth="1"/>
    <col min="12304" max="12304" width="27.85546875" customWidth="1"/>
    <col min="12546" max="12546" width="30" customWidth="1"/>
    <col min="12547" max="12547" width="7.140625" customWidth="1"/>
    <col min="12548" max="12548" width="0.7109375" customWidth="1"/>
    <col min="12549" max="12553" width="0" hidden="1" customWidth="1"/>
    <col min="12554" max="12554" width="9.140625" customWidth="1"/>
    <col min="12555" max="12555" width="3.28515625" customWidth="1"/>
    <col min="12556" max="12556" width="0" hidden="1" customWidth="1"/>
    <col min="12557" max="12557" width="9.5703125" customWidth="1"/>
    <col min="12558" max="12558" width="2.42578125" customWidth="1"/>
    <col min="12559" max="12559" width="26.140625" customWidth="1"/>
    <col min="12560" max="12560" width="27.85546875" customWidth="1"/>
    <col min="12802" max="12802" width="30" customWidth="1"/>
    <col min="12803" max="12803" width="7.140625" customWidth="1"/>
    <col min="12804" max="12804" width="0.7109375" customWidth="1"/>
    <col min="12805" max="12809" width="0" hidden="1" customWidth="1"/>
    <col min="12810" max="12810" width="9.140625" customWidth="1"/>
    <col min="12811" max="12811" width="3.28515625" customWidth="1"/>
    <col min="12812" max="12812" width="0" hidden="1" customWidth="1"/>
    <col min="12813" max="12813" width="9.5703125" customWidth="1"/>
    <col min="12814" max="12814" width="2.42578125" customWidth="1"/>
    <col min="12815" max="12815" width="26.140625" customWidth="1"/>
    <col min="12816" max="12816" width="27.85546875" customWidth="1"/>
    <col min="13058" max="13058" width="30" customWidth="1"/>
    <col min="13059" max="13059" width="7.140625" customWidth="1"/>
    <col min="13060" max="13060" width="0.7109375" customWidth="1"/>
    <col min="13061" max="13065" width="0" hidden="1" customWidth="1"/>
    <col min="13066" max="13066" width="9.140625" customWidth="1"/>
    <col min="13067" max="13067" width="3.28515625" customWidth="1"/>
    <col min="13068" max="13068" width="0" hidden="1" customWidth="1"/>
    <col min="13069" max="13069" width="9.5703125" customWidth="1"/>
    <col min="13070" max="13070" width="2.42578125" customWidth="1"/>
    <col min="13071" max="13071" width="26.140625" customWidth="1"/>
    <col min="13072" max="13072" width="27.85546875" customWidth="1"/>
    <col min="13314" max="13314" width="30" customWidth="1"/>
    <col min="13315" max="13315" width="7.140625" customWidth="1"/>
    <col min="13316" max="13316" width="0.7109375" customWidth="1"/>
    <col min="13317" max="13321" width="0" hidden="1" customWidth="1"/>
    <col min="13322" max="13322" width="9.140625" customWidth="1"/>
    <col min="13323" max="13323" width="3.28515625" customWidth="1"/>
    <col min="13324" max="13324" width="0" hidden="1" customWidth="1"/>
    <col min="13325" max="13325" width="9.5703125" customWidth="1"/>
    <col min="13326" max="13326" width="2.42578125" customWidth="1"/>
    <col min="13327" max="13327" width="26.140625" customWidth="1"/>
    <col min="13328" max="13328" width="27.85546875" customWidth="1"/>
    <col min="13570" max="13570" width="30" customWidth="1"/>
    <col min="13571" max="13571" width="7.140625" customWidth="1"/>
    <col min="13572" max="13572" width="0.7109375" customWidth="1"/>
    <col min="13573" max="13577" width="0" hidden="1" customWidth="1"/>
    <col min="13578" max="13578" width="9.140625" customWidth="1"/>
    <col min="13579" max="13579" width="3.28515625" customWidth="1"/>
    <col min="13580" max="13580" width="0" hidden="1" customWidth="1"/>
    <col min="13581" max="13581" width="9.5703125" customWidth="1"/>
    <col min="13582" max="13582" width="2.42578125" customWidth="1"/>
    <col min="13583" max="13583" width="26.140625" customWidth="1"/>
    <col min="13584" max="13584" width="27.85546875" customWidth="1"/>
    <col min="13826" max="13826" width="30" customWidth="1"/>
    <col min="13827" max="13827" width="7.140625" customWidth="1"/>
    <col min="13828" max="13828" width="0.7109375" customWidth="1"/>
    <col min="13829" max="13833" width="0" hidden="1" customWidth="1"/>
    <col min="13834" max="13834" width="9.140625" customWidth="1"/>
    <col min="13835" max="13835" width="3.28515625" customWidth="1"/>
    <col min="13836" max="13836" width="0" hidden="1" customWidth="1"/>
    <col min="13837" max="13837" width="9.5703125" customWidth="1"/>
    <col min="13838" max="13838" width="2.42578125" customWidth="1"/>
    <col min="13839" max="13839" width="26.140625" customWidth="1"/>
    <col min="13840" max="13840" width="27.85546875" customWidth="1"/>
    <col min="14082" max="14082" width="30" customWidth="1"/>
    <col min="14083" max="14083" width="7.140625" customWidth="1"/>
    <col min="14084" max="14084" width="0.7109375" customWidth="1"/>
    <col min="14085" max="14089" width="0" hidden="1" customWidth="1"/>
    <col min="14090" max="14090" width="9.140625" customWidth="1"/>
    <col min="14091" max="14091" width="3.28515625" customWidth="1"/>
    <col min="14092" max="14092" width="0" hidden="1" customWidth="1"/>
    <col min="14093" max="14093" width="9.5703125" customWidth="1"/>
    <col min="14094" max="14094" width="2.42578125" customWidth="1"/>
    <col min="14095" max="14095" width="26.140625" customWidth="1"/>
    <col min="14096" max="14096" width="27.85546875" customWidth="1"/>
    <col min="14338" max="14338" width="30" customWidth="1"/>
    <col min="14339" max="14339" width="7.140625" customWidth="1"/>
    <col min="14340" max="14340" width="0.7109375" customWidth="1"/>
    <col min="14341" max="14345" width="0" hidden="1" customWidth="1"/>
    <col min="14346" max="14346" width="9.140625" customWidth="1"/>
    <col min="14347" max="14347" width="3.28515625" customWidth="1"/>
    <col min="14348" max="14348" width="0" hidden="1" customWidth="1"/>
    <col min="14349" max="14349" width="9.5703125" customWidth="1"/>
    <col min="14350" max="14350" width="2.42578125" customWidth="1"/>
    <col min="14351" max="14351" width="26.140625" customWidth="1"/>
    <col min="14352" max="14352" width="27.85546875" customWidth="1"/>
    <col min="14594" max="14594" width="30" customWidth="1"/>
    <col min="14595" max="14595" width="7.140625" customWidth="1"/>
    <col min="14596" max="14596" width="0.7109375" customWidth="1"/>
    <col min="14597" max="14601" width="0" hidden="1" customWidth="1"/>
    <col min="14602" max="14602" width="9.140625" customWidth="1"/>
    <col min="14603" max="14603" width="3.28515625" customWidth="1"/>
    <col min="14604" max="14604" width="0" hidden="1" customWidth="1"/>
    <col min="14605" max="14605" width="9.5703125" customWidth="1"/>
    <col min="14606" max="14606" width="2.42578125" customWidth="1"/>
    <col min="14607" max="14607" width="26.140625" customWidth="1"/>
    <col min="14608" max="14608" width="27.85546875" customWidth="1"/>
    <col min="14850" max="14850" width="30" customWidth="1"/>
    <col min="14851" max="14851" width="7.140625" customWidth="1"/>
    <col min="14852" max="14852" width="0.7109375" customWidth="1"/>
    <col min="14853" max="14857" width="0" hidden="1" customWidth="1"/>
    <col min="14858" max="14858" width="9.140625" customWidth="1"/>
    <col min="14859" max="14859" width="3.28515625" customWidth="1"/>
    <col min="14860" max="14860" width="0" hidden="1" customWidth="1"/>
    <col min="14861" max="14861" width="9.5703125" customWidth="1"/>
    <col min="14862" max="14862" width="2.42578125" customWidth="1"/>
    <col min="14863" max="14863" width="26.140625" customWidth="1"/>
    <col min="14864" max="14864" width="27.85546875" customWidth="1"/>
    <col min="15106" max="15106" width="30" customWidth="1"/>
    <col min="15107" max="15107" width="7.140625" customWidth="1"/>
    <col min="15108" max="15108" width="0.7109375" customWidth="1"/>
    <col min="15109" max="15113" width="0" hidden="1" customWidth="1"/>
    <col min="15114" max="15114" width="9.140625" customWidth="1"/>
    <col min="15115" max="15115" width="3.28515625" customWidth="1"/>
    <col min="15116" max="15116" width="0" hidden="1" customWidth="1"/>
    <col min="15117" max="15117" width="9.5703125" customWidth="1"/>
    <col min="15118" max="15118" width="2.42578125" customWidth="1"/>
    <col min="15119" max="15119" width="26.140625" customWidth="1"/>
    <col min="15120" max="15120" width="27.85546875" customWidth="1"/>
    <col min="15362" max="15362" width="30" customWidth="1"/>
    <col min="15363" max="15363" width="7.140625" customWidth="1"/>
    <col min="15364" max="15364" width="0.7109375" customWidth="1"/>
    <col min="15365" max="15369" width="0" hidden="1" customWidth="1"/>
    <col min="15370" max="15370" width="9.140625" customWidth="1"/>
    <col min="15371" max="15371" width="3.28515625" customWidth="1"/>
    <col min="15372" max="15372" width="0" hidden="1" customWidth="1"/>
    <col min="15373" max="15373" width="9.5703125" customWidth="1"/>
    <col min="15374" max="15374" width="2.42578125" customWidth="1"/>
    <col min="15375" max="15375" width="26.140625" customWidth="1"/>
    <col min="15376" max="15376" width="27.85546875" customWidth="1"/>
    <col min="15618" max="15618" width="30" customWidth="1"/>
    <col min="15619" max="15619" width="7.140625" customWidth="1"/>
    <col min="15620" max="15620" width="0.7109375" customWidth="1"/>
    <col min="15621" max="15625" width="0" hidden="1" customWidth="1"/>
    <col min="15626" max="15626" width="9.140625" customWidth="1"/>
    <col min="15627" max="15627" width="3.28515625" customWidth="1"/>
    <col min="15628" max="15628" width="0" hidden="1" customWidth="1"/>
    <col min="15629" max="15629" width="9.5703125" customWidth="1"/>
    <col min="15630" max="15630" width="2.42578125" customWidth="1"/>
    <col min="15631" max="15631" width="26.140625" customWidth="1"/>
    <col min="15632" max="15632" width="27.85546875" customWidth="1"/>
    <col min="15874" max="15874" width="30" customWidth="1"/>
    <col min="15875" max="15875" width="7.140625" customWidth="1"/>
    <col min="15876" max="15876" width="0.7109375" customWidth="1"/>
    <col min="15877" max="15881" width="0" hidden="1" customWidth="1"/>
    <col min="15882" max="15882" width="9.140625" customWidth="1"/>
    <col min="15883" max="15883" width="3.28515625" customWidth="1"/>
    <col min="15884" max="15884" width="0" hidden="1" customWidth="1"/>
    <col min="15885" max="15885" width="9.5703125" customWidth="1"/>
    <col min="15886" max="15886" width="2.42578125" customWidth="1"/>
    <col min="15887" max="15887" width="26.140625" customWidth="1"/>
    <col min="15888" max="15888" width="27.85546875" customWidth="1"/>
    <col min="16130" max="16130" width="30" customWidth="1"/>
    <col min="16131" max="16131" width="7.140625" customWidth="1"/>
    <col min="16132" max="16132" width="0.7109375" customWidth="1"/>
    <col min="16133" max="16137" width="0" hidden="1" customWidth="1"/>
    <col min="16138" max="16138" width="9.140625" customWidth="1"/>
    <col min="16139" max="16139" width="3.28515625" customWidth="1"/>
    <col min="16140" max="16140" width="0" hidden="1" customWidth="1"/>
    <col min="16141" max="16141" width="9.5703125" customWidth="1"/>
    <col min="16142" max="16142" width="2.42578125" customWidth="1"/>
    <col min="16143" max="16143" width="26.140625" customWidth="1"/>
    <col min="16144" max="16144" width="27.85546875" customWidth="1"/>
  </cols>
  <sheetData>
    <row r="1" spans="2:15" ht="10.5" customHeight="1">
      <c r="B1" s="764"/>
      <c r="C1" s="166"/>
      <c r="D1" s="166"/>
      <c r="E1" s="166"/>
      <c r="F1" s="166"/>
      <c r="G1" s="166"/>
      <c r="H1" s="166"/>
      <c r="I1" s="166"/>
      <c r="J1" s="166"/>
      <c r="K1" s="166"/>
      <c r="L1" s="166"/>
      <c r="M1" s="166"/>
      <c r="N1" s="166"/>
      <c r="O1" s="153"/>
    </row>
    <row r="2" spans="2:15" ht="18" customHeight="1">
      <c r="B2" s="1266" t="s">
        <v>926</v>
      </c>
      <c r="C2" s="1267"/>
      <c r="D2" s="1267"/>
      <c r="E2" s="1267"/>
      <c r="F2" s="1267"/>
      <c r="G2" s="1267"/>
      <c r="H2" s="1267"/>
      <c r="I2" s="1267"/>
      <c r="J2" s="1267"/>
      <c r="K2" s="1267"/>
      <c r="L2" s="1267"/>
      <c r="M2" s="1267"/>
      <c r="N2" s="1267"/>
      <c r="O2" s="1268"/>
    </row>
    <row r="3" spans="2:15" ht="18" customHeight="1">
      <c r="B3" s="1269" t="s">
        <v>925</v>
      </c>
      <c r="C3" s="1270"/>
      <c r="D3" s="1270"/>
      <c r="E3" s="1270"/>
      <c r="F3" s="1270"/>
      <c r="G3" s="1270"/>
      <c r="H3" s="1270"/>
      <c r="I3" s="1270"/>
      <c r="J3" s="1270"/>
      <c r="K3" s="1270"/>
      <c r="L3" s="1270"/>
      <c r="M3" s="1270"/>
      <c r="N3" s="1270"/>
      <c r="O3" s="1271"/>
    </row>
    <row r="4" spans="2:15" ht="18" customHeight="1">
      <c r="B4" s="1276" t="s">
        <v>927</v>
      </c>
      <c r="C4" s="1277"/>
      <c r="D4" s="1277"/>
      <c r="E4" s="1277"/>
      <c r="F4" s="1277"/>
      <c r="G4" s="1277"/>
      <c r="H4" s="1277"/>
      <c r="I4" s="1277"/>
      <c r="J4" s="1277"/>
      <c r="K4" s="1277"/>
      <c r="L4" s="1277"/>
      <c r="M4" s="1277"/>
      <c r="N4" s="1277"/>
      <c r="O4" s="1278"/>
    </row>
    <row r="5" spans="2:15" ht="18" customHeight="1">
      <c r="B5" s="1279" t="s">
        <v>868</v>
      </c>
      <c r="C5" s="1280"/>
      <c r="D5" s="1280"/>
      <c r="E5" s="1280"/>
      <c r="F5" s="1280"/>
      <c r="G5" s="1280"/>
      <c r="H5" s="1280"/>
      <c r="I5" s="1280"/>
      <c r="J5" s="1280"/>
      <c r="K5" s="1280"/>
      <c r="L5" s="1280"/>
      <c r="M5" s="1280"/>
      <c r="N5" s="1280"/>
      <c r="O5" s="1281"/>
    </row>
    <row r="6" spans="2:15" ht="18" customHeight="1">
      <c r="B6" s="1282" t="s">
        <v>869</v>
      </c>
      <c r="C6" s="1283"/>
      <c r="D6" s="1284" t="str">
        <f>Data!C23</f>
        <v>Yunusov Vüqar Fikrət oğlu</v>
      </c>
      <c r="E6" s="1285"/>
      <c r="F6" s="1285"/>
      <c r="G6" s="1285"/>
      <c r="H6" s="1285"/>
      <c r="I6" s="1285"/>
      <c r="J6" s="1285"/>
      <c r="K6" s="1285"/>
      <c r="L6" s="1285"/>
      <c r="M6" s="1285"/>
      <c r="N6" s="1285"/>
      <c r="O6" s="1286"/>
    </row>
    <row r="7" spans="2:15" ht="18" customHeight="1">
      <c r="B7" s="1287" t="s">
        <v>870</v>
      </c>
      <c r="C7" s="1288"/>
      <c r="D7" s="1288"/>
      <c r="E7" s="1288"/>
      <c r="F7" s="1288"/>
      <c r="G7" s="1288"/>
      <c r="H7" s="1289"/>
      <c r="I7" s="782"/>
      <c r="J7" s="1290" t="str">
        <f>Data!C21</f>
        <v>AA5512135</v>
      </c>
      <c r="K7" s="1291"/>
      <c r="L7" s="1291"/>
      <c r="M7" s="1288"/>
      <c r="N7" s="1289"/>
      <c r="O7" s="783" t="str">
        <f>Data!F21</f>
        <v>6AEE7KZ</v>
      </c>
    </row>
    <row r="8" spans="2:15" ht="18" customHeight="1">
      <c r="B8" s="1292" t="s">
        <v>871</v>
      </c>
      <c r="C8" s="1293"/>
      <c r="D8" s="1293"/>
      <c r="E8" s="1293"/>
      <c r="F8" s="1293"/>
      <c r="G8" s="1293"/>
      <c r="H8" s="1293"/>
      <c r="I8" s="1293"/>
      <c r="J8" s="1293"/>
      <c r="K8" s="1293"/>
      <c r="L8" s="1293"/>
      <c r="M8" s="1293"/>
      <c r="N8" s="1293"/>
      <c r="O8" s="1294"/>
    </row>
    <row r="9" spans="2:15" ht="18" customHeight="1">
      <c r="B9" s="1295" t="s">
        <v>872</v>
      </c>
      <c r="C9" s="1296"/>
      <c r="D9" s="1296"/>
      <c r="E9" s="1296"/>
      <c r="F9" s="1296"/>
      <c r="G9" s="1296"/>
      <c r="H9" s="1296"/>
      <c r="I9" s="1296"/>
      <c r="J9" s="1296"/>
      <c r="K9" s="1296"/>
      <c r="L9" s="1296"/>
      <c r="M9" s="1296"/>
      <c r="N9" s="1296"/>
      <c r="O9" s="1297"/>
    </row>
    <row r="10" spans="2:15" ht="18" customHeight="1">
      <c r="B10" s="1292" t="s">
        <v>873</v>
      </c>
      <c r="C10" s="1293"/>
      <c r="D10" s="1293"/>
      <c r="E10" s="1293"/>
      <c r="F10" s="1293"/>
      <c r="G10" s="1293"/>
      <c r="H10" s="1293"/>
      <c r="I10" s="1293"/>
      <c r="J10" s="1293"/>
      <c r="K10" s="1293"/>
      <c r="L10" s="1293"/>
      <c r="M10" s="1293"/>
      <c r="N10" s="1293"/>
      <c r="O10" s="1294"/>
    </row>
    <row r="11" spans="2:15" ht="18" customHeight="1">
      <c r="B11" s="1292" t="s">
        <v>874</v>
      </c>
      <c r="C11" s="1293"/>
      <c r="D11" s="1293"/>
      <c r="E11" s="1293"/>
      <c r="F11" s="1293"/>
      <c r="G11" s="1293"/>
      <c r="H11" s="1293"/>
      <c r="I11" s="1301"/>
      <c r="J11" s="1300" t="s">
        <v>875</v>
      </c>
      <c r="K11" s="1293"/>
      <c r="L11" s="1293"/>
      <c r="M11" s="1293"/>
      <c r="N11" s="1293"/>
      <c r="O11" s="1294"/>
    </row>
    <row r="12" spans="2:15" ht="18" customHeight="1">
      <c r="B12" s="1292" t="s">
        <v>876</v>
      </c>
      <c r="C12" s="1293"/>
      <c r="D12" s="1293"/>
      <c r="E12" s="1293"/>
      <c r="F12" s="1293"/>
      <c r="G12" s="1293"/>
      <c r="H12" s="1293"/>
      <c r="I12" s="1293"/>
      <c r="J12" s="1293"/>
      <c r="K12" s="1293"/>
      <c r="L12" s="1293"/>
      <c r="M12" s="1293"/>
      <c r="N12" s="1293"/>
      <c r="O12" s="1294"/>
    </row>
    <row r="13" spans="2:15" ht="18" customHeight="1">
      <c r="B13" s="1308" t="s">
        <v>911</v>
      </c>
      <c r="C13" s="1309"/>
      <c r="D13" s="1309"/>
      <c r="E13" s="1309"/>
      <c r="F13" s="1309"/>
      <c r="G13" s="1309"/>
      <c r="H13" s="1309"/>
      <c r="I13" s="1309"/>
      <c r="J13" s="1309"/>
      <c r="K13" s="1309"/>
      <c r="L13" s="1309"/>
      <c r="M13" s="1309"/>
      <c r="N13" s="1309"/>
      <c r="O13" s="1310"/>
    </row>
    <row r="14" spans="2:15" ht="18" customHeight="1">
      <c r="B14" s="1295" t="s">
        <v>877</v>
      </c>
      <c r="C14" s="1311"/>
      <c r="D14" s="1311"/>
      <c r="E14" s="1311"/>
      <c r="F14" s="1311"/>
      <c r="G14" s="1311"/>
      <c r="H14" s="1311"/>
      <c r="I14" s="1311"/>
      <c r="J14" s="1311"/>
      <c r="K14" s="1311"/>
      <c r="L14" s="1311"/>
      <c r="M14" s="1311"/>
      <c r="N14" s="1311"/>
      <c r="O14" s="1312"/>
    </row>
    <row r="15" spans="2:15" ht="18" customHeight="1">
      <c r="B15" s="1292" t="s">
        <v>878</v>
      </c>
      <c r="C15" s="1293"/>
      <c r="D15" s="1293"/>
      <c r="E15" s="1293"/>
      <c r="F15" s="1293"/>
      <c r="G15" s="1293"/>
      <c r="H15" s="1293"/>
      <c r="I15" s="1301"/>
      <c r="J15" s="1300" t="s">
        <v>879</v>
      </c>
      <c r="K15" s="1293"/>
      <c r="L15" s="1293"/>
      <c r="M15" s="1293"/>
      <c r="N15" s="1293"/>
      <c r="O15" s="1294"/>
    </row>
    <row r="16" spans="2:15" ht="18" customHeight="1">
      <c r="B16" s="1305" t="s">
        <v>912</v>
      </c>
      <c r="C16" s="1296"/>
      <c r="D16" s="1296"/>
      <c r="E16" s="1296"/>
      <c r="F16" s="1296"/>
      <c r="G16" s="1296"/>
      <c r="H16" s="1296"/>
      <c r="I16" s="1296"/>
      <c r="J16" s="1296"/>
      <c r="K16" s="1296"/>
      <c r="L16" s="1296"/>
      <c r="M16" s="1296"/>
      <c r="N16" s="1296"/>
      <c r="O16" s="1297"/>
    </row>
    <row r="17" spans="2:15" ht="18" customHeight="1">
      <c r="B17" s="1292" t="s">
        <v>873</v>
      </c>
      <c r="C17" s="1293"/>
      <c r="D17" s="1293"/>
      <c r="E17" s="1293"/>
      <c r="F17" s="1293"/>
      <c r="G17" s="1293"/>
      <c r="H17" s="1293"/>
      <c r="I17" s="1293"/>
      <c r="J17" s="1293"/>
      <c r="K17" s="1293"/>
      <c r="L17" s="1293"/>
      <c r="M17" s="1293"/>
      <c r="N17" s="1293"/>
      <c r="O17" s="1294"/>
    </row>
    <row r="18" spans="2:15" ht="18" customHeight="1">
      <c r="B18" s="1292" t="s">
        <v>874</v>
      </c>
      <c r="C18" s="1293"/>
      <c r="D18" s="1293"/>
      <c r="E18" s="1293"/>
      <c r="F18" s="1293"/>
      <c r="G18" s="1293"/>
      <c r="H18" s="1293"/>
      <c r="I18" s="1301"/>
      <c r="J18" s="1300" t="s">
        <v>875</v>
      </c>
      <c r="K18" s="1293"/>
      <c r="L18" s="1293"/>
      <c r="M18" s="1293"/>
      <c r="N18" s="1293"/>
      <c r="O18" s="1294"/>
    </row>
    <row r="19" spans="2:15" ht="18" customHeight="1">
      <c r="B19" s="1292" t="s">
        <v>876</v>
      </c>
      <c r="C19" s="1293"/>
      <c r="D19" s="1293"/>
      <c r="E19" s="1293"/>
      <c r="F19" s="1293"/>
      <c r="G19" s="1293"/>
      <c r="H19" s="1293"/>
      <c r="I19" s="1293"/>
      <c r="J19" s="1293"/>
      <c r="K19" s="1293"/>
      <c r="L19" s="1293"/>
      <c r="M19" s="1293"/>
      <c r="N19" s="1293"/>
      <c r="O19" s="1294"/>
    </row>
    <row r="20" spans="2:15" ht="18" customHeight="1">
      <c r="B20" s="1305" t="s">
        <v>913</v>
      </c>
      <c r="C20" s="1296"/>
      <c r="D20" s="1296"/>
      <c r="E20" s="1296"/>
      <c r="F20" s="1296"/>
      <c r="G20" s="1296"/>
      <c r="H20" s="1296"/>
      <c r="I20" s="1296"/>
      <c r="J20" s="1296"/>
      <c r="K20" s="1296"/>
      <c r="L20" s="1296"/>
      <c r="M20" s="1296"/>
      <c r="N20" s="1296"/>
      <c r="O20" s="1297"/>
    </row>
    <row r="21" spans="2:15" ht="18" customHeight="1">
      <c r="B21" s="1292" t="s">
        <v>910</v>
      </c>
      <c r="C21" s="1293"/>
      <c r="D21" s="1293"/>
      <c r="E21" s="1293"/>
      <c r="F21" s="1301"/>
      <c r="G21" s="1300" t="s">
        <v>914</v>
      </c>
      <c r="H21" s="1293"/>
      <c r="I21" s="1293"/>
      <c r="J21" s="1293"/>
      <c r="K21" s="1293"/>
      <c r="L21" s="1293"/>
      <c r="M21" s="1293"/>
      <c r="N21" s="1293"/>
      <c r="O21" s="1294"/>
    </row>
    <row r="22" spans="2:15" ht="18" customHeight="1">
      <c r="B22" s="775" t="s">
        <v>880</v>
      </c>
      <c r="C22" s="776"/>
      <c r="D22" s="776"/>
      <c r="E22" s="776"/>
      <c r="F22" s="777"/>
      <c r="G22" s="778"/>
      <c r="H22" s="776"/>
      <c r="I22" s="776"/>
      <c r="J22" s="1272" t="str">
        <f>Data!F5</f>
        <v>20.04.2025</v>
      </c>
      <c r="K22" s="1272"/>
      <c r="L22" s="776"/>
      <c r="M22" s="776"/>
      <c r="N22" s="776"/>
      <c r="O22" s="779"/>
    </row>
    <row r="23" spans="2:15" ht="18" customHeight="1">
      <c r="B23" s="1292" t="s">
        <v>881</v>
      </c>
      <c r="C23" s="1293"/>
      <c r="D23" s="1293"/>
      <c r="E23" s="1293"/>
      <c r="F23" s="1301"/>
      <c r="G23" s="1302" t="str">
        <f>Data!F5</f>
        <v>20.04.2025</v>
      </c>
      <c r="H23" s="1303"/>
      <c r="I23" s="1303"/>
      <c r="J23" s="1303"/>
      <c r="K23" s="1303"/>
      <c r="L23" s="1303"/>
      <c r="M23" s="1303"/>
      <c r="N23" s="1303"/>
      <c r="O23" s="1304"/>
    </row>
    <row r="24" spans="2:15" ht="18" customHeight="1">
      <c r="B24" s="1305" t="s">
        <v>915</v>
      </c>
      <c r="C24" s="1296"/>
      <c r="D24" s="1296"/>
      <c r="E24" s="1296"/>
      <c r="F24" s="1296"/>
      <c r="G24" s="1296"/>
      <c r="H24" s="1296"/>
      <c r="I24" s="1296"/>
      <c r="J24" s="1296"/>
      <c r="K24" s="1296"/>
      <c r="L24" s="1296"/>
      <c r="M24" s="1296"/>
      <c r="N24" s="1296"/>
      <c r="O24" s="1297"/>
    </row>
    <row r="25" spans="2:15" ht="18" customHeight="1">
      <c r="B25" s="1273" t="s">
        <v>882</v>
      </c>
      <c r="C25" s="1274"/>
      <c r="D25" s="1274"/>
      <c r="E25" s="1274"/>
      <c r="F25" s="1274"/>
      <c r="G25" s="1274"/>
      <c r="H25" s="1274"/>
      <c r="I25" s="1274"/>
      <c r="J25" s="1274"/>
      <c r="K25" s="1275"/>
      <c r="L25" s="1300" t="s">
        <v>916</v>
      </c>
      <c r="M25" s="1293"/>
      <c r="N25" s="1293"/>
      <c r="O25" s="1294"/>
    </row>
    <row r="26" spans="2:15" ht="18" customHeight="1">
      <c r="B26" s="1292" t="s">
        <v>883</v>
      </c>
      <c r="C26" s="1293"/>
      <c r="D26" s="1293"/>
      <c r="E26" s="1293"/>
      <c r="F26" s="1293"/>
      <c r="G26" s="1293"/>
      <c r="H26" s="1293"/>
      <c r="I26" s="1293"/>
      <c r="J26" s="1293"/>
      <c r="K26" s="1301"/>
      <c r="L26" s="1300" t="s">
        <v>916</v>
      </c>
      <c r="M26" s="1293"/>
      <c r="N26" s="1293"/>
      <c r="O26" s="1294"/>
    </row>
    <row r="27" spans="2:15" ht="17.100000000000001" customHeight="1">
      <c r="B27" s="1305" t="s">
        <v>917</v>
      </c>
      <c r="C27" s="1296"/>
      <c r="D27" s="1296"/>
      <c r="E27" s="1296"/>
      <c r="F27" s="1296"/>
      <c r="G27" s="1296"/>
      <c r="H27" s="1296"/>
      <c r="I27" s="1296"/>
      <c r="J27" s="1296"/>
      <c r="K27" s="1296"/>
      <c r="L27" s="1296"/>
      <c r="M27" s="1296"/>
      <c r="N27" s="1296"/>
      <c r="O27" s="1297"/>
    </row>
    <row r="28" spans="2:15" ht="33.75" customHeight="1">
      <c r="B28" s="1273" t="s">
        <v>909</v>
      </c>
      <c r="C28" s="1274"/>
      <c r="D28" s="1274"/>
      <c r="E28" s="1274"/>
      <c r="F28" s="1274"/>
      <c r="G28" s="1274"/>
      <c r="H28" s="1275"/>
      <c r="I28" s="1306" t="s">
        <v>924</v>
      </c>
      <c r="J28" s="1274"/>
      <c r="K28" s="1274"/>
      <c r="L28" s="1274"/>
      <c r="M28" s="1274"/>
      <c r="N28" s="1274"/>
      <c r="O28" s="1307"/>
    </row>
    <row r="29" spans="2:15" ht="17.100000000000001" customHeight="1">
      <c r="B29" s="1292" t="s">
        <v>884</v>
      </c>
      <c r="C29" s="1293"/>
      <c r="D29" s="1293"/>
      <c r="E29" s="1293"/>
      <c r="F29" s="1293"/>
      <c r="G29" s="1293"/>
      <c r="H29" s="1293"/>
      <c r="I29" s="1293"/>
      <c r="J29" s="1293"/>
      <c r="K29" s="1301"/>
      <c r="L29" s="1300" t="s">
        <v>916</v>
      </c>
      <c r="M29" s="1293"/>
      <c r="N29" s="1293"/>
      <c r="O29" s="1294"/>
    </row>
    <row r="30" spans="2:15" ht="28.5" customHeight="1">
      <c r="B30" s="1273" t="s">
        <v>885</v>
      </c>
      <c r="C30" s="1274"/>
      <c r="D30" s="1274"/>
      <c r="E30" s="1274"/>
      <c r="F30" s="1274"/>
      <c r="G30" s="1274"/>
      <c r="H30" s="1274"/>
      <c r="I30" s="1274"/>
      <c r="J30" s="1274"/>
      <c r="K30" s="1275"/>
      <c r="L30" s="1300" t="s">
        <v>916</v>
      </c>
      <c r="M30" s="1293"/>
      <c r="N30" s="1293"/>
      <c r="O30" s="1294"/>
    </row>
    <row r="31" spans="2:15" ht="27" customHeight="1">
      <c r="B31" s="1273" t="s">
        <v>886</v>
      </c>
      <c r="C31" s="1274"/>
      <c r="D31" s="1274"/>
      <c r="E31" s="1274"/>
      <c r="F31" s="1274"/>
      <c r="G31" s="1274"/>
      <c r="H31" s="1274"/>
      <c r="I31" s="1274"/>
      <c r="J31" s="1274"/>
      <c r="K31" s="1275"/>
      <c r="L31" s="1300" t="s">
        <v>918</v>
      </c>
      <c r="M31" s="1293"/>
      <c r="N31" s="1293"/>
      <c r="O31" s="1294"/>
    </row>
    <row r="32" spans="2:15" ht="41.25" customHeight="1">
      <c r="B32" s="1273" t="s">
        <v>887</v>
      </c>
      <c r="C32" s="1274"/>
      <c r="D32" s="1274"/>
      <c r="E32" s="1274"/>
      <c r="F32" s="1274"/>
      <c r="G32" s="1274"/>
      <c r="H32" s="1274"/>
      <c r="I32" s="1274"/>
      <c r="J32" s="1274"/>
      <c r="K32" s="1275"/>
      <c r="L32" s="1300" t="s">
        <v>916</v>
      </c>
      <c r="M32" s="1293"/>
      <c r="N32" s="1293"/>
      <c r="O32" s="1294"/>
    </row>
    <row r="33" spans="2:31" ht="18" customHeight="1">
      <c r="B33" s="1308" t="s">
        <v>921</v>
      </c>
      <c r="C33" s="1309"/>
      <c r="D33" s="1309"/>
      <c r="E33" s="1309"/>
      <c r="F33" s="1309"/>
      <c r="G33" s="1309"/>
      <c r="H33" s="1309"/>
      <c r="I33" s="1309"/>
      <c r="J33" s="1309"/>
      <c r="K33" s="1309"/>
      <c r="L33" s="1309"/>
      <c r="M33" s="1309"/>
      <c r="N33" s="1309"/>
      <c r="O33" s="1310"/>
    </row>
    <row r="34" spans="2:31" ht="27" customHeight="1">
      <c r="B34" s="1273" t="s">
        <v>888</v>
      </c>
      <c r="C34" s="1274"/>
      <c r="D34" s="1274"/>
      <c r="E34" s="1274"/>
      <c r="F34" s="1274"/>
      <c r="G34" s="1274"/>
      <c r="H34" s="1274"/>
      <c r="I34" s="1274"/>
      <c r="J34" s="1274"/>
      <c r="K34" s="1274"/>
      <c r="L34" s="1275"/>
      <c r="M34" s="1300" t="s">
        <v>919</v>
      </c>
      <c r="N34" s="1293"/>
      <c r="O34" s="1294"/>
    </row>
    <row r="35" spans="2:31" ht="18" customHeight="1">
      <c r="B35" s="1308" t="s">
        <v>922</v>
      </c>
      <c r="C35" s="1309"/>
      <c r="D35" s="1309"/>
      <c r="E35" s="1309"/>
      <c r="F35" s="1309"/>
      <c r="G35" s="1309"/>
      <c r="H35" s="1309"/>
      <c r="I35" s="1309"/>
      <c r="J35" s="1309"/>
      <c r="K35" s="1309"/>
      <c r="L35" s="1309"/>
      <c r="M35" s="1309"/>
      <c r="N35" s="1309"/>
      <c r="O35" s="1310"/>
    </row>
    <row r="36" spans="2:31" ht="27.75" customHeight="1">
      <c r="B36" s="1273" t="s">
        <v>889</v>
      </c>
      <c r="C36" s="1274"/>
      <c r="D36" s="1274"/>
      <c r="E36" s="1274"/>
      <c r="F36" s="1274"/>
      <c r="G36" s="1274"/>
      <c r="H36" s="1274"/>
      <c r="I36" s="1274"/>
      <c r="J36" s="1274"/>
      <c r="K36" s="1274"/>
      <c r="L36" s="1275"/>
      <c r="M36" s="1300" t="s">
        <v>920</v>
      </c>
      <c r="N36" s="1293"/>
      <c r="O36" s="1294"/>
      <c r="AE36" t="str">
        <f>Data!F5</f>
        <v>20.04.2025</v>
      </c>
    </row>
    <row r="37" spans="2:31" ht="18" customHeight="1">
      <c r="B37" s="1308" t="s">
        <v>923</v>
      </c>
      <c r="C37" s="1309"/>
      <c r="D37" s="1309"/>
      <c r="E37" s="1309"/>
      <c r="F37" s="1309"/>
      <c r="G37" s="1309"/>
      <c r="H37" s="1309"/>
      <c r="I37" s="1309"/>
      <c r="J37" s="1309"/>
      <c r="K37" s="1309"/>
      <c r="L37" s="1309"/>
      <c r="M37" s="1309"/>
      <c r="N37" s="1309"/>
      <c r="O37" s="1310"/>
    </row>
    <row r="38" spans="2:31" ht="19.5" customHeight="1">
      <c r="B38" s="784" t="s">
        <v>890</v>
      </c>
      <c r="C38" s="1298"/>
      <c r="D38" s="1298"/>
      <c r="E38" s="1298"/>
      <c r="F38" s="1298"/>
      <c r="G38" s="1298"/>
      <c r="H38" s="1298"/>
      <c r="I38" s="1298"/>
      <c r="J38" s="1298"/>
      <c r="K38" s="1298"/>
      <c r="L38" s="1298"/>
      <c r="M38" s="1298"/>
      <c r="N38" s="1298"/>
      <c r="O38" s="1299"/>
    </row>
    <row r="39" spans="2:31" ht="21.75" customHeight="1">
      <c r="B39" s="1318" t="s">
        <v>891</v>
      </c>
      <c r="C39" s="1319"/>
      <c r="D39" s="780"/>
      <c r="E39" s="780"/>
      <c r="F39" s="780"/>
      <c r="G39" s="780"/>
      <c r="H39" s="780"/>
      <c r="I39" s="780"/>
      <c r="J39" s="780"/>
      <c r="K39" s="780"/>
      <c r="L39" s="780"/>
      <c r="M39" s="780"/>
      <c r="N39" s="780"/>
      <c r="O39" s="781"/>
    </row>
    <row r="40" spans="2:31" ht="18" customHeight="1">
      <c r="B40" s="1295" t="s">
        <v>892</v>
      </c>
      <c r="C40" s="1311"/>
      <c r="D40" s="1311"/>
      <c r="E40" s="1311"/>
      <c r="F40" s="1311"/>
      <c r="G40" s="1311"/>
      <c r="H40" s="1311"/>
      <c r="I40" s="1311"/>
      <c r="J40" s="1311"/>
      <c r="K40" s="1311"/>
      <c r="L40" s="1311"/>
      <c r="M40" s="1311"/>
      <c r="N40" s="1311"/>
      <c r="O40" s="1312"/>
    </row>
    <row r="41" spans="2:31" ht="20.25" customHeight="1">
      <c r="B41" s="1313" t="s">
        <v>928</v>
      </c>
      <c r="C41" s="1314"/>
      <c r="D41" s="1314"/>
      <c r="E41" s="1314"/>
      <c r="F41" s="1314"/>
      <c r="G41" s="1315"/>
      <c r="H41" s="1316"/>
      <c r="I41" s="1314"/>
      <c r="J41" s="1314"/>
      <c r="K41" s="1314"/>
      <c r="L41" s="1314"/>
      <c r="M41" s="1314"/>
      <c r="N41" s="1314"/>
      <c r="O41" s="1317"/>
    </row>
    <row r="42" spans="2:31" hidden="1"/>
    <row r="43" spans="2:31" hidden="1"/>
    <row r="44" spans="2:31" hidden="1"/>
    <row r="45" spans="2:31" hidden="1"/>
    <row r="46" spans="2:31" hidden="1"/>
    <row r="47" spans="2:31" hidden="1"/>
    <row r="48" spans="2:31" hidden="1"/>
    <row r="49" hidden="1"/>
    <row r="50" hidden="1"/>
    <row r="51" hidden="1"/>
    <row r="52" hidden="1"/>
    <row r="53" hidden="1"/>
    <row r="54" hidden="1"/>
    <row r="55" hidden="1"/>
    <row r="56" hidden="1"/>
    <row r="57" hidden="1"/>
    <row r="58" hidden="1"/>
    <row r="59" hidden="1"/>
    <row r="60" hidden="1"/>
    <row r="61" hidden="1"/>
    <row r="62" hidden="1"/>
    <row r="63" hidden="1"/>
    <row r="64" hidden="1"/>
    <row r="65" hidden="1"/>
    <row r="66" hidden="1"/>
    <row r="67" hidden="1"/>
    <row r="68" hidden="1"/>
    <row r="69" hidden="1"/>
    <row r="70" hidden="1"/>
    <row r="71" hidden="1"/>
    <row r="72" hidden="1"/>
    <row r="73" hidden="1"/>
    <row r="74" hidden="1"/>
    <row r="75" hidden="1"/>
    <row r="76" hidden="1"/>
    <row r="77" hidden="1"/>
    <row r="78" hidden="1"/>
    <row r="79" hidden="1"/>
    <row r="80" hidden="1"/>
    <row r="81" hidden="1"/>
    <row r="82" hidden="1"/>
    <row r="83" hidden="1"/>
    <row r="84" hidden="1"/>
    <row r="85" hidden="1"/>
    <row r="86" hidden="1"/>
    <row r="87" hidden="1"/>
    <row r="88" hidden="1"/>
    <row r="89" hidden="1"/>
    <row r="90" hidden="1"/>
    <row r="91" hidden="1"/>
    <row r="92" hidden="1"/>
    <row r="93" hidden="1"/>
    <row r="94" hidden="1"/>
    <row r="95" hidden="1"/>
    <row r="96" hidden="1"/>
    <row r="97" hidden="1"/>
    <row r="98" hidden="1"/>
    <row r="99" hidden="1"/>
    <row r="100" hidden="1"/>
    <row r="101" hidden="1"/>
    <row r="102" hidden="1"/>
    <row r="103" hidden="1"/>
    <row r="104" hidden="1"/>
    <row r="105" hidden="1"/>
    <row r="106" hidden="1"/>
    <row r="107" hidden="1"/>
    <row r="108" hidden="1"/>
    <row r="109" hidden="1"/>
    <row r="110" hidden="1"/>
    <row r="111" hidden="1"/>
    <row r="112" hidden="1"/>
    <row r="113" hidden="1"/>
    <row r="114" hidden="1"/>
    <row r="115" hidden="1"/>
    <row r="116" hidden="1"/>
    <row r="117" hidden="1"/>
    <row r="118" hidden="1"/>
    <row r="119" hidden="1"/>
    <row r="120" hidden="1"/>
    <row r="121" hidden="1"/>
    <row r="122" hidden="1"/>
    <row r="123" hidden="1"/>
    <row r="124" hidden="1"/>
    <row r="125" hidden="1"/>
    <row r="126" hidden="1"/>
    <row r="127" hidden="1"/>
    <row r="128" hidden="1"/>
    <row r="129" hidden="1"/>
    <row r="130" hidden="1"/>
    <row r="131" hidden="1"/>
    <row r="132" hidden="1"/>
    <row r="133" hidden="1"/>
    <row r="134" hidden="1"/>
    <row r="135" hidden="1"/>
    <row r="136" hidden="1"/>
    <row r="137" hidden="1"/>
    <row r="138" hidden="1"/>
    <row r="139" hidden="1"/>
    <row r="140" hidden="1"/>
    <row r="141" hidden="1"/>
    <row r="142" hidden="1"/>
    <row r="143" hidden="1"/>
    <row r="144" hidden="1"/>
    <row r="145" hidden="1"/>
    <row r="146" hidden="1"/>
    <row r="147" hidden="1"/>
    <row r="148" hidden="1"/>
    <row r="149" hidden="1"/>
    <row r="150" hidden="1"/>
    <row r="151" hidden="1"/>
    <row r="152" hidden="1"/>
    <row r="153" hidden="1"/>
    <row r="154" hidden="1"/>
    <row r="155" hidden="1"/>
    <row r="156" hidden="1"/>
    <row r="157" hidden="1"/>
    <row r="158" hidden="1"/>
    <row r="159" hidden="1"/>
    <row r="160" hidden="1"/>
    <row r="161" hidden="1"/>
    <row r="162" hidden="1"/>
    <row r="163" hidden="1"/>
    <row r="164" hidden="1"/>
    <row r="165" hidden="1"/>
    <row r="166" hidden="1"/>
    <row r="167" hidden="1"/>
    <row r="168" hidden="1"/>
    <row r="169" hidden="1"/>
    <row r="170" hidden="1"/>
    <row r="171" hidden="1"/>
    <row r="172" hidden="1"/>
    <row r="173" hidden="1"/>
    <row r="174" hidden="1"/>
    <row r="175" hidden="1"/>
    <row r="176" hidden="1"/>
    <row r="177" hidden="1"/>
    <row r="178" hidden="1"/>
    <row r="179" hidden="1"/>
    <row r="180" hidden="1"/>
    <row r="181" hidden="1"/>
    <row r="182" hidden="1"/>
    <row r="183" hidden="1"/>
    <row r="184" hidden="1"/>
    <row r="185" hidden="1"/>
    <row r="186" hidden="1"/>
    <row r="187" hidden="1"/>
    <row r="188" hidden="1"/>
    <row r="189" hidden="1"/>
    <row r="190" hidden="1"/>
    <row r="191" hidden="1"/>
    <row r="192" hidden="1"/>
    <row r="193" hidden="1"/>
    <row r="194" hidden="1"/>
    <row r="195" hidden="1"/>
    <row r="196" hidden="1"/>
    <row r="197" hidden="1"/>
    <row r="198" hidden="1"/>
    <row r="199" hidden="1"/>
    <row r="200" hidden="1"/>
    <row r="201" hidden="1"/>
    <row r="202" hidden="1"/>
    <row r="203" hidden="1"/>
    <row r="204" hidden="1"/>
    <row r="205" hidden="1"/>
    <row r="206" hidden="1"/>
    <row r="207" hidden="1"/>
    <row r="208" hidden="1"/>
    <row r="209" hidden="1"/>
    <row r="210" hidden="1"/>
    <row r="211" hidden="1"/>
    <row r="212" hidden="1"/>
    <row r="213" hidden="1"/>
    <row r="214" hidden="1"/>
    <row r="215" hidden="1"/>
    <row r="216" hidden="1"/>
    <row r="217" hidden="1"/>
    <row r="218" hidden="1"/>
    <row r="219" hidden="1"/>
    <row r="220" hidden="1"/>
    <row r="221" hidden="1"/>
    <row r="222" hidden="1"/>
    <row r="223" hidden="1"/>
    <row r="224" hidden="1"/>
    <row r="225" hidden="1"/>
    <row r="226" hidden="1"/>
    <row r="227" hidden="1"/>
    <row r="228" hidden="1"/>
    <row r="229" hidden="1"/>
    <row r="230" hidden="1"/>
    <row r="231" hidden="1"/>
    <row r="232" hidden="1"/>
    <row r="233" hidden="1"/>
    <row r="234" hidden="1"/>
    <row r="235" hidden="1"/>
    <row r="236" hidden="1"/>
    <row r="237" hidden="1"/>
    <row r="238" hidden="1"/>
    <row r="239" hidden="1"/>
    <row r="240" hidden="1"/>
    <row r="241" hidden="1"/>
    <row r="242" hidden="1"/>
    <row r="243" hidden="1"/>
    <row r="244" hidden="1"/>
    <row r="245" hidden="1"/>
    <row r="246" hidden="1"/>
    <row r="247" hidden="1"/>
    <row r="248" hidden="1"/>
    <row r="249" hidden="1"/>
    <row r="250" hidden="1"/>
    <row r="251" hidden="1"/>
    <row r="252" hidden="1"/>
    <row r="253" hidden="1"/>
    <row r="254" hidden="1"/>
    <row r="255" hidden="1"/>
    <row r="256" hidden="1"/>
    <row r="257" hidden="1"/>
    <row r="258" hidden="1"/>
    <row r="259" hidden="1"/>
    <row r="260" hidden="1"/>
    <row r="261" hidden="1"/>
    <row r="262" hidden="1"/>
    <row r="263" hidden="1"/>
    <row r="264" hidden="1"/>
    <row r="265" hidden="1"/>
    <row r="266" hidden="1"/>
    <row r="267" hidden="1"/>
    <row r="268" hidden="1"/>
    <row r="269" hidden="1"/>
    <row r="270" hidden="1"/>
    <row r="271" hidden="1"/>
    <row r="272" hidden="1"/>
    <row r="273" hidden="1"/>
    <row r="274" hidden="1"/>
    <row r="275" hidden="1"/>
    <row r="276" hidden="1"/>
    <row r="277" hidden="1"/>
    <row r="278" hidden="1"/>
    <row r="279" hidden="1"/>
    <row r="280" hidden="1"/>
    <row r="281" hidden="1"/>
    <row r="282" hidden="1"/>
    <row r="283" hidden="1"/>
    <row r="284" hidden="1"/>
    <row r="285" hidden="1"/>
    <row r="286" hidden="1"/>
    <row r="287" hidden="1"/>
    <row r="288" hidden="1"/>
    <row r="289" hidden="1"/>
    <row r="290" hidden="1"/>
    <row r="291" hidden="1"/>
    <row r="292" hidden="1"/>
  </sheetData>
  <mergeCells count="59">
    <mergeCell ref="B33:O33"/>
    <mergeCell ref="B34:L34"/>
    <mergeCell ref="M34:O34"/>
    <mergeCell ref="B41:G41"/>
    <mergeCell ref="H41:O41"/>
    <mergeCell ref="B35:O35"/>
    <mergeCell ref="B36:L36"/>
    <mergeCell ref="M36:O36"/>
    <mergeCell ref="B37:O37"/>
    <mergeCell ref="B39:C39"/>
    <mergeCell ref="B40:O40"/>
    <mergeCell ref="B19:O19"/>
    <mergeCell ref="B20:O20"/>
    <mergeCell ref="B21:F21"/>
    <mergeCell ref="G21:O21"/>
    <mergeCell ref="L29:O29"/>
    <mergeCell ref="B14:O14"/>
    <mergeCell ref="B15:I15"/>
    <mergeCell ref="J15:O15"/>
    <mergeCell ref="B16:O16"/>
    <mergeCell ref="B18:I18"/>
    <mergeCell ref="J18:O18"/>
    <mergeCell ref="B10:O10"/>
    <mergeCell ref="B11:I11"/>
    <mergeCell ref="J11:O11"/>
    <mergeCell ref="B12:O12"/>
    <mergeCell ref="B13:O13"/>
    <mergeCell ref="B31:K31"/>
    <mergeCell ref="C38:O38"/>
    <mergeCell ref="L30:O30"/>
    <mergeCell ref="B23:F23"/>
    <mergeCell ref="G23:O23"/>
    <mergeCell ref="B24:O24"/>
    <mergeCell ref="L25:O25"/>
    <mergeCell ref="B26:K26"/>
    <mergeCell ref="L26:O26"/>
    <mergeCell ref="B27:O27"/>
    <mergeCell ref="B28:H28"/>
    <mergeCell ref="I28:O28"/>
    <mergeCell ref="B29:K29"/>
    <mergeCell ref="L31:O31"/>
    <mergeCell ref="B32:K32"/>
    <mergeCell ref="L32:O32"/>
    <mergeCell ref="B2:O2"/>
    <mergeCell ref="B3:O3"/>
    <mergeCell ref="J22:K22"/>
    <mergeCell ref="B25:K25"/>
    <mergeCell ref="B30:K30"/>
    <mergeCell ref="B4:O4"/>
    <mergeCell ref="B5:O5"/>
    <mergeCell ref="B6:C6"/>
    <mergeCell ref="D6:O6"/>
    <mergeCell ref="B7:D7"/>
    <mergeCell ref="E7:H7"/>
    <mergeCell ref="J7:L7"/>
    <mergeCell ref="M7:N7"/>
    <mergeCell ref="B17:O17"/>
    <mergeCell ref="B8:O8"/>
    <mergeCell ref="B9:O9"/>
  </mergeCells>
  <pageMargins left="0.31496062992125984" right="0.31496062992125984" top="0.23622047244094491" bottom="0.15748031496062992" header="0.31496062992125984" footer="0.31496062992125984"/>
  <pageSetup scale="80" orientation="portrait" r:id="rId1"/>
  <drawing r:id="rId2"/>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codeName="Sayfa21"/>
  <dimension ref="A3:AE38"/>
  <sheetViews>
    <sheetView view="pageBreakPreview" zoomScaleNormal="100" zoomScaleSheetLayoutView="100" workbookViewId="0">
      <selection activeCell="I18" sqref="I18"/>
    </sheetView>
  </sheetViews>
  <sheetFormatPr defaultColWidth="8" defaultRowHeight="15.75"/>
  <cols>
    <col min="1" max="1" width="9.42578125" style="765" customWidth="1"/>
    <col min="2" max="2" width="18.7109375" style="765" customWidth="1"/>
    <col min="3" max="3" width="8" style="765"/>
    <col min="4" max="4" width="4.85546875" style="765" customWidth="1"/>
    <col min="5" max="5" width="17.42578125" style="765" customWidth="1"/>
    <col min="6" max="6" width="8" style="765"/>
    <col min="7" max="7" width="8" style="765" customWidth="1"/>
    <col min="8" max="8" width="14.5703125" style="765" customWidth="1"/>
    <col min="9" max="9" width="8.85546875" style="765" customWidth="1"/>
    <col min="10" max="10" width="0.140625" style="765" customWidth="1"/>
    <col min="11" max="11" width="8" style="765" customWidth="1"/>
    <col min="12" max="167" width="8" style="765"/>
    <col min="168" max="168" width="9.42578125" style="765" customWidth="1"/>
    <col min="169" max="169" width="16.42578125" style="765" customWidth="1"/>
    <col min="170" max="170" width="8" style="765"/>
    <col min="171" max="171" width="4.85546875" style="765" customWidth="1"/>
    <col min="172" max="172" width="17.42578125" style="765" customWidth="1"/>
    <col min="173" max="173" width="8" style="765"/>
    <col min="174" max="174" width="8" style="765" customWidth="1"/>
    <col min="175" max="175" width="14.5703125" style="765" customWidth="1"/>
    <col min="176" max="176" width="8.85546875" style="765" customWidth="1"/>
    <col min="177" max="177" width="0.140625" style="765" customWidth="1"/>
    <col min="178" max="180" width="8" style="765" customWidth="1"/>
    <col min="181" max="181" width="7.85546875" style="765" customWidth="1"/>
    <col min="182" max="183" width="8" style="765" customWidth="1"/>
    <col min="184" max="184" width="6.28515625" style="765" customWidth="1"/>
    <col min="185" max="186" width="8" style="765" customWidth="1"/>
    <col min="187" max="187" width="8" style="765"/>
    <col min="188" max="188" width="4.28515625" style="765" customWidth="1"/>
    <col min="189" max="190" width="8" style="765" customWidth="1"/>
    <col min="191" max="191" width="3.28515625" style="765" customWidth="1"/>
    <col min="192" max="192" width="1.5703125" style="765" customWidth="1"/>
    <col min="193" max="193" width="3.140625" style="765" customWidth="1"/>
    <col min="194" max="194" width="1.85546875" style="765" customWidth="1"/>
    <col min="195" max="423" width="8" style="765"/>
    <col min="424" max="424" width="9.42578125" style="765" customWidth="1"/>
    <col min="425" max="425" width="16.42578125" style="765" customWidth="1"/>
    <col min="426" max="426" width="8" style="765"/>
    <col min="427" max="427" width="4.85546875" style="765" customWidth="1"/>
    <col min="428" max="428" width="17.42578125" style="765" customWidth="1"/>
    <col min="429" max="429" width="8" style="765"/>
    <col min="430" max="430" width="8" style="765" customWidth="1"/>
    <col min="431" max="431" width="14.5703125" style="765" customWidth="1"/>
    <col min="432" max="432" width="8.85546875" style="765" customWidth="1"/>
    <col min="433" max="433" width="0.140625" style="765" customWidth="1"/>
    <col min="434" max="436" width="8" style="765" customWidth="1"/>
    <col min="437" max="437" width="7.85546875" style="765" customWidth="1"/>
    <col min="438" max="439" width="8" style="765" customWidth="1"/>
    <col min="440" max="440" width="6.28515625" style="765" customWidth="1"/>
    <col min="441" max="442" width="8" style="765" customWidth="1"/>
    <col min="443" max="443" width="8" style="765"/>
    <col min="444" max="444" width="4.28515625" style="765" customWidth="1"/>
    <col min="445" max="446" width="8" style="765" customWidth="1"/>
    <col min="447" max="447" width="3.28515625" style="765" customWidth="1"/>
    <col min="448" max="448" width="1.5703125" style="765" customWidth="1"/>
    <col min="449" max="449" width="3.140625" style="765" customWidth="1"/>
    <col min="450" max="450" width="1.85546875" style="765" customWidth="1"/>
    <col min="451" max="679" width="8" style="765"/>
    <col min="680" max="680" width="9.42578125" style="765" customWidth="1"/>
    <col min="681" max="681" width="16.42578125" style="765" customWidth="1"/>
    <col min="682" max="682" width="8" style="765"/>
    <col min="683" max="683" width="4.85546875" style="765" customWidth="1"/>
    <col min="684" max="684" width="17.42578125" style="765" customWidth="1"/>
    <col min="685" max="685" width="8" style="765"/>
    <col min="686" max="686" width="8" style="765" customWidth="1"/>
    <col min="687" max="687" width="14.5703125" style="765" customWidth="1"/>
    <col min="688" max="688" width="8.85546875" style="765" customWidth="1"/>
    <col min="689" max="689" width="0.140625" style="765" customWidth="1"/>
    <col min="690" max="692" width="8" style="765" customWidth="1"/>
    <col min="693" max="693" width="7.85546875" style="765" customWidth="1"/>
    <col min="694" max="695" width="8" style="765" customWidth="1"/>
    <col min="696" max="696" width="6.28515625" style="765" customWidth="1"/>
    <col min="697" max="698" width="8" style="765" customWidth="1"/>
    <col min="699" max="699" width="8" style="765"/>
    <col min="700" max="700" width="4.28515625" style="765" customWidth="1"/>
    <col min="701" max="702" width="8" style="765" customWidth="1"/>
    <col min="703" max="703" width="3.28515625" style="765" customWidth="1"/>
    <col min="704" max="704" width="1.5703125" style="765" customWidth="1"/>
    <col min="705" max="705" width="3.140625" style="765" customWidth="1"/>
    <col min="706" max="706" width="1.85546875" style="765" customWidth="1"/>
    <col min="707" max="935" width="8" style="765"/>
    <col min="936" max="936" width="9.42578125" style="765" customWidth="1"/>
    <col min="937" max="937" width="16.42578125" style="765" customWidth="1"/>
    <col min="938" max="938" width="8" style="765"/>
    <col min="939" max="939" width="4.85546875" style="765" customWidth="1"/>
    <col min="940" max="940" width="17.42578125" style="765" customWidth="1"/>
    <col min="941" max="941" width="8" style="765"/>
    <col min="942" max="942" width="8" style="765" customWidth="1"/>
    <col min="943" max="943" width="14.5703125" style="765" customWidth="1"/>
    <col min="944" max="944" width="8.85546875" style="765" customWidth="1"/>
    <col min="945" max="945" width="0.140625" style="765" customWidth="1"/>
    <col min="946" max="948" width="8" style="765" customWidth="1"/>
    <col min="949" max="949" width="7.85546875" style="765" customWidth="1"/>
    <col min="950" max="951" width="8" style="765" customWidth="1"/>
    <col min="952" max="952" width="6.28515625" style="765" customWidth="1"/>
    <col min="953" max="954" width="8" style="765" customWidth="1"/>
    <col min="955" max="955" width="8" style="765"/>
    <col min="956" max="956" width="4.28515625" style="765" customWidth="1"/>
    <col min="957" max="958" width="8" style="765" customWidth="1"/>
    <col min="959" max="959" width="3.28515625" style="765" customWidth="1"/>
    <col min="960" max="960" width="1.5703125" style="765" customWidth="1"/>
    <col min="961" max="961" width="3.140625" style="765" customWidth="1"/>
    <col min="962" max="962" width="1.85546875" style="765" customWidth="1"/>
    <col min="963" max="1191" width="8" style="765"/>
    <col min="1192" max="1192" width="9.42578125" style="765" customWidth="1"/>
    <col min="1193" max="1193" width="16.42578125" style="765" customWidth="1"/>
    <col min="1194" max="1194" width="8" style="765"/>
    <col min="1195" max="1195" width="4.85546875" style="765" customWidth="1"/>
    <col min="1196" max="1196" width="17.42578125" style="765" customWidth="1"/>
    <col min="1197" max="1197" width="8" style="765"/>
    <col min="1198" max="1198" width="8" style="765" customWidth="1"/>
    <col min="1199" max="1199" width="14.5703125" style="765" customWidth="1"/>
    <col min="1200" max="1200" width="8.85546875" style="765" customWidth="1"/>
    <col min="1201" max="1201" width="0.140625" style="765" customWidth="1"/>
    <col min="1202" max="1204" width="8" style="765" customWidth="1"/>
    <col min="1205" max="1205" width="7.85546875" style="765" customWidth="1"/>
    <col min="1206" max="1207" width="8" style="765" customWidth="1"/>
    <col min="1208" max="1208" width="6.28515625" style="765" customWidth="1"/>
    <col min="1209" max="1210" width="8" style="765" customWidth="1"/>
    <col min="1211" max="1211" width="8" style="765"/>
    <col min="1212" max="1212" width="4.28515625" style="765" customWidth="1"/>
    <col min="1213" max="1214" width="8" style="765" customWidth="1"/>
    <col min="1215" max="1215" width="3.28515625" style="765" customWidth="1"/>
    <col min="1216" max="1216" width="1.5703125" style="765" customWidth="1"/>
    <col min="1217" max="1217" width="3.140625" style="765" customWidth="1"/>
    <col min="1218" max="1218" width="1.85546875" style="765" customWidth="1"/>
    <col min="1219" max="1447" width="8" style="765"/>
    <col min="1448" max="1448" width="9.42578125" style="765" customWidth="1"/>
    <col min="1449" max="1449" width="16.42578125" style="765" customWidth="1"/>
    <col min="1450" max="1450" width="8" style="765"/>
    <col min="1451" max="1451" width="4.85546875" style="765" customWidth="1"/>
    <col min="1452" max="1452" width="17.42578125" style="765" customWidth="1"/>
    <col min="1453" max="1453" width="8" style="765"/>
    <col min="1454" max="1454" width="8" style="765" customWidth="1"/>
    <col min="1455" max="1455" width="14.5703125" style="765" customWidth="1"/>
    <col min="1456" max="1456" width="8.85546875" style="765" customWidth="1"/>
    <col min="1457" max="1457" width="0.140625" style="765" customWidth="1"/>
    <col min="1458" max="1460" width="8" style="765" customWidth="1"/>
    <col min="1461" max="1461" width="7.85546875" style="765" customWidth="1"/>
    <col min="1462" max="1463" width="8" style="765" customWidth="1"/>
    <col min="1464" max="1464" width="6.28515625" style="765" customWidth="1"/>
    <col min="1465" max="1466" width="8" style="765" customWidth="1"/>
    <col min="1467" max="1467" width="8" style="765"/>
    <col min="1468" max="1468" width="4.28515625" style="765" customWidth="1"/>
    <col min="1469" max="1470" width="8" style="765" customWidth="1"/>
    <col min="1471" max="1471" width="3.28515625" style="765" customWidth="1"/>
    <col min="1472" max="1472" width="1.5703125" style="765" customWidth="1"/>
    <col min="1473" max="1473" width="3.140625" style="765" customWidth="1"/>
    <col min="1474" max="1474" width="1.85546875" style="765" customWidth="1"/>
    <col min="1475" max="1703" width="8" style="765"/>
    <col min="1704" max="1704" width="9.42578125" style="765" customWidth="1"/>
    <col min="1705" max="1705" width="16.42578125" style="765" customWidth="1"/>
    <col min="1706" max="1706" width="8" style="765"/>
    <col min="1707" max="1707" width="4.85546875" style="765" customWidth="1"/>
    <col min="1708" max="1708" width="17.42578125" style="765" customWidth="1"/>
    <col min="1709" max="1709" width="8" style="765"/>
    <col min="1710" max="1710" width="8" style="765" customWidth="1"/>
    <col min="1711" max="1711" width="14.5703125" style="765" customWidth="1"/>
    <col min="1712" max="1712" width="8.85546875" style="765" customWidth="1"/>
    <col min="1713" max="1713" width="0.140625" style="765" customWidth="1"/>
    <col min="1714" max="1716" width="8" style="765" customWidth="1"/>
    <col min="1717" max="1717" width="7.85546875" style="765" customWidth="1"/>
    <col min="1718" max="1719" width="8" style="765" customWidth="1"/>
    <col min="1720" max="1720" width="6.28515625" style="765" customWidth="1"/>
    <col min="1721" max="1722" width="8" style="765" customWidth="1"/>
    <col min="1723" max="1723" width="8" style="765"/>
    <col min="1724" max="1724" width="4.28515625" style="765" customWidth="1"/>
    <col min="1725" max="1726" width="8" style="765" customWidth="1"/>
    <col min="1727" max="1727" width="3.28515625" style="765" customWidth="1"/>
    <col min="1728" max="1728" width="1.5703125" style="765" customWidth="1"/>
    <col min="1729" max="1729" width="3.140625" style="765" customWidth="1"/>
    <col min="1730" max="1730" width="1.85546875" style="765" customWidth="1"/>
    <col min="1731" max="1959" width="8" style="765"/>
    <col min="1960" max="1960" width="9.42578125" style="765" customWidth="1"/>
    <col min="1961" max="1961" width="16.42578125" style="765" customWidth="1"/>
    <col min="1962" max="1962" width="8" style="765"/>
    <col min="1963" max="1963" width="4.85546875" style="765" customWidth="1"/>
    <col min="1964" max="1964" width="17.42578125" style="765" customWidth="1"/>
    <col min="1965" max="1965" width="8" style="765"/>
    <col min="1966" max="1966" width="8" style="765" customWidth="1"/>
    <col min="1967" max="1967" width="14.5703125" style="765" customWidth="1"/>
    <col min="1968" max="1968" width="8.85546875" style="765" customWidth="1"/>
    <col min="1969" max="1969" width="0.140625" style="765" customWidth="1"/>
    <col min="1970" max="1972" width="8" style="765" customWidth="1"/>
    <col min="1973" max="1973" width="7.85546875" style="765" customWidth="1"/>
    <col min="1974" max="1975" width="8" style="765" customWidth="1"/>
    <col min="1976" max="1976" width="6.28515625" style="765" customWidth="1"/>
    <col min="1977" max="1978" width="8" style="765" customWidth="1"/>
    <col min="1979" max="1979" width="8" style="765"/>
    <col min="1980" max="1980" width="4.28515625" style="765" customWidth="1"/>
    <col min="1981" max="1982" width="8" style="765" customWidth="1"/>
    <col min="1983" max="1983" width="3.28515625" style="765" customWidth="1"/>
    <col min="1984" max="1984" width="1.5703125" style="765" customWidth="1"/>
    <col min="1985" max="1985" width="3.140625" style="765" customWidth="1"/>
    <col min="1986" max="1986" width="1.85546875" style="765" customWidth="1"/>
    <col min="1987" max="2215" width="8" style="765"/>
    <col min="2216" max="2216" width="9.42578125" style="765" customWidth="1"/>
    <col min="2217" max="2217" width="16.42578125" style="765" customWidth="1"/>
    <col min="2218" max="2218" width="8" style="765"/>
    <col min="2219" max="2219" width="4.85546875" style="765" customWidth="1"/>
    <col min="2220" max="2220" width="17.42578125" style="765" customWidth="1"/>
    <col min="2221" max="2221" width="8" style="765"/>
    <col min="2222" max="2222" width="8" style="765" customWidth="1"/>
    <col min="2223" max="2223" width="14.5703125" style="765" customWidth="1"/>
    <col min="2224" max="2224" width="8.85546875" style="765" customWidth="1"/>
    <col min="2225" max="2225" width="0.140625" style="765" customWidth="1"/>
    <col min="2226" max="2228" width="8" style="765" customWidth="1"/>
    <col min="2229" max="2229" width="7.85546875" style="765" customWidth="1"/>
    <col min="2230" max="2231" width="8" style="765" customWidth="1"/>
    <col min="2232" max="2232" width="6.28515625" style="765" customWidth="1"/>
    <col min="2233" max="2234" width="8" style="765" customWidth="1"/>
    <col min="2235" max="2235" width="8" style="765"/>
    <col min="2236" max="2236" width="4.28515625" style="765" customWidth="1"/>
    <col min="2237" max="2238" width="8" style="765" customWidth="1"/>
    <col min="2239" max="2239" width="3.28515625" style="765" customWidth="1"/>
    <col min="2240" max="2240" width="1.5703125" style="765" customWidth="1"/>
    <col min="2241" max="2241" width="3.140625" style="765" customWidth="1"/>
    <col min="2242" max="2242" width="1.85546875" style="765" customWidth="1"/>
    <col min="2243" max="2471" width="8" style="765"/>
    <col min="2472" max="2472" width="9.42578125" style="765" customWidth="1"/>
    <col min="2473" max="2473" width="16.42578125" style="765" customWidth="1"/>
    <col min="2474" max="2474" width="8" style="765"/>
    <col min="2475" max="2475" width="4.85546875" style="765" customWidth="1"/>
    <col min="2476" max="2476" width="17.42578125" style="765" customWidth="1"/>
    <col min="2477" max="2477" width="8" style="765"/>
    <col min="2478" max="2478" width="8" style="765" customWidth="1"/>
    <col min="2479" max="2479" width="14.5703125" style="765" customWidth="1"/>
    <col min="2480" max="2480" width="8.85546875" style="765" customWidth="1"/>
    <col min="2481" max="2481" width="0.140625" style="765" customWidth="1"/>
    <col min="2482" max="2484" width="8" style="765" customWidth="1"/>
    <col min="2485" max="2485" width="7.85546875" style="765" customWidth="1"/>
    <col min="2486" max="2487" width="8" style="765" customWidth="1"/>
    <col min="2488" max="2488" width="6.28515625" style="765" customWidth="1"/>
    <col min="2489" max="2490" width="8" style="765" customWidth="1"/>
    <col min="2491" max="2491" width="8" style="765"/>
    <col min="2492" max="2492" width="4.28515625" style="765" customWidth="1"/>
    <col min="2493" max="2494" width="8" style="765" customWidth="1"/>
    <col min="2495" max="2495" width="3.28515625" style="765" customWidth="1"/>
    <col min="2496" max="2496" width="1.5703125" style="765" customWidth="1"/>
    <col min="2497" max="2497" width="3.140625" style="765" customWidth="1"/>
    <col min="2498" max="2498" width="1.85546875" style="765" customWidth="1"/>
    <col min="2499" max="2727" width="8" style="765"/>
    <col min="2728" max="2728" width="9.42578125" style="765" customWidth="1"/>
    <col min="2729" max="2729" width="16.42578125" style="765" customWidth="1"/>
    <col min="2730" max="2730" width="8" style="765"/>
    <col min="2731" max="2731" width="4.85546875" style="765" customWidth="1"/>
    <col min="2732" max="2732" width="17.42578125" style="765" customWidth="1"/>
    <col min="2733" max="2733" width="8" style="765"/>
    <col min="2734" max="2734" width="8" style="765" customWidth="1"/>
    <col min="2735" max="2735" width="14.5703125" style="765" customWidth="1"/>
    <col min="2736" max="2736" width="8.85546875" style="765" customWidth="1"/>
    <col min="2737" max="2737" width="0.140625" style="765" customWidth="1"/>
    <col min="2738" max="2740" width="8" style="765" customWidth="1"/>
    <col min="2741" max="2741" width="7.85546875" style="765" customWidth="1"/>
    <col min="2742" max="2743" width="8" style="765" customWidth="1"/>
    <col min="2744" max="2744" width="6.28515625" style="765" customWidth="1"/>
    <col min="2745" max="2746" width="8" style="765" customWidth="1"/>
    <col min="2747" max="2747" width="8" style="765"/>
    <col min="2748" max="2748" width="4.28515625" style="765" customWidth="1"/>
    <col min="2749" max="2750" width="8" style="765" customWidth="1"/>
    <col min="2751" max="2751" width="3.28515625" style="765" customWidth="1"/>
    <col min="2752" max="2752" width="1.5703125" style="765" customWidth="1"/>
    <col min="2753" max="2753" width="3.140625" style="765" customWidth="1"/>
    <col min="2754" max="2754" width="1.85546875" style="765" customWidth="1"/>
    <col min="2755" max="2983" width="8" style="765"/>
    <col min="2984" max="2984" width="9.42578125" style="765" customWidth="1"/>
    <col min="2985" max="2985" width="16.42578125" style="765" customWidth="1"/>
    <col min="2986" max="2986" width="8" style="765"/>
    <col min="2987" max="2987" width="4.85546875" style="765" customWidth="1"/>
    <col min="2988" max="2988" width="17.42578125" style="765" customWidth="1"/>
    <col min="2989" max="2989" width="8" style="765"/>
    <col min="2990" max="2990" width="8" style="765" customWidth="1"/>
    <col min="2991" max="2991" width="14.5703125" style="765" customWidth="1"/>
    <col min="2992" max="2992" width="8.85546875" style="765" customWidth="1"/>
    <col min="2993" max="2993" width="0.140625" style="765" customWidth="1"/>
    <col min="2994" max="2996" width="8" style="765" customWidth="1"/>
    <col min="2997" max="2997" width="7.85546875" style="765" customWidth="1"/>
    <col min="2998" max="2999" width="8" style="765" customWidth="1"/>
    <col min="3000" max="3000" width="6.28515625" style="765" customWidth="1"/>
    <col min="3001" max="3002" width="8" style="765" customWidth="1"/>
    <col min="3003" max="3003" width="8" style="765"/>
    <col min="3004" max="3004" width="4.28515625" style="765" customWidth="1"/>
    <col min="3005" max="3006" width="8" style="765" customWidth="1"/>
    <col min="3007" max="3007" width="3.28515625" style="765" customWidth="1"/>
    <col min="3008" max="3008" width="1.5703125" style="765" customWidth="1"/>
    <col min="3009" max="3009" width="3.140625" style="765" customWidth="1"/>
    <col min="3010" max="3010" width="1.85546875" style="765" customWidth="1"/>
    <col min="3011" max="3239" width="8" style="765"/>
    <col min="3240" max="3240" width="9.42578125" style="765" customWidth="1"/>
    <col min="3241" max="3241" width="16.42578125" style="765" customWidth="1"/>
    <col min="3242" max="3242" width="8" style="765"/>
    <col min="3243" max="3243" width="4.85546875" style="765" customWidth="1"/>
    <col min="3244" max="3244" width="17.42578125" style="765" customWidth="1"/>
    <col min="3245" max="3245" width="8" style="765"/>
    <col min="3246" max="3246" width="8" style="765" customWidth="1"/>
    <col min="3247" max="3247" width="14.5703125" style="765" customWidth="1"/>
    <col min="3248" max="3248" width="8.85546875" style="765" customWidth="1"/>
    <col min="3249" max="3249" width="0.140625" style="765" customWidth="1"/>
    <col min="3250" max="3252" width="8" style="765" customWidth="1"/>
    <col min="3253" max="3253" width="7.85546875" style="765" customWidth="1"/>
    <col min="3254" max="3255" width="8" style="765" customWidth="1"/>
    <col min="3256" max="3256" width="6.28515625" style="765" customWidth="1"/>
    <col min="3257" max="3258" width="8" style="765" customWidth="1"/>
    <col min="3259" max="3259" width="8" style="765"/>
    <col min="3260" max="3260" width="4.28515625" style="765" customWidth="1"/>
    <col min="3261" max="3262" width="8" style="765" customWidth="1"/>
    <col min="3263" max="3263" width="3.28515625" style="765" customWidth="1"/>
    <col min="3264" max="3264" width="1.5703125" style="765" customWidth="1"/>
    <col min="3265" max="3265" width="3.140625" style="765" customWidth="1"/>
    <col min="3266" max="3266" width="1.85546875" style="765" customWidth="1"/>
    <col min="3267" max="3495" width="8" style="765"/>
    <col min="3496" max="3496" width="9.42578125" style="765" customWidth="1"/>
    <col min="3497" max="3497" width="16.42578125" style="765" customWidth="1"/>
    <col min="3498" max="3498" width="8" style="765"/>
    <col min="3499" max="3499" width="4.85546875" style="765" customWidth="1"/>
    <col min="3500" max="3500" width="17.42578125" style="765" customWidth="1"/>
    <col min="3501" max="3501" width="8" style="765"/>
    <col min="3502" max="3502" width="8" style="765" customWidth="1"/>
    <col min="3503" max="3503" width="14.5703125" style="765" customWidth="1"/>
    <col min="3504" max="3504" width="8.85546875" style="765" customWidth="1"/>
    <col min="3505" max="3505" width="0.140625" style="765" customWidth="1"/>
    <col min="3506" max="3508" width="8" style="765" customWidth="1"/>
    <col min="3509" max="3509" width="7.85546875" style="765" customWidth="1"/>
    <col min="3510" max="3511" width="8" style="765" customWidth="1"/>
    <col min="3512" max="3512" width="6.28515625" style="765" customWidth="1"/>
    <col min="3513" max="3514" width="8" style="765" customWidth="1"/>
    <col min="3515" max="3515" width="8" style="765"/>
    <col min="3516" max="3516" width="4.28515625" style="765" customWidth="1"/>
    <col min="3517" max="3518" width="8" style="765" customWidth="1"/>
    <col min="3519" max="3519" width="3.28515625" style="765" customWidth="1"/>
    <col min="3520" max="3520" width="1.5703125" style="765" customWidth="1"/>
    <col min="3521" max="3521" width="3.140625" style="765" customWidth="1"/>
    <col min="3522" max="3522" width="1.85546875" style="765" customWidth="1"/>
    <col min="3523" max="3751" width="8" style="765"/>
    <col min="3752" max="3752" width="9.42578125" style="765" customWidth="1"/>
    <col min="3753" max="3753" width="16.42578125" style="765" customWidth="1"/>
    <col min="3754" max="3754" width="8" style="765"/>
    <col min="3755" max="3755" width="4.85546875" style="765" customWidth="1"/>
    <col min="3756" max="3756" width="17.42578125" style="765" customWidth="1"/>
    <col min="3757" max="3757" width="8" style="765"/>
    <col min="3758" max="3758" width="8" style="765" customWidth="1"/>
    <col min="3759" max="3759" width="14.5703125" style="765" customWidth="1"/>
    <col min="3760" max="3760" width="8.85546875" style="765" customWidth="1"/>
    <col min="3761" max="3761" width="0.140625" style="765" customWidth="1"/>
    <col min="3762" max="3764" width="8" style="765" customWidth="1"/>
    <col min="3765" max="3765" width="7.85546875" style="765" customWidth="1"/>
    <col min="3766" max="3767" width="8" style="765" customWidth="1"/>
    <col min="3768" max="3768" width="6.28515625" style="765" customWidth="1"/>
    <col min="3769" max="3770" width="8" style="765" customWidth="1"/>
    <col min="3771" max="3771" width="8" style="765"/>
    <col min="3772" max="3772" width="4.28515625" style="765" customWidth="1"/>
    <col min="3773" max="3774" width="8" style="765" customWidth="1"/>
    <col min="3775" max="3775" width="3.28515625" style="765" customWidth="1"/>
    <col min="3776" max="3776" width="1.5703125" style="765" customWidth="1"/>
    <col min="3777" max="3777" width="3.140625" style="765" customWidth="1"/>
    <col min="3778" max="3778" width="1.85546875" style="765" customWidth="1"/>
    <col min="3779" max="4007" width="8" style="765"/>
    <col min="4008" max="4008" width="9.42578125" style="765" customWidth="1"/>
    <col min="4009" max="4009" width="16.42578125" style="765" customWidth="1"/>
    <col min="4010" max="4010" width="8" style="765"/>
    <col min="4011" max="4011" width="4.85546875" style="765" customWidth="1"/>
    <col min="4012" max="4012" width="17.42578125" style="765" customWidth="1"/>
    <col min="4013" max="4013" width="8" style="765"/>
    <col min="4014" max="4014" width="8" style="765" customWidth="1"/>
    <col min="4015" max="4015" width="14.5703125" style="765" customWidth="1"/>
    <col min="4016" max="4016" width="8.85546875" style="765" customWidth="1"/>
    <col min="4017" max="4017" width="0.140625" style="765" customWidth="1"/>
    <col min="4018" max="4020" width="8" style="765" customWidth="1"/>
    <col min="4021" max="4021" width="7.85546875" style="765" customWidth="1"/>
    <col min="4022" max="4023" width="8" style="765" customWidth="1"/>
    <col min="4024" max="4024" width="6.28515625" style="765" customWidth="1"/>
    <col min="4025" max="4026" width="8" style="765" customWidth="1"/>
    <col min="4027" max="4027" width="8" style="765"/>
    <col min="4028" max="4028" width="4.28515625" style="765" customWidth="1"/>
    <col min="4029" max="4030" width="8" style="765" customWidth="1"/>
    <col min="4031" max="4031" width="3.28515625" style="765" customWidth="1"/>
    <col min="4032" max="4032" width="1.5703125" style="765" customWidth="1"/>
    <col min="4033" max="4033" width="3.140625" style="765" customWidth="1"/>
    <col min="4034" max="4034" width="1.85546875" style="765" customWidth="1"/>
    <col min="4035" max="4263" width="8" style="765"/>
    <col min="4264" max="4264" width="9.42578125" style="765" customWidth="1"/>
    <col min="4265" max="4265" width="16.42578125" style="765" customWidth="1"/>
    <col min="4266" max="4266" width="8" style="765"/>
    <col min="4267" max="4267" width="4.85546875" style="765" customWidth="1"/>
    <col min="4268" max="4268" width="17.42578125" style="765" customWidth="1"/>
    <col min="4269" max="4269" width="8" style="765"/>
    <col min="4270" max="4270" width="8" style="765" customWidth="1"/>
    <col min="4271" max="4271" width="14.5703125" style="765" customWidth="1"/>
    <col min="4272" max="4272" width="8.85546875" style="765" customWidth="1"/>
    <col min="4273" max="4273" width="0.140625" style="765" customWidth="1"/>
    <col min="4274" max="4276" width="8" style="765" customWidth="1"/>
    <col min="4277" max="4277" width="7.85546875" style="765" customWidth="1"/>
    <col min="4278" max="4279" width="8" style="765" customWidth="1"/>
    <col min="4280" max="4280" width="6.28515625" style="765" customWidth="1"/>
    <col min="4281" max="4282" width="8" style="765" customWidth="1"/>
    <col min="4283" max="4283" width="8" style="765"/>
    <col min="4284" max="4284" width="4.28515625" style="765" customWidth="1"/>
    <col min="4285" max="4286" width="8" style="765" customWidth="1"/>
    <col min="4287" max="4287" width="3.28515625" style="765" customWidth="1"/>
    <col min="4288" max="4288" width="1.5703125" style="765" customWidth="1"/>
    <col min="4289" max="4289" width="3.140625" style="765" customWidth="1"/>
    <col min="4290" max="4290" width="1.85546875" style="765" customWidth="1"/>
    <col min="4291" max="4519" width="8" style="765"/>
    <col min="4520" max="4520" width="9.42578125" style="765" customWidth="1"/>
    <col min="4521" max="4521" width="16.42578125" style="765" customWidth="1"/>
    <col min="4522" max="4522" width="8" style="765"/>
    <col min="4523" max="4523" width="4.85546875" style="765" customWidth="1"/>
    <col min="4524" max="4524" width="17.42578125" style="765" customWidth="1"/>
    <col min="4525" max="4525" width="8" style="765"/>
    <col min="4526" max="4526" width="8" style="765" customWidth="1"/>
    <col min="4527" max="4527" width="14.5703125" style="765" customWidth="1"/>
    <col min="4528" max="4528" width="8.85546875" style="765" customWidth="1"/>
    <col min="4529" max="4529" width="0.140625" style="765" customWidth="1"/>
    <col min="4530" max="4532" width="8" style="765" customWidth="1"/>
    <col min="4533" max="4533" width="7.85546875" style="765" customWidth="1"/>
    <col min="4534" max="4535" width="8" style="765" customWidth="1"/>
    <col min="4536" max="4536" width="6.28515625" style="765" customWidth="1"/>
    <col min="4537" max="4538" width="8" style="765" customWidth="1"/>
    <col min="4539" max="4539" width="8" style="765"/>
    <col min="4540" max="4540" width="4.28515625" style="765" customWidth="1"/>
    <col min="4541" max="4542" width="8" style="765" customWidth="1"/>
    <col min="4543" max="4543" width="3.28515625" style="765" customWidth="1"/>
    <col min="4544" max="4544" width="1.5703125" style="765" customWidth="1"/>
    <col min="4545" max="4545" width="3.140625" style="765" customWidth="1"/>
    <col min="4546" max="4546" width="1.85546875" style="765" customWidth="1"/>
    <col min="4547" max="4775" width="8" style="765"/>
    <col min="4776" max="4776" width="9.42578125" style="765" customWidth="1"/>
    <col min="4777" max="4777" width="16.42578125" style="765" customWidth="1"/>
    <col min="4778" max="4778" width="8" style="765"/>
    <col min="4779" max="4779" width="4.85546875" style="765" customWidth="1"/>
    <col min="4780" max="4780" width="17.42578125" style="765" customWidth="1"/>
    <col min="4781" max="4781" width="8" style="765"/>
    <col min="4782" max="4782" width="8" style="765" customWidth="1"/>
    <col min="4783" max="4783" width="14.5703125" style="765" customWidth="1"/>
    <col min="4784" max="4784" width="8.85546875" style="765" customWidth="1"/>
    <col min="4785" max="4785" width="0.140625" style="765" customWidth="1"/>
    <col min="4786" max="4788" width="8" style="765" customWidth="1"/>
    <col min="4789" max="4789" width="7.85546875" style="765" customWidth="1"/>
    <col min="4790" max="4791" width="8" style="765" customWidth="1"/>
    <col min="4792" max="4792" width="6.28515625" style="765" customWidth="1"/>
    <col min="4793" max="4794" width="8" style="765" customWidth="1"/>
    <col min="4795" max="4795" width="8" style="765"/>
    <col min="4796" max="4796" width="4.28515625" style="765" customWidth="1"/>
    <col min="4797" max="4798" width="8" style="765" customWidth="1"/>
    <col min="4799" max="4799" width="3.28515625" style="765" customWidth="1"/>
    <col min="4800" max="4800" width="1.5703125" style="765" customWidth="1"/>
    <col min="4801" max="4801" width="3.140625" style="765" customWidth="1"/>
    <col min="4802" max="4802" width="1.85546875" style="765" customWidth="1"/>
    <col min="4803" max="5031" width="8" style="765"/>
    <col min="5032" max="5032" width="9.42578125" style="765" customWidth="1"/>
    <col min="5033" max="5033" width="16.42578125" style="765" customWidth="1"/>
    <col min="5034" max="5034" width="8" style="765"/>
    <col min="5035" max="5035" width="4.85546875" style="765" customWidth="1"/>
    <col min="5036" max="5036" width="17.42578125" style="765" customWidth="1"/>
    <col min="5037" max="5037" width="8" style="765"/>
    <col min="5038" max="5038" width="8" style="765" customWidth="1"/>
    <col min="5039" max="5039" width="14.5703125" style="765" customWidth="1"/>
    <col min="5040" max="5040" width="8.85546875" style="765" customWidth="1"/>
    <col min="5041" max="5041" width="0.140625" style="765" customWidth="1"/>
    <col min="5042" max="5044" width="8" style="765" customWidth="1"/>
    <col min="5045" max="5045" width="7.85546875" style="765" customWidth="1"/>
    <col min="5046" max="5047" width="8" style="765" customWidth="1"/>
    <col min="5048" max="5048" width="6.28515625" style="765" customWidth="1"/>
    <col min="5049" max="5050" width="8" style="765" customWidth="1"/>
    <col min="5051" max="5051" width="8" style="765"/>
    <col min="5052" max="5052" width="4.28515625" style="765" customWidth="1"/>
    <col min="5053" max="5054" width="8" style="765" customWidth="1"/>
    <col min="5055" max="5055" width="3.28515625" style="765" customWidth="1"/>
    <col min="5056" max="5056" width="1.5703125" style="765" customWidth="1"/>
    <col min="5057" max="5057" width="3.140625" style="765" customWidth="1"/>
    <col min="5058" max="5058" width="1.85546875" style="765" customWidth="1"/>
    <col min="5059" max="5287" width="8" style="765"/>
    <col min="5288" max="5288" width="9.42578125" style="765" customWidth="1"/>
    <col min="5289" max="5289" width="16.42578125" style="765" customWidth="1"/>
    <col min="5290" max="5290" width="8" style="765"/>
    <col min="5291" max="5291" width="4.85546875" style="765" customWidth="1"/>
    <col min="5292" max="5292" width="17.42578125" style="765" customWidth="1"/>
    <col min="5293" max="5293" width="8" style="765"/>
    <col min="5294" max="5294" width="8" style="765" customWidth="1"/>
    <col min="5295" max="5295" width="14.5703125" style="765" customWidth="1"/>
    <col min="5296" max="5296" width="8.85546875" style="765" customWidth="1"/>
    <col min="5297" max="5297" width="0.140625" style="765" customWidth="1"/>
    <col min="5298" max="5300" width="8" style="765" customWidth="1"/>
    <col min="5301" max="5301" width="7.85546875" style="765" customWidth="1"/>
    <col min="5302" max="5303" width="8" style="765" customWidth="1"/>
    <col min="5304" max="5304" width="6.28515625" style="765" customWidth="1"/>
    <col min="5305" max="5306" width="8" style="765" customWidth="1"/>
    <col min="5307" max="5307" width="8" style="765"/>
    <col min="5308" max="5308" width="4.28515625" style="765" customWidth="1"/>
    <col min="5309" max="5310" width="8" style="765" customWidth="1"/>
    <col min="5311" max="5311" width="3.28515625" style="765" customWidth="1"/>
    <col min="5312" max="5312" width="1.5703125" style="765" customWidth="1"/>
    <col min="5313" max="5313" width="3.140625" style="765" customWidth="1"/>
    <col min="5314" max="5314" width="1.85546875" style="765" customWidth="1"/>
    <col min="5315" max="5543" width="8" style="765"/>
    <col min="5544" max="5544" width="9.42578125" style="765" customWidth="1"/>
    <col min="5545" max="5545" width="16.42578125" style="765" customWidth="1"/>
    <col min="5546" max="5546" width="8" style="765"/>
    <col min="5547" max="5547" width="4.85546875" style="765" customWidth="1"/>
    <col min="5548" max="5548" width="17.42578125" style="765" customWidth="1"/>
    <col min="5549" max="5549" width="8" style="765"/>
    <col min="5550" max="5550" width="8" style="765" customWidth="1"/>
    <col min="5551" max="5551" width="14.5703125" style="765" customWidth="1"/>
    <col min="5552" max="5552" width="8.85546875" style="765" customWidth="1"/>
    <col min="5553" max="5553" width="0.140625" style="765" customWidth="1"/>
    <col min="5554" max="5556" width="8" style="765" customWidth="1"/>
    <col min="5557" max="5557" width="7.85546875" style="765" customWidth="1"/>
    <col min="5558" max="5559" width="8" style="765" customWidth="1"/>
    <col min="5560" max="5560" width="6.28515625" style="765" customWidth="1"/>
    <col min="5561" max="5562" width="8" style="765" customWidth="1"/>
    <col min="5563" max="5563" width="8" style="765"/>
    <col min="5564" max="5564" width="4.28515625" style="765" customWidth="1"/>
    <col min="5565" max="5566" width="8" style="765" customWidth="1"/>
    <col min="5567" max="5567" width="3.28515625" style="765" customWidth="1"/>
    <col min="5568" max="5568" width="1.5703125" style="765" customWidth="1"/>
    <col min="5569" max="5569" width="3.140625" style="765" customWidth="1"/>
    <col min="5570" max="5570" width="1.85546875" style="765" customWidth="1"/>
    <col min="5571" max="5799" width="8" style="765"/>
    <col min="5800" max="5800" width="9.42578125" style="765" customWidth="1"/>
    <col min="5801" max="5801" width="16.42578125" style="765" customWidth="1"/>
    <col min="5802" max="5802" width="8" style="765"/>
    <col min="5803" max="5803" width="4.85546875" style="765" customWidth="1"/>
    <col min="5804" max="5804" width="17.42578125" style="765" customWidth="1"/>
    <col min="5805" max="5805" width="8" style="765"/>
    <col min="5806" max="5806" width="8" style="765" customWidth="1"/>
    <col min="5807" max="5807" width="14.5703125" style="765" customWidth="1"/>
    <col min="5808" max="5808" width="8.85546875" style="765" customWidth="1"/>
    <col min="5809" max="5809" width="0.140625" style="765" customWidth="1"/>
    <col min="5810" max="5812" width="8" style="765" customWidth="1"/>
    <col min="5813" max="5813" width="7.85546875" style="765" customWidth="1"/>
    <col min="5814" max="5815" width="8" style="765" customWidth="1"/>
    <col min="5816" max="5816" width="6.28515625" style="765" customWidth="1"/>
    <col min="5817" max="5818" width="8" style="765" customWidth="1"/>
    <col min="5819" max="5819" width="8" style="765"/>
    <col min="5820" max="5820" width="4.28515625" style="765" customWidth="1"/>
    <col min="5821" max="5822" width="8" style="765" customWidth="1"/>
    <col min="5823" max="5823" width="3.28515625" style="765" customWidth="1"/>
    <col min="5824" max="5824" width="1.5703125" style="765" customWidth="1"/>
    <col min="5825" max="5825" width="3.140625" style="765" customWidth="1"/>
    <col min="5826" max="5826" width="1.85546875" style="765" customWidth="1"/>
    <col min="5827" max="6055" width="8" style="765"/>
    <col min="6056" max="6056" width="9.42578125" style="765" customWidth="1"/>
    <col min="6057" max="6057" width="16.42578125" style="765" customWidth="1"/>
    <col min="6058" max="6058" width="8" style="765"/>
    <col min="6059" max="6059" width="4.85546875" style="765" customWidth="1"/>
    <col min="6060" max="6060" width="17.42578125" style="765" customWidth="1"/>
    <col min="6061" max="6061" width="8" style="765"/>
    <col min="6062" max="6062" width="8" style="765" customWidth="1"/>
    <col min="6063" max="6063" width="14.5703125" style="765" customWidth="1"/>
    <col min="6064" max="6064" width="8.85546875" style="765" customWidth="1"/>
    <col min="6065" max="6065" width="0.140625" style="765" customWidth="1"/>
    <col min="6066" max="6068" width="8" style="765" customWidth="1"/>
    <col min="6069" max="6069" width="7.85546875" style="765" customWidth="1"/>
    <col min="6070" max="6071" width="8" style="765" customWidth="1"/>
    <col min="6072" max="6072" width="6.28515625" style="765" customWidth="1"/>
    <col min="6073" max="6074" width="8" style="765" customWidth="1"/>
    <col min="6075" max="6075" width="8" style="765"/>
    <col min="6076" max="6076" width="4.28515625" style="765" customWidth="1"/>
    <col min="6077" max="6078" width="8" style="765" customWidth="1"/>
    <col min="6079" max="6079" width="3.28515625" style="765" customWidth="1"/>
    <col min="6080" max="6080" width="1.5703125" style="765" customWidth="1"/>
    <col min="6081" max="6081" width="3.140625" style="765" customWidth="1"/>
    <col min="6082" max="6082" width="1.85546875" style="765" customWidth="1"/>
    <col min="6083" max="6311" width="8" style="765"/>
    <col min="6312" max="6312" width="9.42578125" style="765" customWidth="1"/>
    <col min="6313" max="6313" width="16.42578125" style="765" customWidth="1"/>
    <col min="6314" max="6314" width="8" style="765"/>
    <col min="6315" max="6315" width="4.85546875" style="765" customWidth="1"/>
    <col min="6316" max="6316" width="17.42578125" style="765" customWidth="1"/>
    <col min="6317" max="6317" width="8" style="765"/>
    <col min="6318" max="6318" width="8" style="765" customWidth="1"/>
    <col min="6319" max="6319" width="14.5703125" style="765" customWidth="1"/>
    <col min="6320" max="6320" width="8.85546875" style="765" customWidth="1"/>
    <col min="6321" max="6321" width="0.140625" style="765" customWidth="1"/>
    <col min="6322" max="6324" width="8" style="765" customWidth="1"/>
    <col min="6325" max="6325" width="7.85546875" style="765" customWidth="1"/>
    <col min="6326" max="6327" width="8" style="765" customWidth="1"/>
    <col min="6328" max="6328" width="6.28515625" style="765" customWidth="1"/>
    <col min="6329" max="6330" width="8" style="765" customWidth="1"/>
    <col min="6331" max="6331" width="8" style="765"/>
    <col min="6332" max="6332" width="4.28515625" style="765" customWidth="1"/>
    <col min="6333" max="6334" width="8" style="765" customWidth="1"/>
    <col min="6335" max="6335" width="3.28515625" style="765" customWidth="1"/>
    <col min="6336" max="6336" width="1.5703125" style="765" customWidth="1"/>
    <col min="6337" max="6337" width="3.140625" style="765" customWidth="1"/>
    <col min="6338" max="6338" width="1.85546875" style="765" customWidth="1"/>
    <col min="6339" max="6567" width="8" style="765"/>
    <col min="6568" max="6568" width="9.42578125" style="765" customWidth="1"/>
    <col min="6569" max="6569" width="16.42578125" style="765" customWidth="1"/>
    <col min="6570" max="6570" width="8" style="765"/>
    <col min="6571" max="6571" width="4.85546875" style="765" customWidth="1"/>
    <col min="6572" max="6572" width="17.42578125" style="765" customWidth="1"/>
    <col min="6573" max="6573" width="8" style="765"/>
    <col min="6574" max="6574" width="8" style="765" customWidth="1"/>
    <col min="6575" max="6575" width="14.5703125" style="765" customWidth="1"/>
    <col min="6576" max="6576" width="8.85546875" style="765" customWidth="1"/>
    <col min="6577" max="6577" width="0.140625" style="765" customWidth="1"/>
    <col min="6578" max="6580" width="8" style="765" customWidth="1"/>
    <col min="6581" max="6581" width="7.85546875" style="765" customWidth="1"/>
    <col min="6582" max="6583" width="8" style="765" customWidth="1"/>
    <col min="6584" max="6584" width="6.28515625" style="765" customWidth="1"/>
    <col min="6585" max="6586" width="8" style="765" customWidth="1"/>
    <col min="6587" max="6587" width="8" style="765"/>
    <col min="6588" max="6588" width="4.28515625" style="765" customWidth="1"/>
    <col min="6589" max="6590" width="8" style="765" customWidth="1"/>
    <col min="6591" max="6591" width="3.28515625" style="765" customWidth="1"/>
    <col min="6592" max="6592" width="1.5703125" style="765" customWidth="1"/>
    <col min="6593" max="6593" width="3.140625" style="765" customWidth="1"/>
    <col min="6594" max="6594" width="1.85546875" style="765" customWidth="1"/>
    <col min="6595" max="6823" width="8" style="765"/>
    <col min="6824" max="6824" width="9.42578125" style="765" customWidth="1"/>
    <col min="6825" max="6825" width="16.42578125" style="765" customWidth="1"/>
    <col min="6826" max="6826" width="8" style="765"/>
    <col min="6827" max="6827" width="4.85546875" style="765" customWidth="1"/>
    <col min="6828" max="6828" width="17.42578125" style="765" customWidth="1"/>
    <col min="6829" max="6829" width="8" style="765"/>
    <col min="6830" max="6830" width="8" style="765" customWidth="1"/>
    <col min="6831" max="6831" width="14.5703125" style="765" customWidth="1"/>
    <col min="6832" max="6832" width="8.85546875" style="765" customWidth="1"/>
    <col min="6833" max="6833" width="0.140625" style="765" customWidth="1"/>
    <col min="6834" max="6836" width="8" style="765" customWidth="1"/>
    <col min="6837" max="6837" width="7.85546875" style="765" customWidth="1"/>
    <col min="6838" max="6839" width="8" style="765" customWidth="1"/>
    <col min="6840" max="6840" width="6.28515625" style="765" customWidth="1"/>
    <col min="6841" max="6842" width="8" style="765" customWidth="1"/>
    <col min="6843" max="6843" width="8" style="765"/>
    <col min="6844" max="6844" width="4.28515625" style="765" customWidth="1"/>
    <col min="6845" max="6846" width="8" style="765" customWidth="1"/>
    <col min="6847" max="6847" width="3.28515625" style="765" customWidth="1"/>
    <col min="6848" max="6848" width="1.5703125" style="765" customWidth="1"/>
    <col min="6849" max="6849" width="3.140625" style="765" customWidth="1"/>
    <col min="6850" max="6850" width="1.85546875" style="765" customWidth="1"/>
    <col min="6851" max="7079" width="8" style="765"/>
    <col min="7080" max="7080" width="9.42578125" style="765" customWidth="1"/>
    <col min="7081" max="7081" width="16.42578125" style="765" customWidth="1"/>
    <col min="7082" max="7082" width="8" style="765"/>
    <col min="7083" max="7083" width="4.85546875" style="765" customWidth="1"/>
    <col min="7084" max="7084" width="17.42578125" style="765" customWidth="1"/>
    <col min="7085" max="7085" width="8" style="765"/>
    <col min="7086" max="7086" width="8" style="765" customWidth="1"/>
    <col min="7087" max="7087" width="14.5703125" style="765" customWidth="1"/>
    <col min="7088" max="7088" width="8.85546875" style="765" customWidth="1"/>
    <col min="7089" max="7089" width="0.140625" style="765" customWidth="1"/>
    <col min="7090" max="7092" width="8" style="765" customWidth="1"/>
    <col min="7093" max="7093" width="7.85546875" style="765" customWidth="1"/>
    <col min="7094" max="7095" width="8" style="765" customWidth="1"/>
    <col min="7096" max="7096" width="6.28515625" style="765" customWidth="1"/>
    <col min="7097" max="7098" width="8" style="765" customWidth="1"/>
    <col min="7099" max="7099" width="8" style="765"/>
    <col min="7100" max="7100" width="4.28515625" style="765" customWidth="1"/>
    <col min="7101" max="7102" width="8" style="765" customWidth="1"/>
    <col min="7103" max="7103" width="3.28515625" style="765" customWidth="1"/>
    <col min="7104" max="7104" width="1.5703125" style="765" customWidth="1"/>
    <col min="7105" max="7105" width="3.140625" style="765" customWidth="1"/>
    <col min="7106" max="7106" width="1.85546875" style="765" customWidth="1"/>
    <col min="7107" max="7335" width="8" style="765"/>
    <col min="7336" max="7336" width="9.42578125" style="765" customWidth="1"/>
    <col min="7337" max="7337" width="16.42578125" style="765" customWidth="1"/>
    <col min="7338" max="7338" width="8" style="765"/>
    <col min="7339" max="7339" width="4.85546875" style="765" customWidth="1"/>
    <col min="7340" max="7340" width="17.42578125" style="765" customWidth="1"/>
    <col min="7341" max="7341" width="8" style="765"/>
    <col min="7342" max="7342" width="8" style="765" customWidth="1"/>
    <col min="7343" max="7343" width="14.5703125" style="765" customWidth="1"/>
    <col min="7344" max="7344" width="8.85546875" style="765" customWidth="1"/>
    <col min="7345" max="7345" width="0.140625" style="765" customWidth="1"/>
    <col min="7346" max="7348" width="8" style="765" customWidth="1"/>
    <col min="7349" max="7349" width="7.85546875" style="765" customWidth="1"/>
    <col min="7350" max="7351" width="8" style="765" customWidth="1"/>
    <col min="7352" max="7352" width="6.28515625" style="765" customWidth="1"/>
    <col min="7353" max="7354" width="8" style="765" customWidth="1"/>
    <col min="7355" max="7355" width="8" style="765"/>
    <col min="7356" max="7356" width="4.28515625" style="765" customWidth="1"/>
    <col min="7357" max="7358" width="8" style="765" customWidth="1"/>
    <col min="7359" max="7359" width="3.28515625" style="765" customWidth="1"/>
    <col min="7360" max="7360" width="1.5703125" style="765" customWidth="1"/>
    <col min="7361" max="7361" width="3.140625" style="765" customWidth="1"/>
    <col min="7362" max="7362" width="1.85546875" style="765" customWidth="1"/>
    <col min="7363" max="7591" width="8" style="765"/>
    <col min="7592" max="7592" width="9.42578125" style="765" customWidth="1"/>
    <col min="7593" max="7593" width="16.42578125" style="765" customWidth="1"/>
    <col min="7594" max="7594" width="8" style="765"/>
    <col min="7595" max="7595" width="4.85546875" style="765" customWidth="1"/>
    <col min="7596" max="7596" width="17.42578125" style="765" customWidth="1"/>
    <col min="7597" max="7597" width="8" style="765"/>
    <col min="7598" max="7598" width="8" style="765" customWidth="1"/>
    <col min="7599" max="7599" width="14.5703125" style="765" customWidth="1"/>
    <col min="7600" max="7600" width="8.85546875" style="765" customWidth="1"/>
    <col min="7601" max="7601" width="0.140625" style="765" customWidth="1"/>
    <col min="7602" max="7604" width="8" style="765" customWidth="1"/>
    <col min="7605" max="7605" width="7.85546875" style="765" customWidth="1"/>
    <col min="7606" max="7607" width="8" style="765" customWidth="1"/>
    <col min="7608" max="7608" width="6.28515625" style="765" customWidth="1"/>
    <col min="7609" max="7610" width="8" style="765" customWidth="1"/>
    <col min="7611" max="7611" width="8" style="765"/>
    <col min="7612" max="7612" width="4.28515625" style="765" customWidth="1"/>
    <col min="7613" max="7614" width="8" style="765" customWidth="1"/>
    <col min="7615" max="7615" width="3.28515625" style="765" customWidth="1"/>
    <col min="7616" max="7616" width="1.5703125" style="765" customWidth="1"/>
    <col min="7617" max="7617" width="3.140625" style="765" customWidth="1"/>
    <col min="7618" max="7618" width="1.85546875" style="765" customWidth="1"/>
    <col min="7619" max="7847" width="8" style="765"/>
    <col min="7848" max="7848" width="9.42578125" style="765" customWidth="1"/>
    <col min="7849" max="7849" width="16.42578125" style="765" customWidth="1"/>
    <col min="7850" max="7850" width="8" style="765"/>
    <col min="7851" max="7851" width="4.85546875" style="765" customWidth="1"/>
    <col min="7852" max="7852" width="17.42578125" style="765" customWidth="1"/>
    <col min="7853" max="7853" width="8" style="765"/>
    <col min="7854" max="7854" width="8" style="765" customWidth="1"/>
    <col min="7855" max="7855" width="14.5703125" style="765" customWidth="1"/>
    <col min="7856" max="7856" width="8.85546875" style="765" customWidth="1"/>
    <col min="7857" max="7857" width="0.140625" style="765" customWidth="1"/>
    <col min="7858" max="7860" width="8" style="765" customWidth="1"/>
    <col min="7861" max="7861" width="7.85546875" style="765" customWidth="1"/>
    <col min="7862" max="7863" width="8" style="765" customWidth="1"/>
    <col min="7864" max="7864" width="6.28515625" style="765" customWidth="1"/>
    <col min="7865" max="7866" width="8" style="765" customWidth="1"/>
    <col min="7867" max="7867" width="8" style="765"/>
    <col min="7868" max="7868" width="4.28515625" style="765" customWidth="1"/>
    <col min="7869" max="7870" width="8" style="765" customWidth="1"/>
    <col min="7871" max="7871" width="3.28515625" style="765" customWidth="1"/>
    <col min="7872" max="7872" width="1.5703125" style="765" customWidth="1"/>
    <col min="7873" max="7873" width="3.140625" style="765" customWidth="1"/>
    <col min="7874" max="7874" width="1.85546875" style="765" customWidth="1"/>
    <col min="7875" max="8103" width="8" style="765"/>
    <col min="8104" max="8104" width="9.42578125" style="765" customWidth="1"/>
    <col min="8105" max="8105" width="16.42578125" style="765" customWidth="1"/>
    <col min="8106" max="8106" width="8" style="765"/>
    <col min="8107" max="8107" width="4.85546875" style="765" customWidth="1"/>
    <col min="8108" max="8108" width="17.42578125" style="765" customWidth="1"/>
    <col min="8109" max="8109" width="8" style="765"/>
    <col min="8110" max="8110" width="8" style="765" customWidth="1"/>
    <col min="8111" max="8111" width="14.5703125" style="765" customWidth="1"/>
    <col min="8112" max="8112" width="8.85546875" style="765" customWidth="1"/>
    <col min="8113" max="8113" width="0.140625" style="765" customWidth="1"/>
    <col min="8114" max="8116" width="8" style="765" customWidth="1"/>
    <col min="8117" max="8117" width="7.85546875" style="765" customWidth="1"/>
    <col min="8118" max="8119" width="8" style="765" customWidth="1"/>
    <col min="8120" max="8120" width="6.28515625" style="765" customWidth="1"/>
    <col min="8121" max="8122" width="8" style="765" customWidth="1"/>
    <col min="8123" max="8123" width="8" style="765"/>
    <col min="8124" max="8124" width="4.28515625" style="765" customWidth="1"/>
    <col min="8125" max="8126" width="8" style="765" customWidth="1"/>
    <col min="8127" max="8127" width="3.28515625" style="765" customWidth="1"/>
    <col min="8128" max="8128" width="1.5703125" style="765" customWidth="1"/>
    <col min="8129" max="8129" width="3.140625" style="765" customWidth="1"/>
    <col min="8130" max="8130" width="1.85546875" style="765" customWidth="1"/>
    <col min="8131" max="8359" width="8" style="765"/>
    <col min="8360" max="8360" width="9.42578125" style="765" customWidth="1"/>
    <col min="8361" max="8361" width="16.42578125" style="765" customWidth="1"/>
    <col min="8362" max="8362" width="8" style="765"/>
    <col min="8363" max="8363" width="4.85546875" style="765" customWidth="1"/>
    <col min="8364" max="8364" width="17.42578125" style="765" customWidth="1"/>
    <col min="8365" max="8365" width="8" style="765"/>
    <col min="8366" max="8366" width="8" style="765" customWidth="1"/>
    <col min="8367" max="8367" width="14.5703125" style="765" customWidth="1"/>
    <col min="8368" max="8368" width="8.85546875" style="765" customWidth="1"/>
    <col min="8369" max="8369" width="0.140625" style="765" customWidth="1"/>
    <col min="8370" max="8372" width="8" style="765" customWidth="1"/>
    <col min="8373" max="8373" width="7.85546875" style="765" customWidth="1"/>
    <col min="8374" max="8375" width="8" style="765" customWidth="1"/>
    <col min="8376" max="8376" width="6.28515625" style="765" customWidth="1"/>
    <col min="8377" max="8378" width="8" style="765" customWidth="1"/>
    <col min="8379" max="8379" width="8" style="765"/>
    <col min="8380" max="8380" width="4.28515625" style="765" customWidth="1"/>
    <col min="8381" max="8382" width="8" style="765" customWidth="1"/>
    <col min="8383" max="8383" width="3.28515625" style="765" customWidth="1"/>
    <col min="8384" max="8384" width="1.5703125" style="765" customWidth="1"/>
    <col min="8385" max="8385" width="3.140625" style="765" customWidth="1"/>
    <col min="8386" max="8386" width="1.85546875" style="765" customWidth="1"/>
    <col min="8387" max="8615" width="8" style="765"/>
    <col min="8616" max="8616" width="9.42578125" style="765" customWidth="1"/>
    <col min="8617" max="8617" width="16.42578125" style="765" customWidth="1"/>
    <col min="8618" max="8618" width="8" style="765"/>
    <col min="8619" max="8619" width="4.85546875" style="765" customWidth="1"/>
    <col min="8620" max="8620" width="17.42578125" style="765" customWidth="1"/>
    <col min="8621" max="8621" width="8" style="765"/>
    <col min="8622" max="8622" width="8" style="765" customWidth="1"/>
    <col min="8623" max="8623" width="14.5703125" style="765" customWidth="1"/>
    <col min="8624" max="8624" width="8.85546875" style="765" customWidth="1"/>
    <col min="8625" max="8625" width="0.140625" style="765" customWidth="1"/>
    <col min="8626" max="8628" width="8" style="765" customWidth="1"/>
    <col min="8629" max="8629" width="7.85546875" style="765" customWidth="1"/>
    <col min="8630" max="8631" width="8" style="765" customWidth="1"/>
    <col min="8632" max="8632" width="6.28515625" style="765" customWidth="1"/>
    <col min="8633" max="8634" width="8" style="765" customWidth="1"/>
    <col min="8635" max="8635" width="8" style="765"/>
    <col min="8636" max="8636" width="4.28515625" style="765" customWidth="1"/>
    <col min="8637" max="8638" width="8" style="765" customWidth="1"/>
    <col min="8639" max="8639" width="3.28515625" style="765" customWidth="1"/>
    <col min="8640" max="8640" width="1.5703125" style="765" customWidth="1"/>
    <col min="8641" max="8641" width="3.140625" style="765" customWidth="1"/>
    <col min="8642" max="8642" width="1.85546875" style="765" customWidth="1"/>
    <col min="8643" max="8871" width="8" style="765"/>
    <col min="8872" max="8872" width="9.42578125" style="765" customWidth="1"/>
    <col min="8873" max="8873" width="16.42578125" style="765" customWidth="1"/>
    <col min="8874" max="8874" width="8" style="765"/>
    <col min="8875" max="8875" width="4.85546875" style="765" customWidth="1"/>
    <col min="8876" max="8876" width="17.42578125" style="765" customWidth="1"/>
    <col min="8877" max="8877" width="8" style="765"/>
    <col min="8878" max="8878" width="8" style="765" customWidth="1"/>
    <col min="8879" max="8879" width="14.5703125" style="765" customWidth="1"/>
    <col min="8880" max="8880" width="8.85546875" style="765" customWidth="1"/>
    <col min="8881" max="8881" width="0.140625" style="765" customWidth="1"/>
    <col min="8882" max="8884" width="8" style="765" customWidth="1"/>
    <col min="8885" max="8885" width="7.85546875" style="765" customWidth="1"/>
    <col min="8886" max="8887" width="8" style="765" customWidth="1"/>
    <col min="8888" max="8888" width="6.28515625" style="765" customWidth="1"/>
    <col min="8889" max="8890" width="8" style="765" customWidth="1"/>
    <col min="8891" max="8891" width="8" style="765"/>
    <col min="8892" max="8892" width="4.28515625" style="765" customWidth="1"/>
    <col min="8893" max="8894" width="8" style="765" customWidth="1"/>
    <col min="8895" max="8895" width="3.28515625" style="765" customWidth="1"/>
    <col min="8896" max="8896" width="1.5703125" style="765" customWidth="1"/>
    <col min="8897" max="8897" width="3.140625" style="765" customWidth="1"/>
    <col min="8898" max="8898" width="1.85546875" style="765" customWidth="1"/>
    <col min="8899" max="9127" width="8" style="765"/>
    <col min="9128" max="9128" width="9.42578125" style="765" customWidth="1"/>
    <col min="9129" max="9129" width="16.42578125" style="765" customWidth="1"/>
    <col min="9130" max="9130" width="8" style="765"/>
    <col min="9131" max="9131" width="4.85546875" style="765" customWidth="1"/>
    <col min="9132" max="9132" width="17.42578125" style="765" customWidth="1"/>
    <col min="9133" max="9133" width="8" style="765"/>
    <col min="9134" max="9134" width="8" style="765" customWidth="1"/>
    <col min="9135" max="9135" width="14.5703125" style="765" customWidth="1"/>
    <col min="9136" max="9136" width="8.85546875" style="765" customWidth="1"/>
    <col min="9137" max="9137" width="0.140625" style="765" customWidth="1"/>
    <col min="9138" max="9140" width="8" style="765" customWidth="1"/>
    <col min="9141" max="9141" width="7.85546875" style="765" customWidth="1"/>
    <col min="9142" max="9143" width="8" style="765" customWidth="1"/>
    <col min="9144" max="9144" width="6.28515625" style="765" customWidth="1"/>
    <col min="9145" max="9146" width="8" style="765" customWidth="1"/>
    <col min="9147" max="9147" width="8" style="765"/>
    <col min="9148" max="9148" width="4.28515625" style="765" customWidth="1"/>
    <col min="9149" max="9150" width="8" style="765" customWidth="1"/>
    <col min="9151" max="9151" width="3.28515625" style="765" customWidth="1"/>
    <col min="9152" max="9152" width="1.5703125" style="765" customWidth="1"/>
    <col min="9153" max="9153" width="3.140625" style="765" customWidth="1"/>
    <col min="9154" max="9154" width="1.85546875" style="765" customWidth="1"/>
    <col min="9155" max="9383" width="8" style="765"/>
    <col min="9384" max="9384" width="9.42578125" style="765" customWidth="1"/>
    <col min="9385" max="9385" width="16.42578125" style="765" customWidth="1"/>
    <col min="9386" max="9386" width="8" style="765"/>
    <col min="9387" max="9387" width="4.85546875" style="765" customWidth="1"/>
    <col min="9388" max="9388" width="17.42578125" style="765" customWidth="1"/>
    <col min="9389" max="9389" width="8" style="765"/>
    <col min="9390" max="9390" width="8" style="765" customWidth="1"/>
    <col min="9391" max="9391" width="14.5703125" style="765" customWidth="1"/>
    <col min="9392" max="9392" width="8.85546875" style="765" customWidth="1"/>
    <col min="9393" max="9393" width="0.140625" style="765" customWidth="1"/>
    <col min="9394" max="9396" width="8" style="765" customWidth="1"/>
    <col min="9397" max="9397" width="7.85546875" style="765" customWidth="1"/>
    <col min="9398" max="9399" width="8" style="765" customWidth="1"/>
    <col min="9400" max="9400" width="6.28515625" style="765" customWidth="1"/>
    <col min="9401" max="9402" width="8" style="765" customWidth="1"/>
    <col min="9403" max="9403" width="8" style="765"/>
    <col min="9404" max="9404" width="4.28515625" style="765" customWidth="1"/>
    <col min="9405" max="9406" width="8" style="765" customWidth="1"/>
    <col min="9407" max="9407" width="3.28515625" style="765" customWidth="1"/>
    <col min="9408" max="9408" width="1.5703125" style="765" customWidth="1"/>
    <col min="9409" max="9409" width="3.140625" style="765" customWidth="1"/>
    <col min="9410" max="9410" width="1.85546875" style="765" customWidth="1"/>
    <col min="9411" max="9639" width="8" style="765"/>
    <col min="9640" max="9640" width="9.42578125" style="765" customWidth="1"/>
    <col min="9641" max="9641" width="16.42578125" style="765" customWidth="1"/>
    <col min="9642" max="9642" width="8" style="765"/>
    <col min="9643" max="9643" width="4.85546875" style="765" customWidth="1"/>
    <col min="9644" max="9644" width="17.42578125" style="765" customWidth="1"/>
    <col min="9645" max="9645" width="8" style="765"/>
    <col min="9646" max="9646" width="8" style="765" customWidth="1"/>
    <col min="9647" max="9647" width="14.5703125" style="765" customWidth="1"/>
    <col min="9648" max="9648" width="8.85546875" style="765" customWidth="1"/>
    <col min="9649" max="9649" width="0.140625" style="765" customWidth="1"/>
    <col min="9650" max="9652" width="8" style="765" customWidth="1"/>
    <col min="9653" max="9653" width="7.85546875" style="765" customWidth="1"/>
    <col min="9654" max="9655" width="8" style="765" customWidth="1"/>
    <col min="9656" max="9656" width="6.28515625" style="765" customWidth="1"/>
    <col min="9657" max="9658" width="8" style="765" customWidth="1"/>
    <col min="9659" max="9659" width="8" style="765"/>
    <col min="9660" max="9660" width="4.28515625" style="765" customWidth="1"/>
    <col min="9661" max="9662" width="8" style="765" customWidth="1"/>
    <col min="9663" max="9663" width="3.28515625" style="765" customWidth="1"/>
    <col min="9664" max="9664" width="1.5703125" style="765" customWidth="1"/>
    <col min="9665" max="9665" width="3.140625" style="765" customWidth="1"/>
    <col min="9666" max="9666" width="1.85546875" style="765" customWidth="1"/>
    <col min="9667" max="9895" width="8" style="765"/>
    <col min="9896" max="9896" width="9.42578125" style="765" customWidth="1"/>
    <col min="9897" max="9897" width="16.42578125" style="765" customWidth="1"/>
    <col min="9898" max="9898" width="8" style="765"/>
    <col min="9899" max="9899" width="4.85546875" style="765" customWidth="1"/>
    <col min="9900" max="9900" width="17.42578125" style="765" customWidth="1"/>
    <col min="9901" max="9901" width="8" style="765"/>
    <col min="9902" max="9902" width="8" style="765" customWidth="1"/>
    <col min="9903" max="9903" width="14.5703125" style="765" customWidth="1"/>
    <col min="9904" max="9904" width="8.85546875" style="765" customWidth="1"/>
    <col min="9905" max="9905" width="0.140625" style="765" customWidth="1"/>
    <col min="9906" max="9908" width="8" style="765" customWidth="1"/>
    <col min="9909" max="9909" width="7.85546875" style="765" customWidth="1"/>
    <col min="9910" max="9911" width="8" style="765" customWidth="1"/>
    <col min="9912" max="9912" width="6.28515625" style="765" customWidth="1"/>
    <col min="9913" max="9914" width="8" style="765" customWidth="1"/>
    <col min="9915" max="9915" width="8" style="765"/>
    <col min="9916" max="9916" width="4.28515625" style="765" customWidth="1"/>
    <col min="9917" max="9918" width="8" style="765" customWidth="1"/>
    <col min="9919" max="9919" width="3.28515625" style="765" customWidth="1"/>
    <col min="9920" max="9920" width="1.5703125" style="765" customWidth="1"/>
    <col min="9921" max="9921" width="3.140625" style="765" customWidth="1"/>
    <col min="9922" max="9922" width="1.85546875" style="765" customWidth="1"/>
    <col min="9923" max="10151" width="8" style="765"/>
    <col min="10152" max="10152" width="9.42578125" style="765" customWidth="1"/>
    <col min="10153" max="10153" width="16.42578125" style="765" customWidth="1"/>
    <col min="10154" max="10154" width="8" style="765"/>
    <col min="10155" max="10155" width="4.85546875" style="765" customWidth="1"/>
    <col min="10156" max="10156" width="17.42578125" style="765" customWidth="1"/>
    <col min="10157" max="10157" width="8" style="765"/>
    <col min="10158" max="10158" width="8" style="765" customWidth="1"/>
    <col min="10159" max="10159" width="14.5703125" style="765" customWidth="1"/>
    <col min="10160" max="10160" width="8.85546875" style="765" customWidth="1"/>
    <col min="10161" max="10161" width="0.140625" style="765" customWidth="1"/>
    <col min="10162" max="10164" width="8" style="765" customWidth="1"/>
    <col min="10165" max="10165" width="7.85546875" style="765" customWidth="1"/>
    <col min="10166" max="10167" width="8" style="765" customWidth="1"/>
    <col min="10168" max="10168" width="6.28515625" style="765" customWidth="1"/>
    <col min="10169" max="10170" width="8" style="765" customWidth="1"/>
    <col min="10171" max="10171" width="8" style="765"/>
    <col min="10172" max="10172" width="4.28515625" style="765" customWidth="1"/>
    <col min="10173" max="10174" width="8" style="765" customWidth="1"/>
    <col min="10175" max="10175" width="3.28515625" style="765" customWidth="1"/>
    <col min="10176" max="10176" width="1.5703125" style="765" customWidth="1"/>
    <col min="10177" max="10177" width="3.140625" style="765" customWidth="1"/>
    <col min="10178" max="10178" width="1.85546875" style="765" customWidth="1"/>
    <col min="10179" max="10407" width="8" style="765"/>
    <col min="10408" max="10408" width="9.42578125" style="765" customWidth="1"/>
    <col min="10409" max="10409" width="16.42578125" style="765" customWidth="1"/>
    <col min="10410" max="10410" width="8" style="765"/>
    <col min="10411" max="10411" width="4.85546875" style="765" customWidth="1"/>
    <col min="10412" max="10412" width="17.42578125" style="765" customWidth="1"/>
    <col min="10413" max="10413" width="8" style="765"/>
    <col min="10414" max="10414" width="8" style="765" customWidth="1"/>
    <col min="10415" max="10415" width="14.5703125" style="765" customWidth="1"/>
    <col min="10416" max="10416" width="8.85546875" style="765" customWidth="1"/>
    <col min="10417" max="10417" width="0.140625" style="765" customWidth="1"/>
    <col min="10418" max="10420" width="8" style="765" customWidth="1"/>
    <col min="10421" max="10421" width="7.85546875" style="765" customWidth="1"/>
    <col min="10422" max="10423" width="8" style="765" customWidth="1"/>
    <col min="10424" max="10424" width="6.28515625" style="765" customWidth="1"/>
    <col min="10425" max="10426" width="8" style="765" customWidth="1"/>
    <col min="10427" max="10427" width="8" style="765"/>
    <col min="10428" max="10428" width="4.28515625" style="765" customWidth="1"/>
    <col min="10429" max="10430" width="8" style="765" customWidth="1"/>
    <col min="10431" max="10431" width="3.28515625" style="765" customWidth="1"/>
    <col min="10432" max="10432" width="1.5703125" style="765" customWidth="1"/>
    <col min="10433" max="10433" width="3.140625" style="765" customWidth="1"/>
    <col min="10434" max="10434" width="1.85546875" style="765" customWidth="1"/>
    <col min="10435" max="10663" width="8" style="765"/>
    <col min="10664" max="10664" width="9.42578125" style="765" customWidth="1"/>
    <col min="10665" max="10665" width="16.42578125" style="765" customWidth="1"/>
    <col min="10666" max="10666" width="8" style="765"/>
    <col min="10667" max="10667" width="4.85546875" style="765" customWidth="1"/>
    <col min="10668" max="10668" width="17.42578125" style="765" customWidth="1"/>
    <col min="10669" max="10669" width="8" style="765"/>
    <col min="10670" max="10670" width="8" style="765" customWidth="1"/>
    <col min="10671" max="10671" width="14.5703125" style="765" customWidth="1"/>
    <col min="10672" max="10672" width="8.85546875" style="765" customWidth="1"/>
    <col min="10673" max="10673" width="0.140625" style="765" customWidth="1"/>
    <col min="10674" max="10676" width="8" style="765" customWidth="1"/>
    <col min="10677" max="10677" width="7.85546875" style="765" customWidth="1"/>
    <col min="10678" max="10679" width="8" style="765" customWidth="1"/>
    <col min="10680" max="10680" width="6.28515625" style="765" customWidth="1"/>
    <col min="10681" max="10682" width="8" style="765" customWidth="1"/>
    <col min="10683" max="10683" width="8" style="765"/>
    <col min="10684" max="10684" width="4.28515625" style="765" customWidth="1"/>
    <col min="10685" max="10686" width="8" style="765" customWidth="1"/>
    <col min="10687" max="10687" width="3.28515625" style="765" customWidth="1"/>
    <col min="10688" max="10688" width="1.5703125" style="765" customWidth="1"/>
    <col min="10689" max="10689" width="3.140625" style="765" customWidth="1"/>
    <col min="10690" max="10690" width="1.85546875" style="765" customWidth="1"/>
    <col min="10691" max="10919" width="8" style="765"/>
    <col min="10920" max="10920" width="9.42578125" style="765" customWidth="1"/>
    <col min="10921" max="10921" width="16.42578125" style="765" customWidth="1"/>
    <col min="10922" max="10922" width="8" style="765"/>
    <col min="10923" max="10923" width="4.85546875" style="765" customWidth="1"/>
    <col min="10924" max="10924" width="17.42578125" style="765" customWidth="1"/>
    <col min="10925" max="10925" width="8" style="765"/>
    <col min="10926" max="10926" width="8" style="765" customWidth="1"/>
    <col min="10927" max="10927" width="14.5703125" style="765" customWidth="1"/>
    <col min="10928" max="10928" width="8.85546875" style="765" customWidth="1"/>
    <col min="10929" max="10929" width="0.140625" style="765" customWidth="1"/>
    <col min="10930" max="10932" width="8" style="765" customWidth="1"/>
    <col min="10933" max="10933" width="7.85546875" style="765" customWidth="1"/>
    <col min="10934" max="10935" width="8" style="765" customWidth="1"/>
    <col min="10936" max="10936" width="6.28515625" style="765" customWidth="1"/>
    <col min="10937" max="10938" width="8" style="765" customWidth="1"/>
    <col min="10939" max="10939" width="8" style="765"/>
    <col min="10940" max="10940" width="4.28515625" style="765" customWidth="1"/>
    <col min="10941" max="10942" width="8" style="765" customWidth="1"/>
    <col min="10943" max="10943" width="3.28515625" style="765" customWidth="1"/>
    <col min="10944" max="10944" width="1.5703125" style="765" customWidth="1"/>
    <col min="10945" max="10945" width="3.140625" style="765" customWidth="1"/>
    <col min="10946" max="10946" width="1.85546875" style="765" customWidth="1"/>
    <col min="10947" max="11175" width="8" style="765"/>
    <col min="11176" max="11176" width="9.42578125" style="765" customWidth="1"/>
    <col min="11177" max="11177" width="16.42578125" style="765" customWidth="1"/>
    <col min="11178" max="11178" width="8" style="765"/>
    <col min="11179" max="11179" width="4.85546875" style="765" customWidth="1"/>
    <col min="11180" max="11180" width="17.42578125" style="765" customWidth="1"/>
    <col min="11181" max="11181" width="8" style="765"/>
    <col min="11182" max="11182" width="8" style="765" customWidth="1"/>
    <col min="11183" max="11183" width="14.5703125" style="765" customWidth="1"/>
    <col min="11184" max="11184" width="8.85546875" style="765" customWidth="1"/>
    <col min="11185" max="11185" width="0.140625" style="765" customWidth="1"/>
    <col min="11186" max="11188" width="8" style="765" customWidth="1"/>
    <col min="11189" max="11189" width="7.85546875" style="765" customWidth="1"/>
    <col min="11190" max="11191" width="8" style="765" customWidth="1"/>
    <col min="11192" max="11192" width="6.28515625" style="765" customWidth="1"/>
    <col min="11193" max="11194" width="8" style="765" customWidth="1"/>
    <col min="11195" max="11195" width="8" style="765"/>
    <col min="11196" max="11196" width="4.28515625" style="765" customWidth="1"/>
    <col min="11197" max="11198" width="8" style="765" customWidth="1"/>
    <col min="11199" max="11199" width="3.28515625" style="765" customWidth="1"/>
    <col min="11200" max="11200" width="1.5703125" style="765" customWidth="1"/>
    <col min="11201" max="11201" width="3.140625" style="765" customWidth="1"/>
    <col min="11202" max="11202" width="1.85546875" style="765" customWidth="1"/>
    <col min="11203" max="11431" width="8" style="765"/>
    <col min="11432" max="11432" width="9.42578125" style="765" customWidth="1"/>
    <col min="11433" max="11433" width="16.42578125" style="765" customWidth="1"/>
    <col min="11434" max="11434" width="8" style="765"/>
    <col min="11435" max="11435" width="4.85546875" style="765" customWidth="1"/>
    <col min="11436" max="11436" width="17.42578125" style="765" customWidth="1"/>
    <col min="11437" max="11437" width="8" style="765"/>
    <col min="11438" max="11438" width="8" style="765" customWidth="1"/>
    <col min="11439" max="11439" width="14.5703125" style="765" customWidth="1"/>
    <col min="11440" max="11440" width="8.85546875" style="765" customWidth="1"/>
    <col min="11441" max="11441" width="0.140625" style="765" customWidth="1"/>
    <col min="11442" max="11444" width="8" style="765" customWidth="1"/>
    <col min="11445" max="11445" width="7.85546875" style="765" customWidth="1"/>
    <col min="11446" max="11447" width="8" style="765" customWidth="1"/>
    <col min="11448" max="11448" width="6.28515625" style="765" customWidth="1"/>
    <col min="11449" max="11450" width="8" style="765" customWidth="1"/>
    <col min="11451" max="11451" width="8" style="765"/>
    <col min="11452" max="11452" width="4.28515625" style="765" customWidth="1"/>
    <col min="11453" max="11454" width="8" style="765" customWidth="1"/>
    <col min="11455" max="11455" width="3.28515625" style="765" customWidth="1"/>
    <col min="11456" max="11456" width="1.5703125" style="765" customWidth="1"/>
    <col min="11457" max="11457" width="3.140625" style="765" customWidth="1"/>
    <col min="11458" max="11458" width="1.85546875" style="765" customWidth="1"/>
    <col min="11459" max="11687" width="8" style="765"/>
    <col min="11688" max="11688" width="9.42578125" style="765" customWidth="1"/>
    <col min="11689" max="11689" width="16.42578125" style="765" customWidth="1"/>
    <col min="11690" max="11690" width="8" style="765"/>
    <col min="11691" max="11691" width="4.85546875" style="765" customWidth="1"/>
    <col min="11692" max="11692" width="17.42578125" style="765" customWidth="1"/>
    <col min="11693" max="11693" width="8" style="765"/>
    <col min="11694" max="11694" width="8" style="765" customWidth="1"/>
    <col min="11695" max="11695" width="14.5703125" style="765" customWidth="1"/>
    <col min="11696" max="11696" width="8.85546875" style="765" customWidth="1"/>
    <col min="11697" max="11697" width="0.140625" style="765" customWidth="1"/>
    <col min="11698" max="11700" width="8" style="765" customWidth="1"/>
    <col min="11701" max="11701" width="7.85546875" style="765" customWidth="1"/>
    <col min="11702" max="11703" width="8" style="765" customWidth="1"/>
    <col min="11704" max="11704" width="6.28515625" style="765" customWidth="1"/>
    <col min="11705" max="11706" width="8" style="765" customWidth="1"/>
    <col min="11707" max="11707" width="8" style="765"/>
    <col min="11708" max="11708" width="4.28515625" style="765" customWidth="1"/>
    <col min="11709" max="11710" width="8" style="765" customWidth="1"/>
    <col min="11711" max="11711" width="3.28515625" style="765" customWidth="1"/>
    <col min="11712" max="11712" width="1.5703125" style="765" customWidth="1"/>
    <col min="11713" max="11713" width="3.140625" style="765" customWidth="1"/>
    <col min="11714" max="11714" width="1.85546875" style="765" customWidth="1"/>
    <col min="11715" max="11943" width="8" style="765"/>
    <col min="11944" max="11944" width="9.42578125" style="765" customWidth="1"/>
    <col min="11945" max="11945" width="16.42578125" style="765" customWidth="1"/>
    <col min="11946" max="11946" width="8" style="765"/>
    <col min="11947" max="11947" width="4.85546875" style="765" customWidth="1"/>
    <col min="11948" max="11948" width="17.42578125" style="765" customWidth="1"/>
    <col min="11949" max="11949" width="8" style="765"/>
    <col min="11950" max="11950" width="8" style="765" customWidth="1"/>
    <col min="11951" max="11951" width="14.5703125" style="765" customWidth="1"/>
    <col min="11952" max="11952" width="8.85546875" style="765" customWidth="1"/>
    <col min="11953" max="11953" width="0.140625" style="765" customWidth="1"/>
    <col min="11954" max="11956" width="8" style="765" customWidth="1"/>
    <col min="11957" max="11957" width="7.85546875" style="765" customWidth="1"/>
    <col min="11958" max="11959" width="8" style="765" customWidth="1"/>
    <col min="11960" max="11960" width="6.28515625" style="765" customWidth="1"/>
    <col min="11961" max="11962" width="8" style="765" customWidth="1"/>
    <col min="11963" max="11963" width="8" style="765"/>
    <col min="11964" max="11964" width="4.28515625" style="765" customWidth="1"/>
    <col min="11965" max="11966" width="8" style="765" customWidth="1"/>
    <col min="11967" max="11967" width="3.28515625" style="765" customWidth="1"/>
    <col min="11968" max="11968" width="1.5703125" style="765" customWidth="1"/>
    <col min="11969" max="11969" width="3.140625" style="765" customWidth="1"/>
    <col min="11970" max="11970" width="1.85546875" style="765" customWidth="1"/>
    <col min="11971" max="12199" width="8" style="765"/>
    <col min="12200" max="12200" width="9.42578125" style="765" customWidth="1"/>
    <col min="12201" max="12201" width="16.42578125" style="765" customWidth="1"/>
    <col min="12202" max="12202" width="8" style="765"/>
    <col min="12203" max="12203" width="4.85546875" style="765" customWidth="1"/>
    <col min="12204" max="12204" width="17.42578125" style="765" customWidth="1"/>
    <col min="12205" max="12205" width="8" style="765"/>
    <col min="12206" max="12206" width="8" style="765" customWidth="1"/>
    <col min="12207" max="12207" width="14.5703125" style="765" customWidth="1"/>
    <col min="12208" max="12208" width="8.85546875" style="765" customWidth="1"/>
    <col min="12209" max="12209" width="0.140625" style="765" customWidth="1"/>
    <col min="12210" max="12212" width="8" style="765" customWidth="1"/>
    <col min="12213" max="12213" width="7.85546875" style="765" customWidth="1"/>
    <col min="12214" max="12215" width="8" style="765" customWidth="1"/>
    <col min="12216" max="12216" width="6.28515625" style="765" customWidth="1"/>
    <col min="12217" max="12218" width="8" style="765" customWidth="1"/>
    <col min="12219" max="12219" width="8" style="765"/>
    <col min="12220" max="12220" width="4.28515625" style="765" customWidth="1"/>
    <col min="12221" max="12222" width="8" style="765" customWidth="1"/>
    <col min="12223" max="12223" width="3.28515625" style="765" customWidth="1"/>
    <col min="12224" max="12224" width="1.5703125" style="765" customWidth="1"/>
    <col min="12225" max="12225" width="3.140625" style="765" customWidth="1"/>
    <col min="12226" max="12226" width="1.85546875" style="765" customWidth="1"/>
    <col min="12227" max="12455" width="8" style="765"/>
    <col min="12456" max="12456" width="9.42578125" style="765" customWidth="1"/>
    <col min="12457" max="12457" width="16.42578125" style="765" customWidth="1"/>
    <col min="12458" max="12458" width="8" style="765"/>
    <col min="12459" max="12459" width="4.85546875" style="765" customWidth="1"/>
    <col min="12460" max="12460" width="17.42578125" style="765" customWidth="1"/>
    <col min="12461" max="12461" width="8" style="765"/>
    <col min="12462" max="12462" width="8" style="765" customWidth="1"/>
    <col min="12463" max="12463" width="14.5703125" style="765" customWidth="1"/>
    <col min="12464" max="12464" width="8.85546875" style="765" customWidth="1"/>
    <col min="12465" max="12465" width="0.140625" style="765" customWidth="1"/>
    <col min="12466" max="12468" width="8" style="765" customWidth="1"/>
    <col min="12469" max="12469" width="7.85546875" style="765" customWidth="1"/>
    <col min="12470" max="12471" width="8" style="765" customWidth="1"/>
    <col min="12472" max="12472" width="6.28515625" style="765" customWidth="1"/>
    <col min="12473" max="12474" width="8" style="765" customWidth="1"/>
    <col min="12475" max="12475" width="8" style="765"/>
    <col min="12476" max="12476" width="4.28515625" style="765" customWidth="1"/>
    <col min="12477" max="12478" width="8" style="765" customWidth="1"/>
    <col min="12479" max="12479" width="3.28515625" style="765" customWidth="1"/>
    <col min="12480" max="12480" width="1.5703125" style="765" customWidth="1"/>
    <col min="12481" max="12481" width="3.140625" style="765" customWidth="1"/>
    <col min="12482" max="12482" width="1.85546875" style="765" customWidth="1"/>
    <col min="12483" max="12711" width="8" style="765"/>
    <col min="12712" max="12712" width="9.42578125" style="765" customWidth="1"/>
    <col min="12713" max="12713" width="16.42578125" style="765" customWidth="1"/>
    <col min="12714" max="12714" width="8" style="765"/>
    <col min="12715" max="12715" width="4.85546875" style="765" customWidth="1"/>
    <col min="12716" max="12716" width="17.42578125" style="765" customWidth="1"/>
    <col min="12717" max="12717" width="8" style="765"/>
    <col min="12718" max="12718" width="8" style="765" customWidth="1"/>
    <col min="12719" max="12719" width="14.5703125" style="765" customWidth="1"/>
    <col min="12720" max="12720" width="8.85546875" style="765" customWidth="1"/>
    <col min="12721" max="12721" width="0.140625" style="765" customWidth="1"/>
    <col min="12722" max="12724" width="8" style="765" customWidth="1"/>
    <col min="12725" max="12725" width="7.85546875" style="765" customWidth="1"/>
    <col min="12726" max="12727" width="8" style="765" customWidth="1"/>
    <col min="12728" max="12728" width="6.28515625" style="765" customWidth="1"/>
    <col min="12729" max="12730" width="8" style="765" customWidth="1"/>
    <col min="12731" max="12731" width="8" style="765"/>
    <col min="12732" max="12732" width="4.28515625" style="765" customWidth="1"/>
    <col min="12733" max="12734" width="8" style="765" customWidth="1"/>
    <col min="12735" max="12735" width="3.28515625" style="765" customWidth="1"/>
    <col min="12736" max="12736" width="1.5703125" style="765" customWidth="1"/>
    <col min="12737" max="12737" width="3.140625" style="765" customWidth="1"/>
    <col min="12738" max="12738" width="1.85546875" style="765" customWidth="1"/>
    <col min="12739" max="12967" width="8" style="765"/>
    <col min="12968" max="12968" width="9.42578125" style="765" customWidth="1"/>
    <col min="12969" max="12969" width="16.42578125" style="765" customWidth="1"/>
    <col min="12970" max="12970" width="8" style="765"/>
    <col min="12971" max="12971" width="4.85546875" style="765" customWidth="1"/>
    <col min="12972" max="12972" width="17.42578125" style="765" customWidth="1"/>
    <col min="12973" max="12973" width="8" style="765"/>
    <col min="12974" max="12974" width="8" style="765" customWidth="1"/>
    <col min="12975" max="12975" width="14.5703125" style="765" customWidth="1"/>
    <col min="12976" max="12976" width="8.85546875" style="765" customWidth="1"/>
    <col min="12977" max="12977" width="0.140625" style="765" customWidth="1"/>
    <col min="12978" max="12980" width="8" style="765" customWidth="1"/>
    <col min="12981" max="12981" width="7.85546875" style="765" customWidth="1"/>
    <col min="12982" max="12983" width="8" style="765" customWidth="1"/>
    <col min="12984" max="12984" width="6.28515625" style="765" customWidth="1"/>
    <col min="12985" max="12986" width="8" style="765" customWidth="1"/>
    <col min="12987" max="12987" width="8" style="765"/>
    <col min="12988" max="12988" width="4.28515625" style="765" customWidth="1"/>
    <col min="12989" max="12990" width="8" style="765" customWidth="1"/>
    <col min="12991" max="12991" width="3.28515625" style="765" customWidth="1"/>
    <col min="12992" max="12992" width="1.5703125" style="765" customWidth="1"/>
    <col min="12993" max="12993" width="3.140625" style="765" customWidth="1"/>
    <col min="12994" max="12994" width="1.85546875" style="765" customWidth="1"/>
    <col min="12995" max="13223" width="8" style="765"/>
    <col min="13224" max="13224" width="9.42578125" style="765" customWidth="1"/>
    <col min="13225" max="13225" width="16.42578125" style="765" customWidth="1"/>
    <col min="13226" max="13226" width="8" style="765"/>
    <col min="13227" max="13227" width="4.85546875" style="765" customWidth="1"/>
    <col min="13228" max="13228" width="17.42578125" style="765" customWidth="1"/>
    <col min="13229" max="13229" width="8" style="765"/>
    <col min="13230" max="13230" width="8" style="765" customWidth="1"/>
    <col min="13231" max="13231" width="14.5703125" style="765" customWidth="1"/>
    <col min="13232" max="13232" width="8.85546875" style="765" customWidth="1"/>
    <col min="13233" max="13233" width="0.140625" style="765" customWidth="1"/>
    <col min="13234" max="13236" width="8" style="765" customWidth="1"/>
    <col min="13237" max="13237" width="7.85546875" style="765" customWidth="1"/>
    <col min="13238" max="13239" width="8" style="765" customWidth="1"/>
    <col min="13240" max="13240" width="6.28515625" style="765" customWidth="1"/>
    <col min="13241" max="13242" width="8" style="765" customWidth="1"/>
    <col min="13243" max="13243" width="8" style="765"/>
    <col min="13244" max="13244" width="4.28515625" style="765" customWidth="1"/>
    <col min="13245" max="13246" width="8" style="765" customWidth="1"/>
    <col min="13247" max="13247" width="3.28515625" style="765" customWidth="1"/>
    <col min="13248" max="13248" width="1.5703125" style="765" customWidth="1"/>
    <col min="13249" max="13249" width="3.140625" style="765" customWidth="1"/>
    <col min="13250" max="13250" width="1.85546875" style="765" customWidth="1"/>
    <col min="13251" max="13479" width="8" style="765"/>
    <col min="13480" max="13480" width="9.42578125" style="765" customWidth="1"/>
    <col min="13481" max="13481" width="16.42578125" style="765" customWidth="1"/>
    <col min="13482" max="13482" width="8" style="765"/>
    <col min="13483" max="13483" width="4.85546875" style="765" customWidth="1"/>
    <col min="13484" max="13484" width="17.42578125" style="765" customWidth="1"/>
    <col min="13485" max="13485" width="8" style="765"/>
    <col min="13486" max="13486" width="8" style="765" customWidth="1"/>
    <col min="13487" max="13487" width="14.5703125" style="765" customWidth="1"/>
    <col min="13488" max="13488" width="8.85546875" style="765" customWidth="1"/>
    <col min="13489" max="13489" width="0.140625" style="765" customWidth="1"/>
    <col min="13490" max="13492" width="8" style="765" customWidth="1"/>
    <col min="13493" max="13493" width="7.85546875" style="765" customWidth="1"/>
    <col min="13494" max="13495" width="8" style="765" customWidth="1"/>
    <col min="13496" max="13496" width="6.28515625" style="765" customWidth="1"/>
    <col min="13497" max="13498" width="8" style="765" customWidth="1"/>
    <col min="13499" max="13499" width="8" style="765"/>
    <col min="13500" max="13500" width="4.28515625" style="765" customWidth="1"/>
    <col min="13501" max="13502" width="8" style="765" customWidth="1"/>
    <col min="13503" max="13503" width="3.28515625" style="765" customWidth="1"/>
    <col min="13504" max="13504" width="1.5703125" style="765" customWidth="1"/>
    <col min="13505" max="13505" width="3.140625" style="765" customWidth="1"/>
    <col min="13506" max="13506" width="1.85546875" style="765" customWidth="1"/>
    <col min="13507" max="13735" width="8" style="765"/>
    <col min="13736" max="13736" width="9.42578125" style="765" customWidth="1"/>
    <col min="13737" max="13737" width="16.42578125" style="765" customWidth="1"/>
    <col min="13738" max="13738" width="8" style="765"/>
    <col min="13739" max="13739" width="4.85546875" style="765" customWidth="1"/>
    <col min="13740" max="13740" width="17.42578125" style="765" customWidth="1"/>
    <col min="13741" max="13741" width="8" style="765"/>
    <col min="13742" max="13742" width="8" style="765" customWidth="1"/>
    <col min="13743" max="13743" width="14.5703125" style="765" customWidth="1"/>
    <col min="13744" max="13744" width="8.85546875" style="765" customWidth="1"/>
    <col min="13745" max="13745" width="0.140625" style="765" customWidth="1"/>
    <col min="13746" max="13748" width="8" style="765" customWidth="1"/>
    <col min="13749" max="13749" width="7.85546875" style="765" customWidth="1"/>
    <col min="13750" max="13751" width="8" style="765" customWidth="1"/>
    <col min="13752" max="13752" width="6.28515625" style="765" customWidth="1"/>
    <col min="13753" max="13754" width="8" style="765" customWidth="1"/>
    <col min="13755" max="13755" width="8" style="765"/>
    <col min="13756" max="13756" width="4.28515625" style="765" customWidth="1"/>
    <col min="13757" max="13758" width="8" style="765" customWidth="1"/>
    <col min="13759" max="13759" width="3.28515625" style="765" customWidth="1"/>
    <col min="13760" max="13760" width="1.5703125" style="765" customWidth="1"/>
    <col min="13761" max="13761" width="3.140625" style="765" customWidth="1"/>
    <col min="13762" max="13762" width="1.85546875" style="765" customWidth="1"/>
    <col min="13763" max="13991" width="8" style="765"/>
    <col min="13992" max="13992" width="9.42578125" style="765" customWidth="1"/>
    <col min="13993" max="13993" width="16.42578125" style="765" customWidth="1"/>
    <col min="13994" max="13994" width="8" style="765"/>
    <col min="13995" max="13995" width="4.85546875" style="765" customWidth="1"/>
    <col min="13996" max="13996" width="17.42578125" style="765" customWidth="1"/>
    <col min="13997" max="13997" width="8" style="765"/>
    <col min="13998" max="13998" width="8" style="765" customWidth="1"/>
    <col min="13999" max="13999" width="14.5703125" style="765" customWidth="1"/>
    <col min="14000" max="14000" width="8.85546875" style="765" customWidth="1"/>
    <col min="14001" max="14001" width="0.140625" style="765" customWidth="1"/>
    <col min="14002" max="14004" width="8" style="765" customWidth="1"/>
    <col min="14005" max="14005" width="7.85546875" style="765" customWidth="1"/>
    <col min="14006" max="14007" width="8" style="765" customWidth="1"/>
    <col min="14008" max="14008" width="6.28515625" style="765" customWidth="1"/>
    <col min="14009" max="14010" width="8" style="765" customWidth="1"/>
    <col min="14011" max="14011" width="8" style="765"/>
    <col min="14012" max="14012" width="4.28515625" style="765" customWidth="1"/>
    <col min="14013" max="14014" width="8" style="765" customWidth="1"/>
    <col min="14015" max="14015" width="3.28515625" style="765" customWidth="1"/>
    <col min="14016" max="14016" width="1.5703125" style="765" customWidth="1"/>
    <col min="14017" max="14017" width="3.140625" style="765" customWidth="1"/>
    <col min="14018" max="14018" width="1.85546875" style="765" customWidth="1"/>
    <col min="14019" max="14247" width="8" style="765"/>
    <col min="14248" max="14248" width="9.42578125" style="765" customWidth="1"/>
    <col min="14249" max="14249" width="16.42578125" style="765" customWidth="1"/>
    <col min="14250" max="14250" width="8" style="765"/>
    <col min="14251" max="14251" width="4.85546875" style="765" customWidth="1"/>
    <col min="14252" max="14252" width="17.42578125" style="765" customWidth="1"/>
    <col min="14253" max="14253" width="8" style="765"/>
    <col min="14254" max="14254" width="8" style="765" customWidth="1"/>
    <col min="14255" max="14255" width="14.5703125" style="765" customWidth="1"/>
    <col min="14256" max="14256" width="8.85546875" style="765" customWidth="1"/>
    <col min="14257" max="14257" width="0.140625" style="765" customWidth="1"/>
    <col min="14258" max="14260" width="8" style="765" customWidth="1"/>
    <col min="14261" max="14261" width="7.85546875" style="765" customWidth="1"/>
    <col min="14262" max="14263" width="8" style="765" customWidth="1"/>
    <col min="14264" max="14264" width="6.28515625" style="765" customWidth="1"/>
    <col min="14265" max="14266" width="8" style="765" customWidth="1"/>
    <col min="14267" max="14267" width="8" style="765"/>
    <col min="14268" max="14268" width="4.28515625" style="765" customWidth="1"/>
    <col min="14269" max="14270" width="8" style="765" customWidth="1"/>
    <col min="14271" max="14271" width="3.28515625" style="765" customWidth="1"/>
    <col min="14272" max="14272" width="1.5703125" style="765" customWidth="1"/>
    <col min="14273" max="14273" width="3.140625" style="765" customWidth="1"/>
    <col min="14274" max="14274" width="1.85546875" style="765" customWidth="1"/>
    <col min="14275" max="14503" width="8" style="765"/>
    <col min="14504" max="14504" width="9.42578125" style="765" customWidth="1"/>
    <col min="14505" max="14505" width="16.42578125" style="765" customWidth="1"/>
    <col min="14506" max="14506" width="8" style="765"/>
    <col min="14507" max="14507" width="4.85546875" style="765" customWidth="1"/>
    <col min="14508" max="14508" width="17.42578125" style="765" customWidth="1"/>
    <col min="14509" max="14509" width="8" style="765"/>
    <col min="14510" max="14510" width="8" style="765" customWidth="1"/>
    <col min="14511" max="14511" width="14.5703125" style="765" customWidth="1"/>
    <col min="14512" max="14512" width="8.85546875" style="765" customWidth="1"/>
    <col min="14513" max="14513" width="0.140625" style="765" customWidth="1"/>
    <col min="14514" max="14516" width="8" style="765" customWidth="1"/>
    <col min="14517" max="14517" width="7.85546875" style="765" customWidth="1"/>
    <col min="14518" max="14519" width="8" style="765" customWidth="1"/>
    <col min="14520" max="14520" width="6.28515625" style="765" customWidth="1"/>
    <col min="14521" max="14522" width="8" style="765" customWidth="1"/>
    <col min="14523" max="14523" width="8" style="765"/>
    <col min="14524" max="14524" width="4.28515625" style="765" customWidth="1"/>
    <col min="14525" max="14526" width="8" style="765" customWidth="1"/>
    <col min="14527" max="14527" width="3.28515625" style="765" customWidth="1"/>
    <col min="14528" max="14528" width="1.5703125" style="765" customWidth="1"/>
    <col min="14529" max="14529" width="3.140625" style="765" customWidth="1"/>
    <col min="14530" max="14530" width="1.85546875" style="765" customWidth="1"/>
    <col min="14531" max="14759" width="8" style="765"/>
    <col min="14760" max="14760" width="9.42578125" style="765" customWidth="1"/>
    <col min="14761" max="14761" width="16.42578125" style="765" customWidth="1"/>
    <col min="14762" max="14762" width="8" style="765"/>
    <col min="14763" max="14763" width="4.85546875" style="765" customWidth="1"/>
    <col min="14764" max="14764" width="17.42578125" style="765" customWidth="1"/>
    <col min="14765" max="14765" width="8" style="765"/>
    <col min="14766" max="14766" width="8" style="765" customWidth="1"/>
    <col min="14767" max="14767" width="14.5703125" style="765" customWidth="1"/>
    <col min="14768" max="14768" width="8.85546875" style="765" customWidth="1"/>
    <col min="14769" max="14769" width="0.140625" style="765" customWidth="1"/>
    <col min="14770" max="14772" width="8" style="765" customWidth="1"/>
    <col min="14773" max="14773" width="7.85546875" style="765" customWidth="1"/>
    <col min="14774" max="14775" width="8" style="765" customWidth="1"/>
    <col min="14776" max="14776" width="6.28515625" style="765" customWidth="1"/>
    <col min="14777" max="14778" width="8" style="765" customWidth="1"/>
    <col min="14779" max="14779" width="8" style="765"/>
    <col min="14780" max="14780" width="4.28515625" style="765" customWidth="1"/>
    <col min="14781" max="14782" width="8" style="765" customWidth="1"/>
    <col min="14783" max="14783" width="3.28515625" style="765" customWidth="1"/>
    <col min="14784" max="14784" width="1.5703125" style="765" customWidth="1"/>
    <col min="14785" max="14785" width="3.140625" style="765" customWidth="1"/>
    <col min="14786" max="14786" width="1.85546875" style="765" customWidth="1"/>
    <col min="14787" max="15015" width="8" style="765"/>
    <col min="15016" max="15016" width="9.42578125" style="765" customWidth="1"/>
    <col min="15017" max="15017" width="16.42578125" style="765" customWidth="1"/>
    <col min="15018" max="15018" width="8" style="765"/>
    <col min="15019" max="15019" width="4.85546875" style="765" customWidth="1"/>
    <col min="15020" max="15020" width="17.42578125" style="765" customWidth="1"/>
    <col min="15021" max="15021" width="8" style="765"/>
    <col min="15022" max="15022" width="8" style="765" customWidth="1"/>
    <col min="15023" max="15023" width="14.5703125" style="765" customWidth="1"/>
    <col min="15024" max="15024" width="8.85546875" style="765" customWidth="1"/>
    <col min="15025" max="15025" width="0.140625" style="765" customWidth="1"/>
    <col min="15026" max="15028" width="8" style="765" customWidth="1"/>
    <col min="15029" max="15029" width="7.85546875" style="765" customWidth="1"/>
    <col min="15030" max="15031" width="8" style="765" customWidth="1"/>
    <col min="15032" max="15032" width="6.28515625" style="765" customWidth="1"/>
    <col min="15033" max="15034" width="8" style="765" customWidth="1"/>
    <col min="15035" max="15035" width="8" style="765"/>
    <col min="15036" max="15036" width="4.28515625" style="765" customWidth="1"/>
    <col min="15037" max="15038" width="8" style="765" customWidth="1"/>
    <col min="15039" max="15039" width="3.28515625" style="765" customWidth="1"/>
    <col min="15040" max="15040" width="1.5703125" style="765" customWidth="1"/>
    <col min="15041" max="15041" width="3.140625" style="765" customWidth="1"/>
    <col min="15042" max="15042" width="1.85546875" style="765" customWidth="1"/>
    <col min="15043" max="15271" width="8" style="765"/>
    <col min="15272" max="15272" width="9.42578125" style="765" customWidth="1"/>
    <col min="15273" max="15273" width="16.42578125" style="765" customWidth="1"/>
    <col min="15274" max="15274" width="8" style="765"/>
    <col min="15275" max="15275" width="4.85546875" style="765" customWidth="1"/>
    <col min="15276" max="15276" width="17.42578125" style="765" customWidth="1"/>
    <col min="15277" max="15277" width="8" style="765"/>
    <col min="15278" max="15278" width="8" style="765" customWidth="1"/>
    <col min="15279" max="15279" width="14.5703125" style="765" customWidth="1"/>
    <col min="15280" max="15280" width="8.85546875" style="765" customWidth="1"/>
    <col min="15281" max="15281" width="0.140625" style="765" customWidth="1"/>
    <col min="15282" max="15284" width="8" style="765" customWidth="1"/>
    <col min="15285" max="15285" width="7.85546875" style="765" customWidth="1"/>
    <col min="15286" max="15287" width="8" style="765" customWidth="1"/>
    <col min="15288" max="15288" width="6.28515625" style="765" customWidth="1"/>
    <col min="15289" max="15290" width="8" style="765" customWidth="1"/>
    <col min="15291" max="15291" width="8" style="765"/>
    <col min="15292" max="15292" width="4.28515625" style="765" customWidth="1"/>
    <col min="15293" max="15294" width="8" style="765" customWidth="1"/>
    <col min="15295" max="15295" width="3.28515625" style="765" customWidth="1"/>
    <col min="15296" max="15296" width="1.5703125" style="765" customWidth="1"/>
    <col min="15297" max="15297" width="3.140625" style="765" customWidth="1"/>
    <col min="15298" max="15298" width="1.85546875" style="765" customWidth="1"/>
    <col min="15299" max="15527" width="8" style="765"/>
    <col min="15528" max="15528" width="9.42578125" style="765" customWidth="1"/>
    <col min="15529" max="15529" width="16.42578125" style="765" customWidth="1"/>
    <col min="15530" max="15530" width="8" style="765"/>
    <col min="15531" max="15531" width="4.85546875" style="765" customWidth="1"/>
    <col min="15532" max="15532" width="17.42578125" style="765" customWidth="1"/>
    <col min="15533" max="15533" width="8" style="765"/>
    <col min="15534" max="15534" width="8" style="765" customWidth="1"/>
    <col min="15535" max="15535" width="14.5703125" style="765" customWidth="1"/>
    <col min="15536" max="15536" width="8.85546875" style="765" customWidth="1"/>
    <col min="15537" max="15537" width="0.140625" style="765" customWidth="1"/>
    <col min="15538" max="15540" width="8" style="765" customWidth="1"/>
    <col min="15541" max="15541" width="7.85546875" style="765" customWidth="1"/>
    <col min="15542" max="15543" width="8" style="765" customWidth="1"/>
    <col min="15544" max="15544" width="6.28515625" style="765" customWidth="1"/>
    <col min="15545" max="15546" width="8" style="765" customWidth="1"/>
    <col min="15547" max="15547" width="8" style="765"/>
    <col min="15548" max="15548" width="4.28515625" style="765" customWidth="1"/>
    <col min="15549" max="15550" width="8" style="765" customWidth="1"/>
    <col min="15551" max="15551" width="3.28515625" style="765" customWidth="1"/>
    <col min="15552" max="15552" width="1.5703125" style="765" customWidth="1"/>
    <col min="15553" max="15553" width="3.140625" style="765" customWidth="1"/>
    <col min="15554" max="15554" width="1.85546875" style="765" customWidth="1"/>
    <col min="15555" max="15783" width="8" style="765"/>
    <col min="15784" max="15784" width="9.42578125" style="765" customWidth="1"/>
    <col min="15785" max="15785" width="16.42578125" style="765" customWidth="1"/>
    <col min="15786" max="15786" width="8" style="765"/>
    <col min="15787" max="15787" width="4.85546875" style="765" customWidth="1"/>
    <col min="15788" max="15788" width="17.42578125" style="765" customWidth="1"/>
    <col min="15789" max="15789" width="8" style="765"/>
    <col min="15790" max="15790" width="8" style="765" customWidth="1"/>
    <col min="15791" max="15791" width="14.5703125" style="765" customWidth="1"/>
    <col min="15792" max="15792" width="8.85546875" style="765" customWidth="1"/>
    <col min="15793" max="15793" width="0.140625" style="765" customWidth="1"/>
    <col min="15794" max="15796" width="8" style="765" customWidth="1"/>
    <col min="15797" max="15797" width="7.85546875" style="765" customWidth="1"/>
    <col min="15798" max="15799" width="8" style="765" customWidth="1"/>
    <col min="15800" max="15800" width="6.28515625" style="765" customWidth="1"/>
    <col min="15801" max="15802" width="8" style="765" customWidth="1"/>
    <col min="15803" max="15803" width="8" style="765"/>
    <col min="15804" max="15804" width="4.28515625" style="765" customWidth="1"/>
    <col min="15805" max="15806" width="8" style="765" customWidth="1"/>
    <col min="15807" max="15807" width="3.28515625" style="765" customWidth="1"/>
    <col min="15808" max="15808" width="1.5703125" style="765" customWidth="1"/>
    <col min="15809" max="15809" width="3.140625" style="765" customWidth="1"/>
    <col min="15810" max="15810" width="1.85546875" style="765" customWidth="1"/>
    <col min="15811" max="16039" width="8" style="765"/>
    <col min="16040" max="16040" width="9.42578125" style="765" customWidth="1"/>
    <col min="16041" max="16041" width="16.42578125" style="765" customWidth="1"/>
    <col min="16042" max="16042" width="8" style="765"/>
    <col min="16043" max="16043" width="4.85546875" style="765" customWidth="1"/>
    <col min="16044" max="16044" width="17.42578125" style="765" customWidth="1"/>
    <col min="16045" max="16045" width="8" style="765"/>
    <col min="16046" max="16046" width="8" style="765" customWidth="1"/>
    <col min="16047" max="16047" width="14.5703125" style="765" customWidth="1"/>
    <col min="16048" max="16048" width="8.85546875" style="765" customWidth="1"/>
    <col min="16049" max="16049" width="0.140625" style="765" customWidth="1"/>
    <col min="16050" max="16052" width="8" style="765" customWidth="1"/>
    <col min="16053" max="16053" width="7.85546875" style="765" customWidth="1"/>
    <col min="16054" max="16055" width="8" style="765" customWidth="1"/>
    <col min="16056" max="16056" width="6.28515625" style="765" customWidth="1"/>
    <col min="16057" max="16058" width="8" style="765" customWidth="1"/>
    <col min="16059" max="16059" width="8" style="765"/>
    <col min="16060" max="16060" width="4.28515625" style="765" customWidth="1"/>
    <col min="16061" max="16062" width="8" style="765" customWidth="1"/>
    <col min="16063" max="16063" width="3.28515625" style="765" customWidth="1"/>
    <col min="16064" max="16064" width="1.5703125" style="765" customWidth="1"/>
    <col min="16065" max="16065" width="3.140625" style="765" customWidth="1"/>
    <col min="16066" max="16066" width="1.85546875" style="765" customWidth="1"/>
    <col min="16067" max="16384" width="8" style="765"/>
  </cols>
  <sheetData>
    <row r="3" spans="1:11" ht="18.75">
      <c r="A3" s="766" t="s">
        <v>893</v>
      </c>
      <c r="B3" s="767"/>
      <c r="C3" s="767"/>
      <c r="D3" s="767"/>
      <c r="E3" s="767"/>
      <c r="F3" s="767"/>
      <c r="G3" s="767"/>
      <c r="H3" s="767"/>
      <c r="I3" s="767"/>
    </row>
    <row r="4" spans="1:11">
      <c r="A4" s="768"/>
      <c r="B4" s="767"/>
      <c r="C4" s="767"/>
      <c r="D4" s="767"/>
      <c r="E4" s="767"/>
      <c r="F4" s="767"/>
      <c r="G4" s="767"/>
      <c r="H4" s="767"/>
      <c r="I4" s="767"/>
    </row>
    <row r="5" spans="1:11">
      <c r="A5" s="768"/>
      <c r="B5" s="767"/>
      <c r="C5" s="767"/>
      <c r="D5" s="767"/>
      <c r="E5" s="767"/>
      <c r="F5" s="767"/>
      <c r="G5" s="767"/>
      <c r="H5" s="767"/>
      <c r="I5" s="767"/>
    </row>
    <row r="6" spans="1:11">
      <c r="A6" s="768"/>
      <c r="B6" s="767"/>
      <c r="C6" s="767"/>
      <c r="D6" s="767"/>
      <c r="E6" s="767"/>
      <c r="F6" s="767"/>
      <c r="G6" s="767"/>
      <c r="H6" s="767"/>
      <c r="I6" s="767"/>
    </row>
    <row r="7" spans="1:11" ht="18.75">
      <c r="A7" s="769" t="s">
        <v>894</v>
      </c>
      <c r="B7" s="769"/>
      <c r="C7" s="1144" t="str">
        <f>Data!C23</f>
        <v>Yunusov Vüqar Fikrət oğlu</v>
      </c>
      <c r="D7" s="1144"/>
      <c r="E7" s="1144"/>
      <c r="F7" s="1144"/>
      <c r="G7" s="769" t="s">
        <v>0</v>
      </c>
      <c r="H7" s="770" t="str">
        <f>Data!F5</f>
        <v>20.04.2025</v>
      </c>
      <c r="I7" s="769"/>
    </row>
    <row r="8" spans="1:11" ht="18.75">
      <c r="A8" s="769"/>
      <c r="B8" s="769"/>
      <c r="C8" s="769"/>
      <c r="D8" s="769"/>
      <c r="E8" s="769"/>
      <c r="F8" s="769"/>
      <c r="G8" s="769"/>
      <c r="H8" s="770"/>
      <c r="I8" s="769"/>
    </row>
    <row r="9" spans="1:11" ht="18.75">
      <c r="A9" s="769"/>
      <c r="B9" s="769"/>
      <c r="C9" s="769"/>
      <c r="D9" s="769"/>
      <c r="E9" s="769"/>
      <c r="F9" s="769"/>
      <c r="G9" s="769"/>
      <c r="H9" s="770"/>
      <c r="I9" s="769"/>
    </row>
    <row r="10" spans="1:11" ht="18.75">
      <c r="A10" s="766"/>
      <c r="B10" s="769"/>
      <c r="C10" s="769"/>
      <c r="D10" s="769"/>
      <c r="E10" s="769"/>
      <c r="F10" s="769"/>
      <c r="G10" s="769"/>
      <c r="H10" s="769"/>
      <c r="I10" s="769"/>
    </row>
    <row r="11" spans="1:11" ht="21.95" customHeight="1">
      <c r="A11" s="769" t="s">
        <v>895</v>
      </c>
      <c r="B11" s="769"/>
      <c r="C11" s="774" t="str">
        <f>Data!F21</f>
        <v>6AEE7KZ</v>
      </c>
      <c r="D11" s="769"/>
      <c r="E11" s="771"/>
      <c r="F11" s="771" t="s">
        <v>896</v>
      </c>
      <c r="G11" s="769"/>
      <c r="H11" s="769"/>
      <c r="I11" s="769"/>
    </row>
    <row r="12" spans="1:11" ht="18.75">
      <c r="A12" s="766"/>
      <c r="B12" s="769"/>
      <c r="C12" s="769"/>
      <c r="D12" s="769"/>
      <c r="E12" s="769"/>
      <c r="F12" s="769"/>
      <c r="G12" s="769"/>
      <c r="H12" s="769"/>
      <c r="I12" s="769"/>
    </row>
    <row r="13" spans="1:11" ht="18.75">
      <c r="A13" s="766"/>
      <c r="B13" s="769"/>
      <c r="C13" s="769"/>
      <c r="D13" s="769"/>
      <c r="E13" s="769"/>
      <c r="F13" s="769"/>
      <c r="G13" s="769"/>
      <c r="H13" s="769"/>
      <c r="I13" s="769"/>
    </row>
    <row r="14" spans="1:11" ht="18.75">
      <c r="A14" s="769"/>
      <c r="B14" s="769"/>
      <c r="C14" s="769"/>
      <c r="D14" s="769"/>
      <c r="E14" s="769"/>
      <c r="F14" s="769"/>
      <c r="G14" s="769"/>
      <c r="H14" s="769"/>
      <c r="I14" s="769"/>
    </row>
    <row r="15" spans="1:11" ht="21.95" customHeight="1">
      <c r="A15" s="772" t="s">
        <v>897</v>
      </c>
      <c r="B15" s="772"/>
      <c r="C15" s="772"/>
      <c r="D15" s="772"/>
      <c r="E15" s="772"/>
      <c r="F15" s="772"/>
      <c r="G15" s="772"/>
      <c r="H15" s="772"/>
      <c r="I15" s="772"/>
      <c r="J15" s="772"/>
      <c r="K15" s="772"/>
    </row>
    <row r="16" spans="1:11" ht="21.95" customHeight="1">
      <c r="A16" s="772" t="s">
        <v>898</v>
      </c>
      <c r="B16" s="772"/>
      <c r="C16" s="772"/>
      <c r="D16" s="772"/>
      <c r="E16" s="772"/>
      <c r="F16" s="772"/>
      <c r="G16" s="772"/>
      <c r="H16" s="772"/>
      <c r="I16" s="772"/>
      <c r="J16" s="772"/>
      <c r="K16" s="772"/>
    </row>
    <row r="17" spans="1:9" ht="21.95" customHeight="1">
      <c r="A17" s="772" t="s">
        <v>899</v>
      </c>
      <c r="B17" s="769"/>
      <c r="C17" s="769"/>
      <c r="D17" s="769"/>
      <c r="E17" s="769"/>
      <c r="F17" s="769"/>
      <c r="G17" s="769"/>
      <c r="H17" s="769"/>
      <c r="I17" s="769"/>
    </row>
    <row r="18" spans="1:9" ht="18.75">
      <c r="A18" s="772"/>
      <c r="B18" s="769"/>
      <c r="C18" s="769"/>
      <c r="D18" s="769"/>
      <c r="E18" s="769"/>
      <c r="F18" s="769"/>
      <c r="G18" s="769"/>
      <c r="H18" s="769"/>
      <c r="I18" s="769"/>
    </row>
    <row r="19" spans="1:9" ht="18.75">
      <c r="A19" s="772"/>
      <c r="B19" s="769"/>
      <c r="C19" s="769"/>
      <c r="D19" s="769"/>
      <c r="E19" s="769"/>
      <c r="F19" s="769"/>
      <c r="G19" s="769"/>
      <c r="H19" s="769"/>
      <c r="I19" s="769"/>
    </row>
    <row r="20" spans="1:9" ht="21.95" customHeight="1">
      <c r="A20" s="771" t="s">
        <v>900</v>
      </c>
      <c r="B20" s="773"/>
      <c r="C20" s="771"/>
      <c r="D20" s="771"/>
      <c r="E20" s="771"/>
      <c r="F20" s="771"/>
      <c r="G20" s="771"/>
      <c r="H20" s="771"/>
      <c r="I20" s="771"/>
    </row>
    <row r="21" spans="1:9" ht="21.95" customHeight="1">
      <c r="A21" s="771" t="s">
        <v>901</v>
      </c>
      <c r="B21" s="771"/>
      <c r="C21" s="771"/>
      <c r="D21" s="771"/>
      <c r="E21" s="771"/>
      <c r="F21" s="771"/>
      <c r="G21" s="771"/>
      <c r="H21" s="771"/>
      <c r="I21" s="771"/>
    </row>
    <row r="22" spans="1:9" ht="21.95" customHeight="1">
      <c r="A22" s="771" t="s">
        <v>902</v>
      </c>
      <c r="B22" s="771"/>
      <c r="C22" s="771"/>
      <c r="D22" s="771"/>
      <c r="E22" s="771"/>
      <c r="F22" s="771"/>
      <c r="G22" s="771"/>
      <c r="H22" s="771"/>
      <c r="I22" s="771"/>
    </row>
    <row r="23" spans="1:9" ht="18.75">
      <c r="A23" s="771"/>
      <c r="B23" s="771"/>
      <c r="C23" s="771"/>
      <c r="D23" s="771"/>
      <c r="E23" s="771"/>
      <c r="F23" s="771"/>
      <c r="G23" s="771"/>
      <c r="H23" s="771"/>
      <c r="I23" s="771"/>
    </row>
    <row r="24" spans="1:9" ht="18.75">
      <c r="A24" s="771"/>
      <c r="B24" s="771"/>
      <c r="C24" s="771"/>
      <c r="D24" s="771"/>
      <c r="E24" s="771"/>
      <c r="F24" s="771"/>
      <c r="G24" s="771"/>
      <c r="H24" s="771"/>
      <c r="I24" s="771"/>
    </row>
    <row r="25" spans="1:9" ht="18.75">
      <c r="A25" s="771"/>
      <c r="B25" s="771"/>
      <c r="C25" s="771"/>
      <c r="D25" s="771"/>
      <c r="E25" s="771"/>
      <c r="F25" s="771"/>
      <c r="G25" s="771"/>
      <c r="H25" s="771"/>
      <c r="I25" s="771"/>
    </row>
    <row r="26" spans="1:9" ht="21.95" customHeight="1">
      <c r="A26" s="771" t="s">
        <v>903</v>
      </c>
      <c r="B26" s="771"/>
      <c r="C26" s="771"/>
      <c r="D26" s="771"/>
      <c r="E26" s="771"/>
      <c r="F26" s="771"/>
      <c r="G26" s="771"/>
      <c r="H26" s="771"/>
      <c r="I26" s="771"/>
    </row>
    <row r="27" spans="1:9" ht="21.95" customHeight="1">
      <c r="A27" s="771" t="s">
        <v>904</v>
      </c>
      <c r="B27" s="771"/>
      <c r="C27" s="771"/>
      <c r="D27" s="771"/>
      <c r="E27" s="771"/>
      <c r="F27" s="771"/>
      <c r="G27" s="771"/>
      <c r="H27" s="771"/>
      <c r="I27" s="771"/>
    </row>
    <row r="28" spans="1:9" ht="18.75">
      <c r="A28" s="769"/>
      <c r="B28" s="769"/>
      <c r="C28" s="769"/>
      <c r="D28" s="769"/>
      <c r="E28" s="769"/>
      <c r="F28" s="769"/>
      <c r="G28" s="769"/>
      <c r="H28" s="769"/>
      <c r="I28" s="769"/>
    </row>
    <row r="29" spans="1:9" ht="18.75">
      <c r="A29" s="769"/>
      <c r="B29" s="769"/>
      <c r="C29" s="769"/>
      <c r="D29" s="769"/>
      <c r="E29" s="769"/>
      <c r="F29" s="769"/>
      <c r="G29" s="769"/>
      <c r="H29" s="769"/>
      <c r="I29" s="769"/>
    </row>
    <row r="30" spans="1:9" ht="18.75">
      <c r="A30" s="769"/>
      <c r="B30" s="769"/>
      <c r="C30" s="769"/>
      <c r="D30" s="769"/>
      <c r="E30" s="769"/>
      <c r="F30" s="769"/>
      <c r="G30" s="769"/>
      <c r="H30" s="769"/>
      <c r="I30" s="769"/>
    </row>
    <row r="31" spans="1:9" ht="18.75" customHeight="1">
      <c r="A31" s="769" t="s">
        <v>905</v>
      </c>
      <c r="B31" s="769"/>
      <c r="C31" s="769"/>
      <c r="D31" s="769"/>
      <c r="E31" s="769"/>
      <c r="F31" s="769"/>
      <c r="G31" s="769"/>
      <c r="H31" s="769"/>
      <c r="I31" s="769"/>
    </row>
    <row r="32" spans="1:9" ht="18.75">
      <c r="A32" s="769"/>
      <c r="B32" s="769"/>
      <c r="C32" s="769"/>
      <c r="D32" s="769"/>
      <c r="E32" s="769"/>
      <c r="F32" s="769"/>
      <c r="G32" s="769"/>
      <c r="H32" s="769"/>
      <c r="I32" s="769"/>
    </row>
    <row r="33" spans="1:31" ht="18.75">
      <c r="A33" s="769"/>
      <c r="B33" s="769"/>
      <c r="C33" s="769"/>
      <c r="D33" s="769"/>
      <c r="E33" s="769"/>
      <c r="F33" s="769"/>
      <c r="G33" s="769"/>
      <c r="H33" s="769"/>
      <c r="I33" s="769"/>
    </row>
    <row r="34" spans="1:31" ht="18.75">
      <c r="A34" s="769"/>
      <c r="B34" s="769"/>
      <c r="C34" s="769"/>
      <c r="D34" s="769"/>
      <c r="E34" s="769"/>
      <c r="F34" s="769"/>
      <c r="G34" s="769"/>
      <c r="H34" s="769"/>
      <c r="I34" s="769"/>
    </row>
    <row r="35" spans="1:31" ht="18.75">
      <c r="A35" s="769"/>
      <c r="B35" s="769"/>
      <c r="C35" s="769"/>
      <c r="D35" s="769"/>
      <c r="E35" s="769"/>
      <c r="F35" s="769"/>
      <c r="G35" s="769"/>
      <c r="H35" s="769"/>
      <c r="I35" s="769"/>
    </row>
    <row r="36" spans="1:31" ht="21.95" customHeight="1">
      <c r="A36" s="769" t="s">
        <v>906</v>
      </c>
      <c r="B36" s="769"/>
      <c r="C36" s="769"/>
      <c r="D36" s="769"/>
      <c r="E36" s="769"/>
      <c r="F36" s="769"/>
      <c r="G36" s="769"/>
      <c r="H36" s="769"/>
      <c r="I36" s="769"/>
      <c r="AE36" s="765" t="str">
        <f>Data!F5</f>
        <v>20.04.2025</v>
      </c>
    </row>
    <row r="37" spans="1:31" ht="21.95" customHeight="1">
      <c r="A37" s="769" t="s">
        <v>907</v>
      </c>
      <c r="B37" s="769"/>
      <c r="C37" s="769"/>
      <c r="D37" s="769"/>
      <c r="E37" s="769"/>
      <c r="F37" s="769"/>
      <c r="G37" s="769"/>
      <c r="H37" s="769"/>
      <c r="I37" s="769"/>
    </row>
    <row r="38" spans="1:31" ht="21.95" customHeight="1">
      <c r="A38" s="769" t="s">
        <v>908</v>
      </c>
      <c r="B38" s="769"/>
      <c r="C38" s="767"/>
      <c r="D38" s="767"/>
      <c r="E38" s="767"/>
      <c r="F38" s="767"/>
      <c r="G38" s="767"/>
      <c r="H38" s="767"/>
      <c r="I38" s="767"/>
    </row>
  </sheetData>
  <mergeCells count="1">
    <mergeCell ref="C7:F7"/>
  </mergeCells>
  <pageMargins left="0.19685039370078741" right="0.11811023622047245" top="0.35433070866141736" bottom="0.15748031496062992" header="0.31496062992125984" footer="0.31496062992125984"/>
  <pageSetup scale="75" orientation="portrait"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codeName="Sayfa22"/>
  <dimension ref="B2:BE53"/>
  <sheetViews>
    <sheetView topLeftCell="P1" zoomScaleNormal="100" workbookViewId="0">
      <selection activeCell="AH33" sqref="AH33"/>
    </sheetView>
  </sheetViews>
  <sheetFormatPr defaultRowHeight="12.75"/>
  <cols>
    <col min="1" max="1" width="4.7109375" style="749" customWidth="1"/>
    <col min="2" max="5" width="6.7109375" style="749" customWidth="1"/>
    <col min="6" max="8" width="0" style="749" hidden="1" customWidth="1"/>
    <col min="9" max="9" width="10" style="749" hidden="1" customWidth="1"/>
    <col min="10" max="14" width="0" style="749" hidden="1" customWidth="1"/>
    <col min="15" max="16" width="7.28515625" style="749" customWidth="1"/>
    <col min="17" max="17" width="9.140625" style="749"/>
    <col min="18" max="20" width="7.7109375" style="749" customWidth="1"/>
    <col min="21" max="21" width="9.140625" style="749"/>
    <col min="22" max="22" width="7.28515625" style="749" customWidth="1"/>
    <col min="23" max="23" width="5.28515625" style="749" customWidth="1"/>
    <col min="24" max="24" width="7" style="749" customWidth="1"/>
    <col min="25" max="25" width="5.28515625" style="749" customWidth="1"/>
    <col min="26" max="50" width="7.28515625" style="749" customWidth="1"/>
    <col min="51" max="16384" width="9.140625" style="749"/>
  </cols>
  <sheetData>
    <row r="2" spans="2:56" ht="15">
      <c r="B2" s="248"/>
      <c r="C2" s="248"/>
      <c r="D2" s="248"/>
      <c r="E2" s="248"/>
      <c r="F2" s="248"/>
      <c r="G2" s="248"/>
      <c r="H2" s="248"/>
      <c r="I2" s="248"/>
      <c r="J2" s="248"/>
      <c r="K2" s="248"/>
      <c r="L2" s="248"/>
      <c r="M2" s="248"/>
      <c r="N2" s="248"/>
      <c r="O2" s="248"/>
      <c r="P2" s="248"/>
      <c r="Q2" s="248"/>
      <c r="R2" s="248"/>
      <c r="S2" s="248"/>
      <c r="T2" s="248"/>
      <c r="U2" s="248"/>
      <c r="V2" s="248"/>
      <c r="W2" s="248"/>
      <c r="X2" s="248"/>
      <c r="Y2" s="248"/>
      <c r="Z2" s="248"/>
      <c r="AA2" s="248"/>
      <c r="AB2" s="248"/>
      <c r="AC2" s="248"/>
      <c r="AD2" s="248"/>
      <c r="AE2" s="248"/>
      <c r="AF2" s="248"/>
      <c r="AG2" s="248"/>
      <c r="AH2" s="248"/>
      <c r="AI2" s="248"/>
      <c r="AJ2" s="248"/>
      <c r="AK2" s="248"/>
      <c r="AL2" s="248"/>
      <c r="AM2" s="248"/>
      <c r="AN2" s="248"/>
      <c r="AO2" s="248"/>
      <c r="AP2" s="248"/>
      <c r="AQ2" s="248"/>
      <c r="AR2" s="248"/>
      <c r="AS2" s="248"/>
      <c r="AT2" s="248"/>
      <c r="AU2" s="248"/>
      <c r="AV2" s="248"/>
      <c r="AW2" s="248"/>
      <c r="AX2" s="248"/>
      <c r="AY2" s="248"/>
      <c r="AZ2" s="248"/>
      <c r="BA2" s="248"/>
      <c r="BB2" s="248"/>
      <c r="BC2" s="248"/>
      <c r="BD2" s="248"/>
    </row>
    <row r="3" spans="2:56" ht="15">
      <c r="B3" s="437"/>
      <c r="C3" s="437"/>
      <c r="D3" s="437"/>
      <c r="E3" s="437"/>
      <c r="F3" s="437"/>
      <c r="G3" s="437"/>
      <c r="H3" s="437"/>
      <c r="I3" s="438">
        <f ca="1">TODAY()</f>
        <v>45786</v>
      </c>
      <c r="J3" s="437"/>
      <c r="K3" s="437"/>
      <c r="L3" s="437"/>
      <c r="M3" s="437"/>
      <c r="N3" s="437"/>
      <c r="O3" s="437"/>
      <c r="P3" s="437"/>
      <c r="Q3" s="437"/>
      <c r="R3" s="437"/>
      <c r="S3" s="437"/>
      <c r="T3" s="437"/>
      <c r="U3" s="437"/>
      <c r="V3" s="437"/>
      <c r="W3" s="437"/>
      <c r="X3" s="437"/>
      <c r="Y3" s="437"/>
      <c r="Z3" s="437"/>
      <c r="AA3" s="437"/>
      <c r="AB3" s="437"/>
      <c r="AC3" s="437"/>
      <c r="AD3" s="437"/>
      <c r="AE3" s="437"/>
      <c r="AF3" s="437"/>
      <c r="AG3" s="437"/>
      <c r="AH3" s="437"/>
      <c r="AI3" s="437"/>
      <c r="AJ3" s="437"/>
      <c r="AK3" s="437"/>
      <c r="AL3" s="437"/>
      <c r="AM3" s="437"/>
      <c r="AN3" s="437"/>
      <c r="AO3" s="437"/>
      <c r="AP3" s="437"/>
      <c r="AQ3" s="437"/>
      <c r="AR3" s="437"/>
      <c r="AS3" s="437"/>
      <c r="AT3" s="437"/>
      <c r="AU3" s="437"/>
      <c r="AV3" s="437"/>
      <c r="AW3" s="437"/>
      <c r="AX3" s="437"/>
      <c r="AY3" s="437"/>
      <c r="AZ3" s="437"/>
      <c r="BA3" s="248"/>
      <c r="BB3" s="248"/>
      <c r="BC3" s="248"/>
      <c r="BD3" s="248"/>
    </row>
    <row r="4" spans="2:56" ht="15">
      <c r="B4" s="437"/>
      <c r="C4" s="437"/>
      <c r="D4" s="437"/>
      <c r="E4" s="437"/>
      <c r="F4" s="437"/>
      <c r="G4" s="437"/>
      <c r="H4" s="437"/>
      <c r="I4" s="439" t="str">
        <f ca="1">IF(MONTH(I3)=1,"йанвар",(IF(MONTH(I3)=2,"феврал",(IF(MONTH(I3)=3,"март",(IF(MONTH(I3)=4,"апрел",(IF(MONTH(I3)=5,"май",(IF(MONTH(I3)=6,"ийун",(IF(MONTH(I3)=7,"ийул","")))))))))))))</f>
        <v>май</v>
      </c>
      <c r="J4" s="437"/>
      <c r="K4" s="437"/>
      <c r="L4" s="437"/>
      <c r="M4" s="437"/>
      <c r="N4" s="437"/>
      <c r="O4" s="437"/>
      <c r="P4" s="437"/>
      <c r="Q4" s="437"/>
      <c r="R4" s="437"/>
      <c r="S4" s="437"/>
      <c r="T4" s="437"/>
      <c r="U4" s="437"/>
      <c r="V4" s="437"/>
      <c r="W4" s="437"/>
      <c r="X4" s="437"/>
      <c r="Y4" s="437"/>
      <c r="Z4" s="437"/>
      <c r="AA4" s="437"/>
      <c r="AB4" s="437"/>
      <c r="AC4" s="437"/>
      <c r="AD4" s="437"/>
      <c r="AE4" s="437"/>
      <c r="AF4" s="437"/>
      <c r="AG4" s="437"/>
      <c r="AH4" s="437"/>
      <c r="AI4" s="437"/>
      <c r="AJ4" s="437"/>
      <c r="AK4" s="437"/>
      <c r="AL4" s="437"/>
      <c r="AM4" s="437"/>
      <c r="AN4" s="437"/>
      <c r="AO4" s="437"/>
      <c r="AP4" s="437"/>
      <c r="AQ4" s="437"/>
      <c r="AR4" s="437"/>
      <c r="AS4" s="437"/>
      <c r="AT4" s="437"/>
      <c r="AU4" s="437"/>
      <c r="AV4" s="437"/>
      <c r="AW4" s="437"/>
      <c r="AX4" s="437"/>
      <c r="AY4" s="437"/>
      <c r="AZ4" s="437"/>
      <c r="BA4" s="942" t="str">
        <f>CONCATENATE("(",B14,")")</f>
        <v>(Bir min altı yüz yetmiş iki manat )</v>
      </c>
      <c r="BB4" s="942"/>
      <c r="BC4" s="942"/>
      <c r="BD4" s="942"/>
    </row>
    <row r="5" spans="2:56" ht="15">
      <c r="B5" s="437"/>
      <c r="C5" s="437" t="s">
        <v>358</v>
      </c>
      <c r="D5" s="437"/>
      <c r="E5" s="437"/>
      <c r="F5" s="437"/>
      <c r="G5" s="437"/>
      <c r="H5" s="437"/>
      <c r="I5" s="439" t="str">
        <f ca="1">IF(I4="",(IF(MONTH(I3)=8,"август",(IF(MONTH(I3)=9,"сентйабр",(IF(MONTH(I3)=10,"октйабр",(IF(MONTH(I3)=11,"нойабр",(IF(MONTH(I3)=12,"декабр","")))))))))),"")</f>
        <v/>
      </c>
      <c r="J5" s="437"/>
      <c r="K5" s="437"/>
      <c r="L5" s="437"/>
      <c r="M5" s="437"/>
      <c r="N5" s="437"/>
      <c r="O5" s="437"/>
      <c r="P5" s="437"/>
      <c r="Q5" s="437"/>
      <c r="R5" s="437"/>
      <c r="S5" s="437"/>
      <c r="T5" s="437"/>
      <c r="U5" s="437"/>
      <c r="V5" s="437"/>
      <c r="W5" s="437"/>
      <c r="X5" s="437"/>
      <c r="Y5" s="437"/>
      <c r="Z5" s="437"/>
      <c r="AA5" s="437"/>
      <c r="AB5" s="437"/>
      <c r="AC5" s="437"/>
      <c r="AD5" s="437"/>
      <c r="AE5" s="437"/>
      <c r="AF5" s="437"/>
      <c r="AG5" s="437"/>
      <c r="AH5" s="437"/>
      <c r="AI5" s="437"/>
      <c r="AJ5" s="437"/>
      <c r="AK5" s="437"/>
      <c r="AL5" s="437"/>
      <c r="AM5" s="437"/>
      <c r="AN5" s="437"/>
      <c r="AO5" s="437"/>
      <c r="AP5" s="437"/>
      <c r="AQ5" s="437"/>
      <c r="AR5" s="437"/>
      <c r="AS5" s="437"/>
      <c r="AT5" s="437"/>
      <c r="AU5" s="437"/>
      <c r="AV5" s="437"/>
      <c r="AW5" s="437"/>
      <c r="AX5" s="437"/>
      <c r="AY5" s="437"/>
      <c r="AZ5" s="437"/>
      <c r="BA5" s="248"/>
      <c r="BB5" s="248"/>
      <c r="BC5" s="248"/>
      <c r="BD5" s="248"/>
    </row>
    <row r="6" spans="2:56" ht="15">
      <c r="B6" s="437"/>
      <c r="C6" s="437" t="s">
        <v>359</v>
      </c>
      <c r="D6" s="437"/>
      <c r="E6" s="437"/>
      <c r="F6" s="437"/>
      <c r="G6" s="437"/>
      <c r="H6" s="437"/>
      <c r="I6" s="439">
        <f ca="1">YEAR(I3)</f>
        <v>2025</v>
      </c>
      <c r="J6" s="437"/>
      <c r="K6" s="437"/>
      <c r="L6" s="437"/>
      <c r="M6" s="437"/>
      <c r="N6" s="437"/>
      <c r="O6" s="437"/>
      <c r="P6" s="437"/>
      <c r="Q6" s="437"/>
      <c r="R6" s="437"/>
      <c r="S6" s="437"/>
      <c r="T6" s="437"/>
      <c r="U6" s="437"/>
      <c r="V6" s="437"/>
      <c r="W6" s="437"/>
      <c r="X6" s="437"/>
      <c r="Y6" s="437"/>
      <c r="Z6" s="437"/>
      <c r="AA6" s="437"/>
      <c r="AB6" s="437"/>
      <c r="AC6" s="437"/>
      <c r="AD6" s="437"/>
      <c r="AE6" s="437"/>
      <c r="AF6" s="437"/>
      <c r="AG6" s="437"/>
      <c r="AH6" s="437"/>
      <c r="AI6" s="437"/>
      <c r="AJ6" s="437"/>
      <c r="AK6" s="437"/>
      <c r="AL6" s="437"/>
      <c r="AM6" s="437"/>
      <c r="AN6" s="437"/>
      <c r="AO6" s="437"/>
      <c r="AP6" s="437"/>
      <c r="AQ6" s="437"/>
      <c r="AR6" s="437"/>
      <c r="AS6" s="437"/>
      <c r="AT6" s="437"/>
      <c r="AU6" s="437"/>
      <c r="AV6" s="437"/>
      <c r="AW6" s="437"/>
      <c r="AX6" s="437"/>
      <c r="AY6" s="437"/>
      <c r="AZ6" s="437"/>
      <c r="BA6" s="248"/>
      <c r="BB6" s="248"/>
      <c r="BC6" s="248"/>
      <c r="BD6" s="248"/>
    </row>
    <row r="7" spans="2:56" ht="15">
      <c r="B7" s="437"/>
      <c r="C7" s="437" t="s">
        <v>361</v>
      </c>
      <c r="D7" s="437"/>
      <c r="E7" s="437"/>
      <c r="F7" s="437"/>
      <c r="G7" s="437"/>
      <c r="H7" s="437"/>
      <c r="I7" s="437"/>
      <c r="J7" s="437"/>
      <c r="K7" s="437"/>
      <c r="L7" s="437"/>
      <c r="M7" s="437"/>
      <c r="N7" s="437"/>
      <c r="O7" s="437"/>
      <c r="P7" s="437"/>
      <c r="Q7" s="437"/>
      <c r="R7" s="437"/>
      <c r="S7" s="437"/>
      <c r="T7" s="437"/>
      <c r="U7" s="437"/>
      <c r="V7" s="437"/>
      <c r="W7" s="437"/>
      <c r="X7" s="437"/>
      <c r="Y7" s="437"/>
      <c r="Z7" s="437"/>
      <c r="AA7" s="437"/>
      <c r="AB7" s="437"/>
      <c r="AC7" s="437"/>
      <c r="AD7" s="437"/>
      <c r="AE7" s="437"/>
      <c r="AF7" s="437"/>
      <c r="AG7" s="437"/>
      <c r="AH7" s="437"/>
      <c r="AI7" s="437"/>
      <c r="AJ7" s="437"/>
      <c r="AK7" s="437"/>
      <c r="AL7" s="437"/>
      <c r="AM7" s="437"/>
      <c r="AN7" s="437"/>
      <c r="AO7" s="437"/>
      <c r="AP7" s="437"/>
      <c r="AQ7" s="437"/>
      <c r="AR7" s="437"/>
      <c r="AS7" s="437"/>
      <c r="AT7" s="437"/>
      <c r="AU7" s="437"/>
      <c r="AV7" s="437"/>
      <c r="AW7" s="437"/>
      <c r="AX7" s="437"/>
      <c r="AY7" s="437"/>
      <c r="AZ7" s="437"/>
      <c r="BA7" s="248"/>
      <c r="BB7" s="248"/>
      <c r="BC7" s="248"/>
      <c r="BD7" s="248"/>
    </row>
    <row r="8" spans="2:56" ht="15">
      <c r="B8" s="956">
        <f>Data!C84</f>
        <v>1672</v>
      </c>
      <c r="C8" s="956"/>
      <c r="D8" s="956"/>
      <c r="E8" s="956"/>
      <c r="F8" s="956"/>
      <c r="G8" s="956"/>
      <c r="H8" s="956"/>
      <c r="I8" s="956"/>
      <c r="J8" s="956"/>
      <c r="K8" s="956"/>
      <c r="L8" s="956"/>
      <c r="M8" s="956"/>
      <c r="N8" s="956"/>
      <c r="O8" s="956"/>
      <c r="P8" s="956"/>
      <c r="Q8" s="956"/>
      <c r="R8" s="956"/>
      <c r="S8" s="956"/>
      <c r="T8" s="956"/>
      <c r="U8" s="956"/>
      <c r="V8" s="956"/>
      <c r="W8" s="956"/>
      <c r="X8" s="956"/>
      <c r="Y8" s="956"/>
      <c r="Z8" s="956"/>
      <c r="AA8" s="956"/>
      <c r="AB8" s="956"/>
      <c r="AC8" s="956"/>
      <c r="AD8" s="956"/>
      <c r="AE8" s="956"/>
      <c r="AF8" s="956"/>
      <c r="AG8" s="956"/>
      <c r="AH8" s="956"/>
      <c r="AI8" s="956"/>
      <c r="AJ8" s="956"/>
      <c r="AK8" s="956"/>
      <c r="AL8" s="956"/>
      <c r="AM8" s="956"/>
      <c r="AN8" s="956"/>
      <c r="AO8" s="956"/>
      <c r="AP8" s="956"/>
      <c r="AQ8" s="956"/>
      <c r="AR8" s="956"/>
      <c r="AS8" s="956"/>
      <c r="AT8" s="956"/>
      <c r="AU8" s="956"/>
      <c r="AV8" s="956"/>
      <c r="AW8" s="956"/>
      <c r="AX8" s="956"/>
      <c r="AY8" s="956"/>
      <c r="AZ8" s="956"/>
      <c r="BA8" s="248"/>
      <c r="BB8" s="248"/>
      <c r="BC8" s="248"/>
      <c r="BD8" s="248"/>
    </row>
    <row r="9" spans="2:56" ht="15">
      <c r="B9" s="441">
        <f>INT(B8/10000000000)</f>
        <v>0</v>
      </c>
      <c r="C9" s="441">
        <f>INT(B8/1000000000)-B9*10</f>
        <v>0</v>
      </c>
      <c r="D9" s="441"/>
      <c r="E9" s="441">
        <f>INT(B8/100000000)-(C9*10+B9*100)</f>
        <v>0</v>
      </c>
      <c r="F9" s="441"/>
      <c r="G9" s="441">
        <f>INT(B8/10000000)-(E9*10+C9*100+B9*1000)</f>
        <v>0</v>
      </c>
      <c r="H9" s="441">
        <f>INT(B8/1000000)-(B9*10000+C9*1000+E9*100+G9*10)</f>
        <v>0</v>
      </c>
      <c r="I9" s="441"/>
      <c r="J9" s="441">
        <f>INT(B8/100000)-(B9*100000+C9*10000+E9*1000+G9*100+H9*10)</f>
        <v>0</v>
      </c>
      <c r="K9" s="441"/>
      <c r="L9" s="441">
        <f>INT(B8/10000)-(B9*1000000+C9*100000+E9*10000+G9*1000+H9*100+J9*10)</f>
        <v>0</v>
      </c>
      <c r="M9" s="441">
        <f>INT(B8/1000)-(B9*10000000+C9*1000000+E9*100000+G9*10000+H9*1000+J9*100+L9*10)</f>
        <v>1</v>
      </c>
      <c r="N9" s="441"/>
      <c r="O9" s="441">
        <f>INT(B8/100)-(B9*100000000+C9*10000000+E9*1000000+G9*100000+H9*10000+J9*1000+L9*100+M9*10)</f>
        <v>6</v>
      </c>
      <c r="P9" s="441"/>
      <c r="Q9" s="441">
        <f>INT(B8/10)-(B9*1000000000+C9*100000000+E9*10000000+G9*1000000+H9*100000+J9*10000+L9*1000+M9*100+O9*10)</f>
        <v>7</v>
      </c>
      <c r="R9" s="441">
        <f>INT(B8)-(B9*10000000000+C9*1000000000+E9*100000000+G9*10000000+H9*1000000+J9*100000+L9*10000+M9*1000+O9*100+Q9*10)</f>
        <v>2</v>
      </c>
      <c r="S9" s="441"/>
      <c r="T9" s="441"/>
      <c r="U9" s="441"/>
      <c r="V9" s="441"/>
      <c r="W9" s="441"/>
      <c r="X9" s="442">
        <f>INT(B8*10)-(B9*100000000000+C9*10000000000+E9*1000000000+G9*100000000+H9*10000000+J9*1000000+L9*100000+M9*10000+O9*1000+Q9*100+R9*10)</f>
        <v>0</v>
      </c>
      <c r="Y9" s="442"/>
      <c r="Z9" s="442"/>
      <c r="AA9" s="442"/>
      <c r="AB9" s="442"/>
      <c r="AC9" s="442"/>
      <c r="AD9" s="442"/>
      <c r="AE9" s="442"/>
      <c r="AF9" s="442"/>
      <c r="AG9" s="442"/>
      <c r="AH9" s="442"/>
      <c r="AI9" s="442"/>
      <c r="AJ9" s="442"/>
      <c r="AK9" s="442"/>
      <c r="AL9" s="442"/>
      <c r="AM9" s="442"/>
      <c r="AN9" s="442"/>
      <c r="AO9" s="442"/>
      <c r="AP9" s="442"/>
      <c r="AQ9" s="442"/>
      <c r="AR9" s="442"/>
      <c r="AS9" s="442"/>
      <c r="AT9" s="442"/>
      <c r="AU9" s="442"/>
      <c r="AV9" s="442"/>
      <c r="AW9" s="442"/>
      <c r="AX9" s="442"/>
      <c r="AY9" s="442"/>
      <c r="AZ9" s="442">
        <f>INT(B8*100)-(B9*1000000000000+C9*100000000000+E9*10000000000+G9*1000000000+H9*100000000+J9*10000000+L9*1000000+M9*100000+O9*10000+Q9*1000+R9*100+X9*10)</f>
        <v>0</v>
      </c>
      <c r="BA9" s="248"/>
      <c r="BB9" s="248"/>
      <c r="BC9" s="248"/>
      <c r="BD9" s="248"/>
    </row>
    <row r="10" spans="2:56" ht="15">
      <c r="B10" s="441" t="str">
        <f>IF(B9=0," ",IF(B9=1," On ",IF(B9=2," İyirmi",IF(B9=3," Otuz",IF(B9=4," Qırx"," ")))))&amp;IF(B9=5," Əlli",IF(B9=6," Altmış",IF(B9=7," Yetmiş",IF(B9=8," Səksən",IF(B9=9," Doxsan"," ")))))</f>
        <v xml:space="preserve">  </v>
      </c>
      <c r="C10" s="441" t="str">
        <f>IF(C9=0," ",IF(C9=1," bir",IF(C9=2," iki",IF(C9=3," üç",IF(C9=4," dörd"," ")))))&amp;IF(C9=5," beş",IF(C9=6," altı",IF(C9=7," yeddi",IF(C9=8," səkkiz",IF(C9=9," doqquz"," ")))))</f>
        <v xml:space="preserve">  </v>
      </c>
      <c r="D10" s="441" t="str">
        <f>IF(AND(C9=0,B9=0)," "," milyard ")</f>
        <v xml:space="preserve"> </v>
      </c>
      <c r="E10" s="441" t="str">
        <f>IF(E9=0," ",IF(E9=1,"bir ",IF(E9=2,"iki ",IF(E9=3,"üç ",IF(E9=4,"dörd "," ")))))&amp;IF(E9=5,"beş ",IF(E9=6,"altı ",IF(E9=7,"yeddi ",IF(E9=8,"səkkiz ",IF(E9=9,"doqquz "," ")))))</f>
        <v xml:space="preserve">  </v>
      </c>
      <c r="F10" s="441" t="str">
        <f>IF(E10="  "," "," yüz ")</f>
        <v xml:space="preserve"> </v>
      </c>
      <c r="G10" s="441" t="str">
        <f>IF(G9=0," ",IF(G9=1,"on ",IF(G9=2,"iyirmi ",IF(G9=3,"otuz ",IF(G9=4,"qırx "," ")))))&amp;IF(G9=5,"əlli ",IF(G9=6,"altmış ",IF(G9=7,"yetmiş ",IF(G9=8,"səksən ",IF(G9=9,"doxsan "," ")))))</f>
        <v xml:space="preserve">  </v>
      </c>
      <c r="H10" s="441" t="str">
        <f>IF(H9=0," ",IF(H9=1,"bir",IF(H9=2,"iki",IF(H9=3,"üç",IF(H9=4,"dörd"," ")))))&amp;IF(H9=5,"beş",IF(H9=6,"altı",IF(H9=7,"yeddi",IF(H9=8,"səkkiz",IF(H9=9,"doqquz"," ")))))</f>
        <v xml:space="preserve">  </v>
      </c>
      <c r="I10" s="441" t="str">
        <f>IF(AND(G9=0,E9=0,H9=0)," "," milyon ")</f>
        <v xml:space="preserve"> </v>
      </c>
      <c r="J10" s="441" t="str">
        <f>IF(J9=0," ",IF(J9=1,"bir  ",IF(J9=2,"iki  ",IF(J9=3,"üç  ",IF(J9=4,"dörd  "," ")))))&amp;IF(J9=5,"beş  ",IF(J9=6,"altı  ",IF(J9=7,"yeddi  ",IF(J9=8,"səkkiz  ",IF(J9=9,"doqquz  "," ")))))</f>
        <v xml:space="preserve">  </v>
      </c>
      <c r="K10" s="441" t="str">
        <f>IF(J10="  "," "," yüz ")</f>
        <v xml:space="preserve"> </v>
      </c>
      <c r="L10" s="441" t="str">
        <f>IF(L9=0," ",IF(L9=1,"on ",IF(L9=2,"iyirmi ",IF(L9=3,"otuz ",IF(L9=4,"qırx "," ")))))&amp;IF(L9=5,"əlli ",IF(L9=6,"altmış ",IF(L9=7,"yetmiş ",IF(L9=8,"səksən ",IF(L9=9,"doxsan "," ")))))</f>
        <v xml:space="preserve">  </v>
      </c>
      <c r="M10" s="441" t="str">
        <f>IF(M9=0," ",IF(M9=1,"bir",IF(M9=2,"iki",IF(M9=3,"üç",IF(M9=4,"dörd"," ")))))&amp;IF(M9=5,"beş",IF(M9=6,"altı",IF(M9=7,"yeddi",IF(M9=8,"səkkiz",IF(M9=9,"doqquz"," ")))))</f>
        <v xml:space="preserve">bir </v>
      </c>
      <c r="N10" s="441" t="str">
        <f>IF(AND(L9=0,J9=0,M9=0)," "," min ")</f>
        <v xml:space="preserve"> min </v>
      </c>
      <c r="O10" s="441" t="str">
        <f>IF(O9=0," ",IF(O9=1,"bir  ",IF(O9=2,"iki  ",IF(O9=3,"üç  ",IF(O9=4,"dörd  "," ")))))&amp;IF(O9=5,"beş  ",IF(O9=6,"altı  ",IF(O9=7,"yeddi  ",IF(O9=8,"səkkiz  ",IF(O9=9,"doqquz  "," ")))))</f>
        <v xml:space="preserve"> altı  </v>
      </c>
      <c r="P10" s="441" t="str">
        <f>IF(O10="  "," "," yüz ")</f>
        <v xml:space="preserve"> yüz </v>
      </c>
      <c r="Q10" s="441" t="str">
        <f>IF(Q9=0," ",IF(Q9=1," on",IF(Q9=2," iyirmi",IF(Q9=3," otuz",IF(Q9=4," qırx"," ")))))&amp;IF(Q9=5," əlli",IF(Q9=6," altmış",IF(Q9=7," yetmiş",IF(Q9=8," səksən",IF(Q9=9," doxsan"," ")))))</f>
        <v xml:space="preserve">  yetmiş</v>
      </c>
      <c r="R10" s="441" t="str">
        <f>IF(R9=0," ",IF(R9=1," bir",IF(R9=2," iki",IF(R9=3," üç",IF(R9=4," dörd"," ")))))&amp;IF(R9=5," beş",IF(R9=6," altı",IF(R9=7," yeddi",IF(R9=8," səkkiz",IF(R9=9," doqquz"," ")))))</f>
        <v xml:space="preserve"> iki </v>
      </c>
      <c r="S10" s="441"/>
      <c r="T10" s="441"/>
      <c r="U10" s="441"/>
      <c r="V10" s="441"/>
      <c r="W10" s="441"/>
      <c r="X10" s="441" t="str">
        <f>IF(X9=0," ",IF(X9=1," он",IF(X9=2," ийирми",IF(X9=3," отуз",IF(X9=4," гырх"," ")))))&amp;IF(X9=5," ялли",IF(X9=6," алтмыш",IF(X9=7," йетмиш",IF(X9=8," сяксян",IF(X9=9," дохсан"," ")))))</f>
        <v xml:space="preserve">  </v>
      </c>
      <c r="Y10" s="441"/>
      <c r="Z10" s="441"/>
      <c r="AA10" s="441"/>
      <c r="AB10" s="441"/>
      <c r="AC10" s="441"/>
      <c r="AD10" s="441"/>
      <c r="AE10" s="441"/>
      <c r="AF10" s="441"/>
      <c r="AG10" s="441"/>
      <c r="AH10" s="441"/>
      <c r="AI10" s="441"/>
      <c r="AJ10" s="441"/>
      <c r="AK10" s="441"/>
      <c r="AL10" s="441"/>
      <c r="AM10" s="441"/>
      <c r="AN10" s="441"/>
      <c r="AO10" s="441"/>
      <c r="AP10" s="441"/>
      <c r="AQ10" s="441"/>
      <c r="AR10" s="441"/>
      <c r="AS10" s="441"/>
      <c r="AT10" s="441"/>
      <c r="AU10" s="441"/>
      <c r="AV10" s="441"/>
      <c r="AW10" s="441"/>
      <c r="AX10" s="441"/>
      <c r="AY10" s="441"/>
      <c r="AZ10" s="441" t="str">
        <f>IF(AZ9=0," ",IF(AZ9=1," bir",IF(AZ9=2," iki",IF(AZ9=3," üç",IF(AZ9=4," dörd"," ")))))&amp;IF(AZ9=5," beş",IF(AZ9=6," altı",IF(AZ9=7," yeddi",IF(AZ9=8," səkkiz",IF(AZ9=9," doqquz"," ")))))</f>
        <v xml:space="preserve">  </v>
      </c>
      <c r="BA10" s="248"/>
      <c r="BB10" s="248"/>
      <c r="BC10" s="248"/>
      <c r="BD10" s="248"/>
    </row>
    <row r="11" spans="2:56" ht="15">
      <c r="B11" s="437" t="str">
        <f>PROPER(B10)</f>
        <v xml:space="preserve">  </v>
      </c>
      <c r="C11" s="437" t="str">
        <f>IF(B10="  ",PROPER(C10),C10)</f>
        <v xml:space="preserve">  </v>
      </c>
      <c r="D11" s="437" t="str">
        <f>D10</f>
        <v xml:space="preserve"> </v>
      </c>
      <c r="E11" s="437" t="str">
        <f>IF(AND(B10="  ",C10="  ",D10=" "),PROPER(E10),E10)</f>
        <v xml:space="preserve">  </v>
      </c>
      <c r="F11" s="437" t="str">
        <f>F10</f>
        <v xml:space="preserve"> </v>
      </c>
      <c r="G11" s="437" t="str">
        <f>IF(AND(B10="  ",C10="  ",D10=" ",E10="  ",F10=" "),PROPER(G10),G10)</f>
        <v xml:space="preserve">  </v>
      </c>
      <c r="H11" s="437" t="str">
        <f>IF(AND(B10="  ",C10="  ",D10=" ",E10="  ",F10=" ",G10="  "),PROPER(H10),H10)</f>
        <v xml:space="preserve">  </v>
      </c>
      <c r="I11" s="437" t="str">
        <f>I10</f>
        <v xml:space="preserve"> </v>
      </c>
      <c r="J11" s="437" t="str">
        <f>IF(AND(B10="  ",C10="  ",D10=" ",E10="  ",F10=" ",G10="  ",H10="  ",I10=" "),PROPER(J10),J10)</f>
        <v xml:space="preserve">  </v>
      </c>
      <c r="K11" s="437" t="str">
        <f>K10</f>
        <v xml:space="preserve"> </v>
      </c>
      <c r="L11" s="437" t="str">
        <f>IF(AND(B10="  ",C10="  ",D10=" ",E10="  ",F10=" ",G10="  ",H10="  ",I10=" ",J10="  ",K10=" "),PROPER(L10),L10)</f>
        <v xml:space="preserve">  </v>
      </c>
      <c r="M11" s="437" t="str">
        <f>IF(AND(B10="  ",C10="  ",D10=" ",E10="  ",F10=" ",G10="  ",H10="  ",I10=" ",J10="  ",K10=" ",L10="  "),PROPER(M10),M10)</f>
        <v xml:space="preserve">Bir </v>
      </c>
      <c r="N11" s="437" t="str">
        <f>N10</f>
        <v xml:space="preserve"> min </v>
      </c>
      <c r="O11" s="437" t="str">
        <f>IF(AND(B10="  ",C10="  ",D10=" ",E10="  ",F10=" ",G10="  ",H10="  ",I10=" ",J10="  ",K10=" ",L10="  ",M10="  ",N10=" "),PROPER(O10),O10)</f>
        <v xml:space="preserve"> altı  </v>
      </c>
      <c r="P11" s="437" t="str">
        <f>P10</f>
        <v xml:space="preserve"> yüz </v>
      </c>
      <c r="Q11" s="437" t="str">
        <f>IF(AND(B10="  ",C10="  ",D10=" ",E10="  ",F10=" ",G10="  ",H10="  ",I10=" ",J10="  ",K10=" ",L10="  ",M10="  ",N10=" ",O10="  ",P10=" "),PROPER(Q10),Q10)</f>
        <v xml:space="preserve">  yetmiş</v>
      </c>
      <c r="R11" s="437" t="str">
        <f>IF(AND(B10="  ",C10="  ",D10=" ",E10="  ",F10=" ",G10="  ",H10="  ",I10=" ",J10="  ",K10=" ",L10="  ",M10="  ",N10=" ",O10="  ",P10=" ",Q10="  "),PROPER(R10),R10)</f>
        <v xml:space="preserve"> iki </v>
      </c>
      <c r="S11" s="437"/>
      <c r="T11" s="437"/>
      <c r="U11" s="437"/>
      <c r="V11" s="437"/>
      <c r="W11" s="437"/>
      <c r="X11" s="437" t="str">
        <f>IF(AND(C10="  ",D10="  ",E10=" ",F10="  ",G10=" ",H10="  ",I10="  ",J10=" ",K10="  ",L10=" ",M10="  ",N10="  ",O10=" ",P10="  ",Q10=" ",R10="  "),PROPER(X10),X10)</f>
        <v xml:space="preserve">  </v>
      </c>
      <c r="Y11" s="437"/>
      <c r="Z11" s="437"/>
      <c r="AA11" s="437"/>
      <c r="AB11" s="437"/>
      <c r="AC11" s="437"/>
      <c r="AD11" s="437"/>
      <c r="AE11" s="437"/>
      <c r="AF11" s="437"/>
      <c r="AG11" s="437"/>
      <c r="AH11" s="437"/>
      <c r="AI11" s="437"/>
      <c r="AJ11" s="437"/>
      <c r="AK11" s="437"/>
      <c r="AL11" s="437"/>
      <c r="AM11" s="437"/>
      <c r="AN11" s="437"/>
      <c r="AO11" s="437"/>
      <c r="AP11" s="437"/>
      <c r="AQ11" s="437"/>
      <c r="AR11" s="437"/>
      <c r="AS11" s="437"/>
      <c r="AT11" s="437"/>
      <c r="AU11" s="437"/>
      <c r="AV11" s="437"/>
      <c r="AW11" s="437"/>
      <c r="AX11" s="437"/>
      <c r="AY11" s="437"/>
      <c r="AZ11" s="437" t="str">
        <f>IF(AND(D10="  ",E10="  ",F10=" ",G10="  ",H10=" ",I10="  ",J10="  ",K10=" ",L10="  ",M10=" ",N10="  ",O10="  ",P10=" ",Q10="  ",R10=" ",X10="  "),PROPER(AZ10),AZ10)</f>
        <v xml:space="preserve">  </v>
      </c>
      <c r="BA11" s="248"/>
      <c r="BB11" s="248"/>
      <c r="BC11" s="248"/>
      <c r="BD11" s="248"/>
    </row>
    <row r="12" spans="2:56" ht="15">
      <c r="B12" s="944" t="str">
        <f>TRIM(B11&amp;C11&amp;D11&amp;E11&amp;F11&amp;G11&amp;H11&amp;I11&amp;J11&amp;K11&amp;L11&amp;M11&amp;N11&amp;O11&amp;P11&amp;Q11&amp;R11&amp;" manat")</f>
        <v>Bir min altı yüz yetmiş iki manat</v>
      </c>
      <c r="C12" s="944"/>
      <c r="D12" s="944"/>
      <c r="E12" s="944"/>
      <c r="F12" s="944"/>
      <c r="G12" s="944"/>
      <c r="H12" s="944"/>
      <c r="I12" s="944"/>
      <c r="J12" s="944"/>
      <c r="K12" s="944"/>
      <c r="L12" s="944"/>
      <c r="M12" s="944"/>
      <c r="N12" s="944"/>
      <c r="O12" s="944"/>
      <c r="P12" s="944"/>
      <c r="Q12" s="944"/>
      <c r="R12" s="944"/>
      <c r="S12" s="944"/>
      <c r="T12" s="944"/>
      <c r="U12" s="944"/>
      <c r="V12" s="944"/>
      <c r="W12" s="944"/>
      <c r="X12" s="944"/>
      <c r="Y12" s="944"/>
      <c r="Z12" s="944"/>
      <c r="AA12" s="944"/>
      <c r="AB12" s="944"/>
      <c r="AC12" s="944"/>
      <c r="AD12" s="944"/>
      <c r="AE12" s="944"/>
      <c r="AF12" s="944"/>
      <c r="AG12" s="944"/>
      <c r="AH12" s="944"/>
      <c r="AI12" s="944"/>
      <c r="AJ12" s="944"/>
      <c r="AK12" s="944"/>
      <c r="AL12" s="944"/>
      <c r="AM12" s="944"/>
      <c r="AN12" s="944"/>
      <c r="AO12" s="944"/>
      <c r="AP12" s="944"/>
      <c r="AQ12" s="944"/>
      <c r="AR12" s="944"/>
      <c r="AS12" s="944"/>
      <c r="AT12" s="944"/>
      <c r="AU12" s="944"/>
      <c r="AV12" s="944"/>
      <c r="AW12" s="944"/>
      <c r="AX12" s="944"/>
      <c r="AY12" s="944"/>
      <c r="AZ12" s="944"/>
      <c r="BA12" s="248"/>
      <c r="BB12" s="248"/>
      <c r="BC12" s="248"/>
      <c r="BD12" s="248"/>
    </row>
    <row r="13" spans="2:56" ht="15">
      <c r="B13" s="943"/>
      <c r="C13" s="943"/>
      <c r="D13" s="943"/>
      <c r="E13" s="943"/>
      <c r="F13" s="943"/>
      <c r="G13" s="943"/>
      <c r="H13" s="943"/>
      <c r="I13" s="943"/>
      <c r="J13" s="943"/>
      <c r="K13" s="943"/>
      <c r="L13" s="943"/>
      <c r="M13" s="943"/>
      <c r="N13" s="943"/>
      <c r="O13" s="943"/>
      <c r="P13" s="943"/>
      <c r="Q13" s="943"/>
      <c r="R13" s="943"/>
      <c r="S13" s="943"/>
      <c r="T13" s="943"/>
      <c r="U13" s="943"/>
      <c r="V13" s="943"/>
      <c r="W13" s="943"/>
      <c r="X13" s="943"/>
      <c r="Y13" s="943"/>
      <c r="Z13" s="943"/>
      <c r="AA13" s="943"/>
      <c r="AB13" s="943"/>
      <c r="AC13" s="943"/>
      <c r="AD13" s="943"/>
      <c r="AE13" s="943"/>
      <c r="AF13" s="943"/>
      <c r="AG13" s="943"/>
      <c r="AH13" s="943"/>
      <c r="AI13" s="943"/>
      <c r="AJ13" s="943"/>
      <c r="AK13" s="943"/>
      <c r="AL13" s="943"/>
      <c r="AM13" s="943"/>
      <c r="AN13" s="943"/>
      <c r="AO13" s="943"/>
      <c r="AP13" s="943"/>
      <c r="AQ13" s="943"/>
      <c r="AR13" s="943"/>
      <c r="AS13" s="943"/>
      <c r="AT13" s="943"/>
      <c r="AU13" s="943"/>
      <c r="AV13" s="943"/>
      <c r="AW13" s="943"/>
      <c r="AX13" s="943"/>
      <c r="AY13" s="943"/>
      <c r="AZ13" s="943"/>
      <c r="BA13" s="248"/>
      <c r="BB13" s="248"/>
      <c r="BC13" s="248"/>
      <c r="BD13" s="248"/>
    </row>
    <row r="14" spans="2:56" ht="14.25">
      <c r="B14" s="944" t="str">
        <f>CONCATENATE(B12," ",B13)</f>
        <v xml:space="preserve">Bir min altı yüz yetmiş iki manat </v>
      </c>
      <c r="C14" s="944"/>
      <c r="D14" s="944"/>
      <c r="E14" s="944"/>
      <c r="F14" s="944"/>
      <c r="G14" s="944"/>
      <c r="H14" s="944"/>
      <c r="I14" s="944"/>
      <c r="J14" s="944"/>
      <c r="K14" s="944"/>
      <c r="L14" s="944"/>
      <c r="M14" s="944"/>
      <c r="N14" s="944"/>
      <c r="O14" s="944"/>
      <c r="P14" s="944"/>
      <c r="Q14" s="944"/>
      <c r="R14" s="944"/>
      <c r="S14" s="944"/>
      <c r="T14" s="944"/>
      <c r="U14" s="944"/>
      <c r="V14" s="944"/>
      <c r="W14" s="944"/>
      <c r="X14" s="944"/>
      <c r="Y14" s="944"/>
      <c r="Z14" s="944"/>
      <c r="AA14" s="944"/>
      <c r="AB14" s="944"/>
      <c r="AC14" s="944"/>
      <c r="AD14" s="944"/>
      <c r="AE14" s="944"/>
      <c r="AF14" s="944"/>
      <c r="AG14" s="944"/>
      <c r="AH14" s="944"/>
      <c r="AI14" s="944"/>
      <c r="AJ14" s="944"/>
      <c r="AK14" s="944"/>
      <c r="AL14" s="944"/>
      <c r="AM14" s="944"/>
      <c r="AN14" s="944"/>
      <c r="AO14" s="944"/>
      <c r="AP14" s="944"/>
      <c r="AQ14" s="944"/>
      <c r="AR14" s="944"/>
      <c r="AS14" s="944"/>
      <c r="AT14" s="944"/>
      <c r="AU14" s="944"/>
      <c r="AV14" s="944"/>
      <c r="AW14" s="944"/>
      <c r="AX14" s="944"/>
      <c r="AY14" s="944"/>
      <c r="AZ14" s="944"/>
      <c r="BA14" s="257"/>
      <c r="BB14" s="257"/>
      <c r="BC14" s="257"/>
      <c r="BD14" s="257"/>
    </row>
    <row r="15" spans="2:56" ht="15">
      <c r="B15" s="437"/>
      <c r="C15" s="437"/>
      <c r="D15" s="437"/>
      <c r="E15" s="437"/>
      <c r="F15" s="437"/>
      <c r="G15" s="437"/>
      <c r="H15" s="437"/>
      <c r="I15" s="437"/>
      <c r="J15" s="437"/>
      <c r="K15" s="437"/>
      <c r="L15" s="437"/>
      <c r="M15" s="437"/>
      <c r="N15" s="437"/>
      <c r="O15" s="437"/>
      <c r="P15" s="437"/>
      <c r="Q15" s="437"/>
      <c r="R15" s="437"/>
      <c r="S15" s="437"/>
      <c r="T15" s="437"/>
      <c r="U15" s="437"/>
      <c r="V15" s="437"/>
      <c r="W15" s="437"/>
      <c r="X15" s="437"/>
      <c r="Y15" s="437"/>
      <c r="Z15" s="437"/>
      <c r="AA15" s="437"/>
      <c r="AB15" s="437"/>
      <c r="AC15" s="437"/>
      <c r="AD15" s="437"/>
      <c r="AE15" s="437"/>
      <c r="AF15" s="437"/>
      <c r="AG15" s="437"/>
      <c r="AH15" s="437"/>
      <c r="AI15" s="437"/>
      <c r="AJ15" s="437"/>
      <c r="AK15" s="437"/>
      <c r="AL15" s="437"/>
      <c r="AM15" s="437"/>
      <c r="AN15" s="437"/>
      <c r="AO15" s="437"/>
      <c r="AP15" s="437"/>
      <c r="AQ15" s="437"/>
      <c r="AR15" s="437"/>
      <c r="AS15" s="437"/>
      <c r="AT15" s="437"/>
      <c r="AU15" s="437"/>
      <c r="AV15" s="437"/>
      <c r="AW15" s="437"/>
      <c r="AX15" s="437"/>
      <c r="AY15" s="437"/>
      <c r="AZ15" s="437"/>
      <c r="BA15" s="248"/>
      <c r="BB15" s="248"/>
      <c r="BC15" s="248"/>
      <c r="BD15" s="248"/>
    </row>
    <row r="16" spans="2:56" ht="15">
      <c r="B16" s="437"/>
      <c r="C16" s="437"/>
      <c r="D16" s="437"/>
      <c r="E16" s="437"/>
      <c r="F16" s="437"/>
      <c r="G16" s="437"/>
      <c r="H16" s="437"/>
      <c r="I16" s="437"/>
      <c r="J16" s="437"/>
      <c r="K16" s="437"/>
      <c r="L16" s="437"/>
      <c r="M16" s="437"/>
      <c r="N16" s="437"/>
      <c r="O16" s="437"/>
      <c r="P16" s="437"/>
      <c r="Q16" s="437"/>
      <c r="R16" s="437"/>
      <c r="S16" s="437"/>
      <c r="T16" s="437"/>
      <c r="U16" s="437"/>
      <c r="V16" s="437"/>
      <c r="W16" s="437"/>
      <c r="X16" s="437"/>
      <c r="Y16" s="437"/>
      <c r="Z16" s="437"/>
      <c r="AA16" s="437"/>
      <c r="AB16" s="437"/>
      <c r="AC16" s="437"/>
      <c r="AD16" s="437"/>
      <c r="AE16" s="437"/>
      <c r="AF16" s="437"/>
      <c r="AG16" s="437"/>
      <c r="AH16" s="437"/>
      <c r="AI16" s="437"/>
      <c r="AJ16" s="437"/>
      <c r="AK16" s="437"/>
      <c r="AL16" s="437"/>
      <c r="AM16" s="437"/>
      <c r="AN16" s="437"/>
      <c r="AO16" s="437"/>
      <c r="AP16" s="437"/>
      <c r="AQ16" s="437"/>
      <c r="AR16" s="437"/>
      <c r="AS16" s="437"/>
      <c r="AT16" s="437"/>
      <c r="AU16" s="437"/>
      <c r="AV16" s="437"/>
      <c r="AW16" s="437"/>
      <c r="AX16" s="437"/>
      <c r="AY16" s="437"/>
      <c r="AZ16" s="437"/>
      <c r="BA16" s="248"/>
      <c r="BB16" s="248"/>
      <c r="BC16" s="248"/>
      <c r="BD16" s="248"/>
    </row>
    <row r="17" spans="2:57" ht="15">
      <c r="B17" s="437"/>
      <c r="C17" s="437"/>
      <c r="D17" s="437"/>
      <c r="E17" s="437"/>
      <c r="F17" s="437"/>
      <c r="G17" s="437"/>
      <c r="H17" s="437"/>
      <c r="I17" s="437"/>
      <c r="J17" s="437"/>
      <c r="K17" s="437"/>
      <c r="L17" s="437"/>
      <c r="M17" s="437"/>
      <c r="N17" s="437"/>
      <c r="O17" s="437"/>
      <c r="P17" s="437"/>
      <c r="Q17" s="437"/>
      <c r="R17" s="437"/>
      <c r="S17" s="437"/>
      <c r="T17" s="437"/>
      <c r="U17" s="437"/>
      <c r="V17" s="437"/>
      <c r="W17" s="437"/>
      <c r="X17" s="437"/>
      <c r="Y17" s="437"/>
      <c r="Z17" s="437"/>
      <c r="AA17" s="437"/>
      <c r="AB17" s="437"/>
      <c r="AC17" s="437"/>
      <c r="AD17" s="437"/>
      <c r="AE17" s="437"/>
      <c r="AF17" s="437"/>
      <c r="AG17" s="437"/>
      <c r="AH17" s="437"/>
      <c r="AI17" s="437"/>
      <c r="AJ17" s="437"/>
      <c r="AK17" s="437"/>
      <c r="AL17" s="437"/>
      <c r="AM17" s="437"/>
      <c r="AN17" s="437"/>
      <c r="AO17" s="437"/>
      <c r="AP17" s="437"/>
      <c r="AQ17" s="437"/>
      <c r="AR17" s="437"/>
      <c r="AS17" s="437"/>
      <c r="AT17" s="437"/>
      <c r="AU17" s="437"/>
      <c r="AV17" s="437"/>
      <c r="AW17" s="437"/>
      <c r="AX17" s="437"/>
      <c r="AY17" s="437"/>
      <c r="AZ17" s="437"/>
      <c r="BA17" s="248"/>
      <c r="BB17" s="248"/>
      <c r="BC17" s="248"/>
      <c r="BD17" s="248"/>
    </row>
    <row r="18" spans="2:57" ht="15">
      <c r="B18" s="437"/>
      <c r="C18" s="437"/>
      <c r="D18" s="437"/>
      <c r="E18" s="437"/>
      <c r="F18" s="437"/>
      <c r="G18" s="437"/>
      <c r="H18" s="437"/>
      <c r="I18" s="437"/>
      <c r="J18" s="437"/>
      <c r="K18" s="437"/>
      <c r="L18" s="437"/>
      <c r="M18" s="437"/>
      <c r="N18" s="437"/>
      <c r="O18" s="437"/>
      <c r="P18" s="437"/>
      <c r="Q18" s="437"/>
      <c r="R18" s="437"/>
      <c r="S18" s="437"/>
      <c r="T18" s="437"/>
      <c r="U18" s="437"/>
      <c r="V18" s="437"/>
      <c r="W18" s="437"/>
      <c r="X18" s="437"/>
      <c r="Y18" s="437"/>
      <c r="Z18" s="437"/>
      <c r="AA18" s="437"/>
      <c r="AB18" s="437"/>
      <c r="AC18" s="437"/>
      <c r="AD18" s="437"/>
      <c r="AE18" s="437"/>
      <c r="AF18" s="437"/>
      <c r="AG18" s="437"/>
      <c r="AH18" s="437"/>
      <c r="AI18" s="437"/>
      <c r="AJ18" s="437"/>
      <c r="AK18" s="437"/>
      <c r="AL18" s="437"/>
      <c r="AM18" s="437"/>
      <c r="AN18" s="437"/>
      <c r="AO18" s="437"/>
      <c r="AP18" s="437"/>
      <c r="AQ18" s="437"/>
      <c r="AR18" s="437"/>
      <c r="AS18" s="437"/>
      <c r="AT18" s="437"/>
      <c r="AU18" s="437"/>
      <c r="AV18" s="437"/>
      <c r="AW18" s="437"/>
      <c r="AX18" s="437"/>
      <c r="AY18" s="437"/>
      <c r="AZ18" s="437"/>
      <c r="BA18" s="248"/>
      <c r="BB18" s="248"/>
      <c r="BC18" s="248"/>
      <c r="BD18" s="248"/>
    </row>
    <row r="19" spans="2:57" ht="15">
      <c r="B19" s="437"/>
      <c r="C19" s="437"/>
      <c r="D19" s="437"/>
      <c r="E19" s="437"/>
      <c r="F19" s="437"/>
      <c r="G19" s="437"/>
      <c r="H19" s="437"/>
      <c r="I19" s="437"/>
      <c r="J19" s="437"/>
      <c r="K19" s="437"/>
      <c r="L19" s="437"/>
      <c r="M19" s="437"/>
      <c r="N19" s="437"/>
      <c r="O19" s="437"/>
      <c r="P19" s="437"/>
      <c r="Q19" s="437"/>
      <c r="R19" s="437"/>
      <c r="S19" s="437"/>
      <c r="T19" s="437"/>
      <c r="U19" s="437"/>
      <c r="V19" s="437"/>
      <c r="W19" s="437"/>
      <c r="X19" s="437"/>
      <c r="Y19" s="437"/>
      <c r="Z19" s="437"/>
      <c r="AA19" s="437"/>
      <c r="AB19" s="437"/>
      <c r="AC19" s="437"/>
      <c r="AD19" s="437"/>
      <c r="AE19" s="437"/>
      <c r="AF19" s="437"/>
      <c r="AG19" s="437"/>
      <c r="AH19" s="437"/>
      <c r="AI19" s="437"/>
      <c r="AJ19" s="437"/>
      <c r="AK19" s="437"/>
      <c r="AL19" s="437"/>
      <c r="AM19" s="437"/>
      <c r="AN19" s="437"/>
      <c r="AO19" s="437"/>
      <c r="AP19" s="437"/>
      <c r="AQ19" s="437"/>
      <c r="AR19" s="437"/>
      <c r="AS19" s="437"/>
      <c r="AT19" s="437"/>
      <c r="AU19" s="437"/>
      <c r="AV19" s="437"/>
      <c r="AW19" s="437"/>
      <c r="AX19" s="437"/>
      <c r="AY19" s="437"/>
      <c r="AZ19" s="437"/>
      <c r="BA19" s="248"/>
      <c r="BB19" s="248"/>
      <c r="BC19" s="248"/>
      <c r="BD19" s="248"/>
    </row>
    <row r="20" spans="2:57" ht="15">
      <c r="B20" s="437"/>
      <c r="C20" s="437"/>
      <c r="D20" s="437"/>
      <c r="E20" s="437"/>
      <c r="F20" s="437"/>
      <c r="G20" s="437"/>
      <c r="H20" s="437"/>
      <c r="I20" s="437"/>
      <c r="J20" s="437"/>
      <c r="K20" s="437"/>
      <c r="L20" s="437"/>
      <c r="M20" s="437"/>
      <c r="N20" s="437"/>
      <c r="O20" s="437"/>
      <c r="P20" s="437"/>
      <c r="Q20" s="437"/>
      <c r="R20" s="437"/>
      <c r="S20" s="437"/>
      <c r="T20" s="437"/>
      <c r="U20" s="437"/>
      <c r="V20" s="437"/>
      <c r="W20" s="437"/>
      <c r="X20" s="437"/>
      <c r="Y20" s="437"/>
      <c r="Z20" s="437">
        <f>IF(Data!C86=AI21,AI28,IF(Data!C86=AJ21,AJ28,IF(Data!C86=AK21,AK28,IF(Data!C86=AL21,AL28,IF(Data!C86=AM21,AM28,IF(Data!C86=AN21,AN28,))))))</f>
        <v>71.150000000000006</v>
      </c>
      <c r="AA20" s="437"/>
      <c r="AB20" s="437"/>
      <c r="AC20" s="437"/>
      <c r="AD20" s="437"/>
      <c r="AE20" s="437"/>
      <c r="AF20" s="437"/>
      <c r="AG20" s="437"/>
      <c r="AH20" s="437"/>
      <c r="AI20" s="437"/>
      <c r="AJ20" s="437"/>
      <c r="AK20" s="437"/>
      <c r="AL20" s="437"/>
      <c r="AM20" s="437"/>
      <c r="AN20" s="437"/>
      <c r="AO20" s="437"/>
      <c r="AP20" s="437"/>
      <c r="AQ20" s="437"/>
      <c r="AR20" s="437"/>
      <c r="AS20" s="437"/>
      <c r="AT20" s="437"/>
      <c r="AU20" s="437"/>
      <c r="AV20" s="437"/>
      <c r="AW20" s="437"/>
      <c r="AX20" s="437"/>
      <c r="AY20" s="437"/>
      <c r="AZ20" s="437"/>
      <c r="BA20" s="248"/>
      <c r="BB20" s="248"/>
      <c r="BC20" s="248"/>
      <c r="BD20" s="248"/>
    </row>
    <row r="21" spans="2:57" ht="15">
      <c r="B21" s="439" t="s">
        <v>859</v>
      </c>
      <c r="C21" s="439" t="s">
        <v>860</v>
      </c>
      <c r="D21" s="439" t="s">
        <v>859</v>
      </c>
      <c r="E21" s="439" t="s">
        <v>860</v>
      </c>
      <c r="F21" s="437"/>
      <c r="G21" s="439"/>
      <c r="I21" s="439"/>
      <c r="J21" s="439"/>
      <c r="L21" s="439"/>
      <c r="M21" s="437"/>
      <c r="N21" s="437"/>
      <c r="O21" s="437"/>
      <c r="P21" s="437"/>
      <c r="Q21" s="437"/>
      <c r="R21" s="437" t="s">
        <v>859</v>
      </c>
      <c r="S21" s="437"/>
      <c r="T21" s="437"/>
      <c r="U21" s="437"/>
      <c r="V21" s="437"/>
      <c r="W21" s="437"/>
      <c r="X21" s="437"/>
      <c r="Y21" s="437"/>
      <c r="Z21" s="437">
        <v>6</v>
      </c>
      <c r="AA21" s="437">
        <v>7</v>
      </c>
      <c r="AB21" s="437">
        <v>8</v>
      </c>
      <c r="AC21" s="437">
        <v>9</v>
      </c>
      <c r="AD21" s="437">
        <v>10</v>
      </c>
      <c r="AE21" s="437">
        <v>11</v>
      </c>
      <c r="AF21" s="437">
        <v>12</v>
      </c>
      <c r="AG21" s="437">
        <v>13</v>
      </c>
      <c r="AH21" s="437">
        <v>14</v>
      </c>
      <c r="AI21" s="437">
        <v>15</v>
      </c>
      <c r="AJ21" s="437">
        <v>16</v>
      </c>
      <c r="AK21" s="437">
        <v>17</v>
      </c>
      <c r="AL21" s="437">
        <v>18</v>
      </c>
      <c r="AM21" s="437">
        <v>19</v>
      </c>
      <c r="AN21" s="437">
        <v>20</v>
      </c>
      <c r="AO21" s="437">
        <v>21</v>
      </c>
      <c r="AP21" s="437">
        <v>22</v>
      </c>
      <c r="AQ21" s="437">
        <v>23</v>
      </c>
      <c r="AR21" s="437">
        <v>24</v>
      </c>
      <c r="AS21" s="437">
        <v>25</v>
      </c>
      <c r="AT21" s="437">
        <v>26</v>
      </c>
      <c r="AU21" s="437">
        <v>27</v>
      </c>
      <c r="AV21" s="437">
        <v>28</v>
      </c>
      <c r="AW21" s="437">
        <v>29</v>
      </c>
      <c r="AX21" s="437">
        <v>30</v>
      </c>
      <c r="AY21" s="437"/>
      <c r="AZ21" s="437"/>
      <c r="BA21" s="248"/>
      <c r="BB21" s="248">
        <v>10000</v>
      </c>
      <c r="BC21" s="248"/>
      <c r="BD21" s="248"/>
    </row>
    <row r="22" spans="2:57">
      <c r="B22" s="750">
        <v>1</v>
      </c>
      <c r="C22" s="750">
        <v>0</v>
      </c>
      <c r="D22" s="439">
        <v>13</v>
      </c>
      <c r="E22" s="439">
        <v>47.7</v>
      </c>
      <c r="G22" s="750"/>
      <c r="I22" s="750"/>
      <c r="J22" s="439"/>
      <c r="L22" s="439"/>
      <c r="O22" s="749">
        <f>IF(Data!C78&lt;=3,Data!C140,IF(Data!C78&lt;=6,Data!C142,IF(Data!C78&lt;=9,Data!C144,IF(Data!C78&lt;=12,Data!C146,IF(Data!C78&lt;=15,Data!C148,IF(Data!C78&lt;=18,Data!J140,IF(Data!C78&lt;=24,Data!J142,IF(Data!C78&lt;=30,Data!F144,))))))))</f>
        <v>20</v>
      </c>
      <c r="P22" s="749">
        <f>IF(Data!C78&lt;=3,Data!C140,IF(Data!C78&lt;=6,Data!C142,IF(Data!C78&lt;=9,Data!C144,IF(Data!C78&lt;=12,Data!C146,IF(Data!C78&lt;=15,Data!C148,IF(Data!C78&lt;=18,Data!J140,IF(Data!C78&lt;=24,Data!J142,IF(Data!C78&lt;=30,Data!F144,))))))))</f>
        <v>20</v>
      </c>
      <c r="Q22" s="756">
        <f>Data!C78</f>
        <v>12</v>
      </c>
      <c r="R22" s="749">
        <v>1</v>
      </c>
      <c r="S22" s="754">
        <f>Data!C140</f>
        <v>7</v>
      </c>
      <c r="T22" s="754">
        <f>Data!C140</f>
        <v>7</v>
      </c>
      <c r="U22" s="757">
        <f>IF(Data!C86=T22,X22,)</f>
        <v>0</v>
      </c>
      <c r="V22" s="754">
        <v>6</v>
      </c>
      <c r="W22" s="749">
        <v>1</v>
      </c>
      <c r="X22" s="749">
        <v>0</v>
      </c>
      <c r="Y22" s="785">
        <f>IF(Data!C86=Data!C140,7,)</f>
        <v>0</v>
      </c>
      <c r="Z22" s="754">
        <v>0</v>
      </c>
      <c r="AA22" s="754">
        <v>0</v>
      </c>
      <c r="AB22" s="754">
        <v>0</v>
      </c>
      <c r="AC22" s="754"/>
      <c r="AD22" s="754"/>
      <c r="AE22" s="754"/>
      <c r="AF22" s="754"/>
      <c r="AG22" s="754"/>
      <c r="AH22" s="754"/>
      <c r="AI22" s="754"/>
      <c r="AJ22" s="754"/>
      <c r="AK22" s="754"/>
      <c r="AL22" s="754"/>
      <c r="AM22" s="754"/>
      <c r="AN22" s="754"/>
      <c r="AO22" s="754"/>
      <c r="AP22" s="754"/>
      <c r="AQ22" s="754"/>
      <c r="AR22" s="754"/>
      <c r="AS22" s="754"/>
      <c r="AT22" s="754"/>
      <c r="AU22" s="754"/>
      <c r="AV22" s="754"/>
      <c r="AW22" s="754"/>
      <c r="AX22" s="754"/>
      <c r="AY22" s="754">
        <f>IF(Data!C78=1,U22,IF(Data!C78=2,U23,IF(Data!C78=3,U24,IF(Data!C78=4,U25,IF(Data!C78=5,U26,IF(Data!C78=6,U27,IF(Data!C78=7,U28,IF(Data!C78=8,U29,IF(Data!C78=9,U30,IF(Data!C78=10,U31,IF(Data!C78=11,U32,IF(Data!C78=12,U33,IF(Data!C78=13,U34,IF(Data!C78=14,U35,IF(Data!C78=15,U36,IF(Data!C78=16,U37,IF(Data!C78=17,U38,IF(Data!C78=18,U39,IF(Data!C78=19,U40,IF(Data!C78=20,U41,IF(Data!C78=21,U42,IF(Data!C78=22,U43,IF(Data!C78=23,U44,IF(Data!C78=24,U45,))))))))))))))))))))))))</f>
        <v>43.5</v>
      </c>
      <c r="AZ22" s="749">
        <f>IF(P22=T22,X22,IF(P22=T23,X23,IF(P22=T24,X24,IF(P22=T25,X25,IF(P22=T26,X26,IF(P22=T27,X27,IF(P22=T28,X28,IF(P22=T29,X29,IF(P22=T30,X30,IF(P22=T31,X31,IF(P22=T32,X32,IF(P22=T33,X33,IF(P22=T34,X34,IF(P22=T35,X35,IF(P22=T36,X36,IF(P22=T37,X37,IF(P22=T38,X38,IF(P22=T39,X39,IF(P22=T40,X40,IF(P22=T41,X41,IF(P22=T42,X42,IF(P22=T43,X43,IF(P22=T44,X44,IF(P22=T45,X45,))))))))))))))))))))))))</f>
        <v>48.5</v>
      </c>
      <c r="BA22" s="749">
        <f>Data!C88</f>
        <v>0</v>
      </c>
      <c r="BB22" s="749">
        <f>BB21-(BB21*V22%)-BA22</f>
        <v>9400</v>
      </c>
      <c r="BD22" s="749">
        <v>9395</v>
      </c>
      <c r="BE22" s="749">
        <v>6</v>
      </c>
    </row>
    <row r="23" spans="2:57">
      <c r="B23" s="439">
        <v>2</v>
      </c>
      <c r="C23" s="750">
        <v>60.2</v>
      </c>
      <c r="D23" s="439">
        <v>14</v>
      </c>
      <c r="E23" s="439">
        <v>44.48</v>
      </c>
      <c r="G23" s="439"/>
      <c r="I23" s="750"/>
      <c r="J23" s="439"/>
      <c r="L23" s="439"/>
      <c r="R23" s="749">
        <v>2</v>
      </c>
      <c r="S23" s="754">
        <f>Data!C140</f>
        <v>7</v>
      </c>
      <c r="T23" s="754">
        <f>Data!C140</f>
        <v>7</v>
      </c>
      <c r="U23" s="757">
        <f>IF(Y22=Z21,Z23,IF(Y22=AA21,AA23,IF(Y22=AB21,AB23,IF(Y22=AC21,AC23,IF(Y22=AD21,AD23,IF(Y22=AE21,AE23,))))))</f>
        <v>0</v>
      </c>
      <c r="V23" s="754">
        <v>7</v>
      </c>
      <c r="W23" s="749">
        <v>2</v>
      </c>
      <c r="X23" s="754">
        <v>60.2</v>
      </c>
      <c r="Y23" s="786">
        <f>IF(Data!C86=Data!C142,12,)</f>
        <v>0</v>
      </c>
      <c r="Z23" s="754">
        <v>51.17</v>
      </c>
      <c r="AA23" s="754">
        <v>60.2</v>
      </c>
      <c r="AB23" s="754">
        <v>69.3</v>
      </c>
      <c r="AC23" s="754">
        <v>78.75</v>
      </c>
      <c r="AD23" s="754">
        <v>88.3</v>
      </c>
      <c r="AE23" s="754">
        <v>98.1</v>
      </c>
      <c r="AF23" s="754"/>
      <c r="AG23" s="754"/>
      <c r="AH23" s="754"/>
      <c r="AI23" s="754"/>
      <c r="AJ23" s="754"/>
      <c r="AK23" s="754"/>
      <c r="AL23" s="754"/>
      <c r="AM23" s="754"/>
      <c r="AN23" s="754"/>
      <c r="AO23" s="754"/>
      <c r="AP23" s="754"/>
      <c r="AQ23" s="754"/>
      <c r="AR23" s="754"/>
      <c r="AS23" s="754"/>
      <c r="AT23" s="754"/>
      <c r="AU23" s="754"/>
      <c r="AV23" s="754"/>
      <c r="AW23" s="754"/>
      <c r="AX23" s="754"/>
      <c r="AY23" s="754"/>
      <c r="BB23" s="749">
        <f>BB21-(BB21*V23%)-BA22</f>
        <v>9300</v>
      </c>
      <c r="BD23" s="749">
        <v>9295</v>
      </c>
      <c r="BE23" s="749">
        <v>7</v>
      </c>
    </row>
    <row r="24" spans="2:57">
      <c r="B24" s="439">
        <v>3</v>
      </c>
      <c r="C24" s="750">
        <v>44.9</v>
      </c>
      <c r="D24" s="750">
        <v>15</v>
      </c>
      <c r="E24" s="750">
        <v>41.65</v>
      </c>
      <c r="G24" s="439"/>
      <c r="I24" s="750"/>
      <c r="J24" s="750"/>
      <c r="L24" s="750"/>
      <c r="R24" s="749">
        <v>3</v>
      </c>
      <c r="S24" s="754">
        <f>Data!C140</f>
        <v>7</v>
      </c>
      <c r="T24" s="754">
        <f>Data!C140</f>
        <v>7</v>
      </c>
      <c r="U24" s="757">
        <f>IF(Y22=Z21,Z24,IF(Y22=AA21,AA24,IF(Y22=AB21,AB24,IF(Y22=AC21,AC24,IF(Y22=AD21,AD24,IF(Y22=AE21,AE24,))))))</f>
        <v>0</v>
      </c>
      <c r="V24" s="754">
        <v>8</v>
      </c>
      <c r="W24" s="749">
        <v>3</v>
      </c>
      <c r="X24" s="754">
        <v>44.9</v>
      </c>
      <c r="Y24" s="786">
        <f>IF(Data!C86=Data!C144,16,)</f>
        <v>0</v>
      </c>
      <c r="Z24" s="754">
        <v>38.25</v>
      </c>
      <c r="AA24" s="754">
        <v>44.9</v>
      </c>
      <c r="AB24" s="754">
        <v>51.8</v>
      </c>
      <c r="AC24" s="754">
        <v>58.75</v>
      </c>
      <c r="AD24" s="754">
        <v>65.900000000000006</v>
      </c>
      <c r="AE24" s="754">
        <v>73.099999999999994</v>
      </c>
      <c r="AF24" s="754"/>
      <c r="AG24" s="754"/>
      <c r="AH24" s="754"/>
      <c r="AI24" s="754"/>
      <c r="AJ24" s="754"/>
      <c r="AK24" s="754"/>
      <c r="AL24" s="754"/>
      <c r="AM24" s="754"/>
      <c r="AN24" s="754"/>
      <c r="AO24" s="754"/>
      <c r="AP24" s="754"/>
      <c r="AQ24" s="754"/>
      <c r="AR24" s="754"/>
      <c r="AS24" s="754"/>
      <c r="AT24" s="754"/>
      <c r="AU24" s="754"/>
      <c r="AV24" s="754"/>
      <c r="AW24" s="754"/>
      <c r="AX24" s="754"/>
      <c r="AY24" s="754"/>
      <c r="BB24" s="749">
        <f>BB21-(BB21*V24%)-BA22</f>
        <v>9200</v>
      </c>
      <c r="BD24" s="749">
        <v>9195</v>
      </c>
      <c r="BE24" s="749">
        <v>8</v>
      </c>
    </row>
    <row r="25" spans="2:57">
      <c r="B25" s="750">
        <v>4</v>
      </c>
      <c r="C25" s="750">
        <v>64</v>
      </c>
      <c r="D25" s="439">
        <v>16</v>
      </c>
      <c r="E25" s="439">
        <v>44.7</v>
      </c>
      <c r="G25" s="750"/>
      <c r="I25" s="750"/>
      <c r="J25" s="439"/>
      <c r="L25" s="439"/>
      <c r="R25" s="749">
        <v>4</v>
      </c>
      <c r="S25" s="754">
        <f>Data!C142</f>
        <v>12</v>
      </c>
      <c r="T25" s="754">
        <f>Data!C142</f>
        <v>12</v>
      </c>
      <c r="U25" s="757">
        <f>IF(Y23=AD21,AD25,IF(Y23=AE21,AE25,IF(Y23=AF21,AF25,IF(Y23=AG21,AG25,IF(Y23=AH21,AH25,IF(Y23=AI21,AI25,))))))</f>
        <v>0</v>
      </c>
      <c r="V25" s="754">
        <v>9</v>
      </c>
      <c r="W25" s="749">
        <v>4</v>
      </c>
      <c r="X25" s="754">
        <v>64</v>
      </c>
      <c r="Y25" s="786">
        <f>IF(Data!C86=Data!C146,20,)</f>
        <v>20</v>
      </c>
      <c r="Z25" s="754"/>
      <c r="AA25" s="754"/>
      <c r="AB25" s="754"/>
      <c r="AC25" s="754"/>
      <c r="AD25" s="754">
        <v>52.5</v>
      </c>
      <c r="AE25" s="754">
        <v>58.2</v>
      </c>
      <c r="AF25" s="754">
        <v>64.099999999999994</v>
      </c>
      <c r="AG25" s="754">
        <v>70.05</v>
      </c>
      <c r="AH25" s="754">
        <v>76.099999999999994</v>
      </c>
      <c r="AI25" s="754">
        <v>82.3</v>
      </c>
      <c r="AJ25" s="754"/>
      <c r="AK25" s="754"/>
      <c r="AL25" s="754"/>
      <c r="AM25" s="754"/>
      <c r="AN25" s="754"/>
      <c r="AO25" s="754"/>
      <c r="AP25" s="754"/>
      <c r="AQ25" s="754"/>
      <c r="AR25" s="754"/>
      <c r="AS25" s="754"/>
      <c r="AT25" s="754"/>
      <c r="AU25" s="754"/>
      <c r="AV25" s="754"/>
      <c r="AW25" s="754"/>
      <c r="AX25" s="754"/>
      <c r="AY25" s="754"/>
      <c r="BB25" s="749">
        <f>BB21-(BB21*V25%)-BA22</f>
        <v>9100</v>
      </c>
      <c r="BD25" s="749">
        <v>9095</v>
      </c>
      <c r="BE25" s="749">
        <v>9</v>
      </c>
    </row>
    <row r="26" spans="2:57">
      <c r="B26" s="439">
        <v>5</v>
      </c>
      <c r="C26" s="750">
        <v>53.3</v>
      </c>
      <c r="D26" s="439">
        <v>17</v>
      </c>
      <c r="E26" s="439">
        <v>42.16</v>
      </c>
      <c r="G26" s="439"/>
      <c r="I26" s="750"/>
      <c r="J26" s="439"/>
      <c r="L26" s="439"/>
      <c r="R26" s="749">
        <v>5</v>
      </c>
      <c r="S26" s="754">
        <f>Data!C142</f>
        <v>12</v>
      </c>
      <c r="T26" s="754">
        <f>Data!C142</f>
        <v>12</v>
      </c>
      <c r="U26" s="757">
        <f>IF(Y23=AD21,AD26,IF(Y23=AE21,AE26,IF(Y23=AF21,AF26,IF(Y23=AG21,AG26,IF(Y23=AH21,AH26,IF(Y23=AI21,AI26,))))))</f>
        <v>0</v>
      </c>
      <c r="V26" s="754">
        <v>10</v>
      </c>
      <c r="W26" s="749">
        <v>5</v>
      </c>
      <c r="X26" s="754">
        <v>53.3</v>
      </c>
      <c r="Y26" s="786">
        <f>IF(Data!C86=Data!C148,23,)</f>
        <v>0</v>
      </c>
      <c r="Z26" s="754"/>
      <c r="AA26" s="754"/>
      <c r="AB26" s="754"/>
      <c r="AC26" s="754"/>
      <c r="AD26" s="754">
        <v>43.65</v>
      </c>
      <c r="AE26" s="754">
        <v>48.38</v>
      </c>
      <c r="AF26" s="754">
        <v>53.3</v>
      </c>
      <c r="AG26" s="754">
        <v>58.2</v>
      </c>
      <c r="AH26" s="754">
        <v>63.25</v>
      </c>
      <c r="AI26" s="754">
        <v>68.349999999999994</v>
      </c>
      <c r="AJ26" s="754"/>
      <c r="AK26" s="754"/>
      <c r="AL26" s="754"/>
      <c r="AM26" s="754"/>
      <c r="AN26" s="754"/>
      <c r="AO26" s="754"/>
      <c r="AP26" s="754"/>
      <c r="AQ26" s="754"/>
      <c r="AR26" s="754"/>
      <c r="AS26" s="754"/>
      <c r="AT26" s="754"/>
      <c r="AU26" s="754"/>
      <c r="AV26" s="754"/>
      <c r="AW26" s="754"/>
      <c r="AX26" s="754"/>
      <c r="AY26" s="754"/>
      <c r="BB26" s="749">
        <f>BB21-(BB21*V26%)-BA22</f>
        <v>9000</v>
      </c>
      <c r="BD26" s="749">
        <v>8995</v>
      </c>
      <c r="BE26" s="749">
        <v>10</v>
      </c>
    </row>
    <row r="27" spans="2:57">
      <c r="B27" s="439">
        <v>6</v>
      </c>
      <c r="C27" s="750">
        <v>45.58</v>
      </c>
      <c r="D27" s="439">
        <v>18</v>
      </c>
      <c r="E27" s="439">
        <v>39.92</v>
      </c>
      <c r="G27" s="439"/>
      <c r="I27" s="750"/>
      <c r="J27" s="439"/>
      <c r="L27" s="439"/>
      <c r="R27" s="749">
        <v>6</v>
      </c>
      <c r="S27" s="754">
        <f>Data!C142</f>
        <v>12</v>
      </c>
      <c r="T27" s="754">
        <f>Data!C142</f>
        <v>12</v>
      </c>
      <c r="U27" s="757">
        <f>IF(Y23=AD21,AD27,IF(Y23=AE21,AE27,IF(Y23=AF21,AF27,IF(Y23=AG21,AG27,IF(Y23=AH21,AH27,IF(Y23=AI21,AI27,))))))</f>
        <v>0</v>
      </c>
      <c r="V27" s="754">
        <v>11</v>
      </c>
      <c r="W27" s="749">
        <v>6</v>
      </c>
      <c r="X27" s="754">
        <v>45.58</v>
      </c>
      <c r="Y27" s="786">
        <f>IF(Data!C86=Data!F140,25,)</f>
        <v>0</v>
      </c>
      <c r="Z27" s="754"/>
      <c r="AA27" s="754"/>
      <c r="AB27" s="754"/>
      <c r="AC27" s="754"/>
      <c r="AD27" s="754">
        <v>37.35</v>
      </c>
      <c r="AE27" s="754">
        <v>41.45</v>
      </c>
      <c r="AF27" s="754">
        <v>45.55</v>
      </c>
      <c r="AG27" s="754">
        <v>49.8</v>
      </c>
      <c r="AH27" s="754">
        <v>54.05</v>
      </c>
      <c r="AI27" s="754">
        <v>58.42</v>
      </c>
      <c r="AJ27" s="754"/>
      <c r="AK27" s="754"/>
      <c r="AL27" s="754"/>
      <c r="AM27" s="754"/>
      <c r="AN27" s="754"/>
      <c r="AO27" s="754"/>
      <c r="AP27" s="754"/>
      <c r="AQ27" s="754"/>
      <c r="AR27" s="754"/>
      <c r="AS27" s="754"/>
      <c r="AT27" s="754"/>
      <c r="AU27" s="754"/>
      <c r="AV27" s="754"/>
      <c r="AW27" s="754"/>
      <c r="AX27" s="754"/>
      <c r="AY27" s="754"/>
      <c r="BB27" s="749">
        <f>BB21-(BB21*V27%)-BA22</f>
        <v>8900</v>
      </c>
      <c r="BD27" s="749">
        <v>8895</v>
      </c>
      <c r="BE27" s="749">
        <v>11</v>
      </c>
    </row>
    <row r="28" spans="2:57">
      <c r="B28" s="439">
        <v>7</v>
      </c>
      <c r="C28" s="750">
        <v>54.94</v>
      </c>
      <c r="D28" s="439">
        <v>19</v>
      </c>
      <c r="E28" s="439">
        <v>43.5</v>
      </c>
      <c r="G28" s="439"/>
      <c r="I28" s="750"/>
      <c r="J28" s="439"/>
      <c r="L28" s="439"/>
      <c r="R28" s="749">
        <v>7</v>
      </c>
      <c r="S28" s="754">
        <f>Data!C144</f>
        <v>16</v>
      </c>
      <c r="T28" s="754">
        <f>Data!C144</f>
        <v>16</v>
      </c>
      <c r="U28" s="757">
        <f>IF(Y24=AI21,AI28,IF(Y24=AJ21,AJ28,IF(Y24=AK21,AK28,IF(Y24=AL21,AL28,IF(Y24=AM21,AM28,IF(Y24=AN21,AN28,))))))</f>
        <v>0</v>
      </c>
      <c r="V28" s="754">
        <v>12</v>
      </c>
      <c r="W28" s="749">
        <v>7</v>
      </c>
      <c r="X28" s="754">
        <v>54.94</v>
      </c>
      <c r="Y28" s="786">
        <f>IF(Data!C86=Data!F142,28,)</f>
        <v>0</v>
      </c>
      <c r="Z28" s="754"/>
      <c r="AA28" s="754"/>
      <c r="AB28" s="754"/>
      <c r="AC28" s="754"/>
      <c r="AD28" s="754"/>
      <c r="AE28" s="754"/>
      <c r="AF28" s="754"/>
      <c r="AG28" s="754"/>
      <c r="AH28" s="754"/>
      <c r="AI28" s="754">
        <v>51.05</v>
      </c>
      <c r="AJ28" s="754">
        <v>54.93</v>
      </c>
      <c r="AK28" s="754">
        <v>58.9</v>
      </c>
      <c r="AL28" s="754">
        <v>62.85</v>
      </c>
      <c r="AM28" s="754">
        <v>66.95</v>
      </c>
      <c r="AN28" s="754">
        <v>71.150000000000006</v>
      </c>
      <c r="AO28" s="754"/>
      <c r="AP28" s="754"/>
      <c r="AQ28" s="754"/>
      <c r="AR28" s="754"/>
      <c r="AS28" s="754"/>
      <c r="AT28" s="754"/>
      <c r="AU28" s="754"/>
      <c r="AV28" s="754"/>
      <c r="AW28" s="754"/>
      <c r="AX28" s="754"/>
      <c r="AY28" s="754"/>
      <c r="BB28" s="749">
        <f>BB21-(BB21*V28%)-BA22</f>
        <v>8800</v>
      </c>
      <c r="BD28" s="749">
        <v>8795</v>
      </c>
      <c r="BE28" s="749">
        <v>12</v>
      </c>
    </row>
    <row r="29" spans="2:57">
      <c r="B29" s="439">
        <v>8</v>
      </c>
      <c r="C29" s="750">
        <v>48.7</v>
      </c>
      <c r="D29" s="439">
        <v>20</v>
      </c>
      <c r="E29" s="439">
        <v>41.37</v>
      </c>
      <c r="G29" s="439"/>
      <c r="I29" s="750"/>
      <c r="J29" s="439"/>
      <c r="L29" s="439"/>
      <c r="R29" s="749">
        <v>8</v>
      </c>
      <c r="S29" s="754">
        <f>Data!C144</f>
        <v>16</v>
      </c>
      <c r="T29" s="754">
        <f>Data!C144</f>
        <v>16</v>
      </c>
      <c r="U29" s="757" t="b">
        <f>IF(Y24=AI21,AI29,IF(Y24=AJ21,AJ29,IF(Y24=AK21,AK29,IF(Y24=AL21,AL29,IF(Y24=AM21,AM29,IF(Y24=AN21,AN29))))))</f>
        <v>0</v>
      </c>
      <c r="V29" s="754">
        <v>13</v>
      </c>
      <c r="W29" s="749">
        <v>8</v>
      </c>
      <c r="X29" s="754">
        <v>48.7</v>
      </c>
      <c r="Y29" s="754"/>
      <c r="Z29" s="754"/>
      <c r="AA29" s="754"/>
      <c r="AB29" s="754"/>
      <c r="AC29" s="754"/>
      <c r="AD29" s="754"/>
      <c r="AE29" s="754"/>
      <c r="AF29" s="754"/>
      <c r="AG29" s="754"/>
      <c r="AH29" s="754"/>
      <c r="AI29" s="754">
        <v>45.32</v>
      </c>
      <c r="AJ29" s="754">
        <v>48.7</v>
      </c>
      <c r="AK29" s="754">
        <v>52.2</v>
      </c>
      <c r="AL29" s="754">
        <v>55.85</v>
      </c>
      <c r="AM29" s="754">
        <v>59.38</v>
      </c>
      <c r="AN29" s="754">
        <v>63.1</v>
      </c>
      <c r="AO29" s="754"/>
      <c r="AP29" s="754"/>
      <c r="AQ29" s="754"/>
      <c r="AR29" s="754"/>
      <c r="AS29" s="754"/>
      <c r="AT29" s="754"/>
      <c r="AU29" s="754"/>
      <c r="AV29" s="754"/>
      <c r="AW29" s="754"/>
      <c r="AX29" s="754"/>
      <c r="AY29" s="754"/>
      <c r="BB29" s="749">
        <f>BB21-(BB21*V29%)-BA22</f>
        <v>8700</v>
      </c>
      <c r="BD29" s="749">
        <v>8695</v>
      </c>
      <c r="BE29" s="749">
        <v>13</v>
      </c>
    </row>
    <row r="30" spans="2:57">
      <c r="B30" s="439">
        <v>9</v>
      </c>
      <c r="C30" s="750">
        <v>43.8</v>
      </c>
      <c r="D30" s="439">
        <v>21</v>
      </c>
      <c r="E30" s="439">
        <v>39.520000000000003</v>
      </c>
      <c r="G30" s="439"/>
      <c r="I30" s="750"/>
      <c r="J30" s="439"/>
      <c r="L30" s="439"/>
      <c r="R30" s="749">
        <v>9</v>
      </c>
      <c r="S30" s="754">
        <f>Data!C144</f>
        <v>16</v>
      </c>
      <c r="T30" s="754">
        <f>Data!C144</f>
        <v>16</v>
      </c>
      <c r="U30" s="757" t="b">
        <f>IF(Y24=AI21,AI30,IF(Y24=AJ21,AJ30,IF(Y24=AK21,AK30,IF(Y24=AL21,AL30,IF(Y24=AM21,AM30,IF(Y24=AN21,AN30))))))</f>
        <v>0</v>
      </c>
      <c r="V30" s="754">
        <v>14</v>
      </c>
      <c r="W30" s="749">
        <v>9</v>
      </c>
      <c r="X30" s="754">
        <v>43.8</v>
      </c>
      <c r="Y30" s="754"/>
      <c r="Z30" s="754"/>
      <c r="AA30" s="754"/>
      <c r="AB30" s="754"/>
      <c r="AC30" s="754"/>
      <c r="AD30" s="754"/>
      <c r="AE30" s="754"/>
      <c r="AF30" s="754"/>
      <c r="AG30" s="754"/>
      <c r="AH30" s="754"/>
      <c r="AI30" s="754">
        <v>40.729999999999997</v>
      </c>
      <c r="AJ30" s="754">
        <v>43.85</v>
      </c>
      <c r="AK30" s="754">
        <v>46.93</v>
      </c>
      <c r="AL30" s="754">
        <v>50.15</v>
      </c>
      <c r="AM30" s="754">
        <v>53.35</v>
      </c>
      <c r="AN30" s="754">
        <v>56.67</v>
      </c>
      <c r="AO30" s="754"/>
      <c r="AP30" s="754"/>
      <c r="AQ30" s="754"/>
      <c r="AR30" s="754"/>
      <c r="AS30" s="754"/>
      <c r="AT30" s="754"/>
      <c r="AU30" s="754"/>
      <c r="AV30" s="754"/>
      <c r="AW30" s="754"/>
      <c r="AX30" s="754"/>
      <c r="AY30" s="754"/>
      <c r="BB30" s="749">
        <f>BB21-(BB21*V30%)-BA22</f>
        <v>8600</v>
      </c>
      <c r="BD30" s="749">
        <v>8595</v>
      </c>
      <c r="BE30" s="749">
        <v>14</v>
      </c>
    </row>
    <row r="31" spans="2:57">
      <c r="B31" s="439">
        <v>10</v>
      </c>
      <c r="C31" s="750">
        <v>48.5</v>
      </c>
      <c r="D31" s="439">
        <v>22</v>
      </c>
      <c r="E31" s="439">
        <v>37.75</v>
      </c>
      <c r="G31" s="439"/>
      <c r="I31" s="750"/>
      <c r="J31" s="439"/>
      <c r="L31" s="439"/>
      <c r="R31" s="749">
        <v>10</v>
      </c>
      <c r="S31" s="754">
        <f>Data!C146</f>
        <v>20</v>
      </c>
      <c r="T31" s="754">
        <f>Data!C146</f>
        <v>20</v>
      </c>
      <c r="U31" s="757">
        <f>IF(Y25=AL21,AL31,IF(Y25=AM21,AM31,IF(Y25=AN21,AN31,IF(Y25=AO21,AO31,IF(Y25=AP21,AP31)))))</f>
        <v>51.53</v>
      </c>
      <c r="V31" s="754">
        <v>15</v>
      </c>
      <c r="W31" s="749">
        <v>10</v>
      </c>
      <c r="X31" s="754">
        <v>48.5</v>
      </c>
      <c r="Y31" s="754"/>
      <c r="Z31" s="754"/>
      <c r="AA31" s="754"/>
      <c r="AB31" s="754"/>
      <c r="AC31" s="754"/>
      <c r="AD31" s="754"/>
      <c r="AE31" s="754"/>
      <c r="AF31" s="754"/>
      <c r="AG31" s="754"/>
      <c r="AH31" s="754"/>
      <c r="AI31" s="754"/>
      <c r="AJ31" s="754"/>
      <c r="AK31" s="754"/>
      <c r="AL31" s="754">
        <v>45.5</v>
      </c>
      <c r="AM31" s="754">
        <v>48.5</v>
      </c>
      <c r="AN31" s="754">
        <v>51.53</v>
      </c>
      <c r="AO31" s="754">
        <v>54.55</v>
      </c>
      <c r="AP31" s="754">
        <v>57.75</v>
      </c>
      <c r="AQ31" s="754"/>
      <c r="AR31" s="754"/>
      <c r="AS31" s="754"/>
      <c r="AT31" s="754"/>
      <c r="AU31" s="754"/>
      <c r="AV31" s="754"/>
      <c r="AW31" s="754"/>
      <c r="AX31" s="754"/>
      <c r="AY31" s="754"/>
      <c r="BB31" s="749">
        <f>BB21-(BB21*V31%)-BA22</f>
        <v>8500</v>
      </c>
      <c r="BD31" s="749">
        <v>8495</v>
      </c>
      <c r="BE31" s="749">
        <v>15</v>
      </c>
    </row>
    <row r="32" spans="2:57">
      <c r="B32" s="439">
        <v>11</v>
      </c>
      <c r="C32" s="750">
        <v>44.35</v>
      </c>
      <c r="D32" s="439">
        <v>23</v>
      </c>
      <c r="E32" s="439">
        <v>36.15</v>
      </c>
      <c r="G32" s="439"/>
      <c r="I32" s="750"/>
      <c r="J32" s="439"/>
      <c r="L32" s="439"/>
      <c r="R32" s="749">
        <v>11</v>
      </c>
      <c r="S32" s="754">
        <f>Data!C146</f>
        <v>20</v>
      </c>
      <c r="T32" s="754">
        <f>Data!C146</f>
        <v>20</v>
      </c>
      <c r="U32" s="757">
        <f>IF(Y25=AL21,AL32,IF(Y25=AM21,AM32,IF(Y25=AN21,AN32,IF(Y25=AO21,AO32,IF(Y25=AP21,AP32)))))</f>
        <v>47.2</v>
      </c>
      <c r="V32" s="754">
        <v>16</v>
      </c>
      <c r="W32" s="749">
        <v>11</v>
      </c>
      <c r="X32" s="754">
        <v>44.35</v>
      </c>
      <c r="Y32" s="754"/>
      <c r="Z32" s="754"/>
      <c r="AA32" s="754"/>
      <c r="AB32" s="754"/>
      <c r="AC32" s="754"/>
      <c r="AD32" s="754"/>
      <c r="AE32" s="754"/>
      <c r="AF32" s="754"/>
      <c r="AG32" s="754"/>
      <c r="AH32" s="754"/>
      <c r="AI32" s="754"/>
      <c r="AJ32" s="754"/>
      <c r="AK32" s="754"/>
      <c r="AL32" s="754">
        <v>41.73</v>
      </c>
      <c r="AM32" s="754">
        <v>44.4</v>
      </c>
      <c r="AN32" s="754">
        <v>47.2</v>
      </c>
      <c r="AO32" s="754">
        <v>49.97</v>
      </c>
      <c r="AP32" s="754">
        <v>52.85</v>
      </c>
      <c r="AQ32" s="754"/>
      <c r="AR32" s="754"/>
      <c r="AS32" s="754"/>
      <c r="AT32" s="754"/>
      <c r="AU32" s="754"/>
      <c r="AV32" s="754"/>
      <c r="AW32" s="754"/>
      <c r="AX32" s="754"/>
      <c r="AY32" s="754"/>
      <c r="BB32" s="749">
        <f>BB21-(BB21*V32%)-BA22</f>
        <v>8400</v>
      </c>
      <c r="BD32" s="749">
        <v>8395</v>
      </c>
      <c r="BE32" s="749">
        <v>16</v>
      </c>
    </row>
    <row r="33" spans="2:57">
      <c r="B33" s="439">
        <v>12</v>
      </c>
      <c r="C33" s="750">
        <v>40.97</v>
      </c>
      <c r="D33" s="439">
        <v>24</v>
      </c>
      <c r="E33" s="439">
        <v>34.75</v>
      </c>
      <c r="G33" s="439"/>
      <c r="I33" s="750"/>
      <c r="J33" s="439"/>
      <c r="L33" s="439"/>
      <c r="R33" s="749">
        <v>12</v>
      </c>
      <c r="S33" s="754">
        <f>Data!C146</f>
        <v>20</v>
      </c>
      <c r="T33" s="754">
        <f>Data!C146</f>
        <v>20</v>
      </c>
      <c r="U33" s="757">
        <f>IF(Y25=AL21,AL33,IF(Y25=AM21,AM33,IF(Y25=AN21,AN33,IF(Y25=AO21,AO33,IF(Y25=AP21,AP33)))))</f>
        <v>43.5</v>
      </c>
      <c r="V33" s="754">
        <v>17</v>
      </c>
      <c r="W33" s="749">
        <v>12</v>
      </c>
      <c r="X33" s="754">
        <v>40.97</v>
      </c>
      <c r="Y33" s="754"/>
      <c r="Z33" s="754"/>
      <c r="AA33" s="754"/>
      <c r="AB33" s="754"/>
      <c r="AC33" s="754"/>
      <c r="AD33" s="754"/>
      <c r="AE33" s="754"/>
      <c r="AF33" s="754"/>
      <c r="AG33" s="754"/>
      <c r="AH33" s="754"/>
      <c r="AI33" s="754"/>
      <c r="AJ33" s="754"/>
      <c r="AK33" s="754"/>
      <c r="AL33" s="754">
        <v>38.450000000000003</v>
      </c>
      <c r="AM33" s="754">
        <v>40.950000000000003</v>
      </c>
      <c r="AN33" s="754">
        <v>43.5</v>
      </c>
      <c r="AO33" s="754">
        <v>46.06</v>
      </c>
      <c r="AP33" s="754">
        <v>48.72</v>
      </c>
      <c r="AQ33" s="754"/>
      <c r="AR33" s="754"/>
      <c r="AS33" s="754"/>
      <c r="AT33" s="754"/>
      <c r="AU33" s="754"/>
      <c r="AV33" s="754"/>
      <c r="AW33" s="754"/>
      <c r="AX33" s="754"/>
      <c r="AY33" s="754"/>
      <c r="BB33" s="749">
        <f>BB21-(BB21*V33%)-BA22</f>
        <v>8300</v>
      </c>
      <c r="BD33" s="749">
        <v>8295</v>
      </c>
      <c r="BE33" s="749">
        <v>17</v>
      </c>
    </row>
    <row r="34" spans="2:57">
      <c r="R34" s="749">
        <v>13</v>
      </c>
      <c r="S34" s="754">
        <f>Data!C148</f>
        <v>23</v>
      </c>
      <c r="T34" s="754">
        <f>Data!C148</f>
        <v>23</v>
      </c>
      <c r="U34" s="757" t="b">
        <f>IF(Y26=AQ21,AQ34,IF(Y26=AR21,AR34,IF(Y26=AS21,AS34,IF(Y26=AT21,AT34))))</f>
        <v>0</v>
      </c>
      <c r="V34" s="754">
        <v>18</v>
      </c>
      <c r="W34" s="749">
        <v>13</v>
      </c>
      <c r="X34" s="755">
        <v>47.7</v>
      </c>
      <c r="Y34" s="755"/>
      <c r="Z34" s="755"/>
      <c r="AA34" s="755"/>
      <c r="AB34" s="755"/>
      <c r="AC34" s="755"/>
      <c r="AD34" s="755"/>
      <c r="AE34" s="755"/>
      <c r="AF34" s="755"/>
      <c r="AG34" s="755"/>
      <c r="AH34" s="755"/>
      <c r="AI34" s="755"/>
      <c r="AJ34" s="755"/>
      <c r="AK34" s="755"/>
      <c r="AL34" s="755"/>
      <c r="AM34" s="755"/>
      <c r="AN34" s="755"/>
      <c r="AO34" s="755"/>
      <c r="AP34" s="755"/>
      <c r="AQ34" s="755">
        <v>47.7</v>
      </c>
      <c r="AR34" s="755">
        <v>50.25</v>
      </c>
      <c r="AS34" s="755">
        <v>52.85</v>
      </c>
      <c r="AT34" s="755">
        <v>55.45</v>
      </c>
      <c r="AU34" s="755"/>
      <c r="AV34" s="755"/>
      <c r="AW34" s="755"/>
      <c r="AX34" s="755"/>
      <c r="AY34" s="755"/>
      <c r="BB34" s="749">
        <f>BB21-(BB21*V34%)-BA22</f>
        <v>8200</v>
      </c>
      <c r="BD34" s="749">
        <v>8195</v>
      </c>
      <c r="BE34" s="749">
        <v>18</v>
      </c>
    </row>
    <row r="35" spans="2:57">
      <c r="R35" s="749">
        <v>14</v>
      </c>
      <c r="S35" s="754">
        <f>Data!C148</f>
        <v>23</v>
      </c>
      <c r="T35" s="754">
        <f>Data!C148</f>
        <v>23</v>
      </c>
      <c r="U35" s="757" t="b">
        <f>IF(Y26=AQ21,AQ35,IF(Y26=AR21,AR35,IF(Y26=AS21,AS35,IF(Y26=AT21,AT35))))</f>
        <v>0</v>
      </c>
      <c r="V35" s="754">
        <v>19</v>
      </c>
      <c r="W35" s="749">
        <v>14</v>
      </c>
      <c r="X35" s="755">
        <v>44.48</v>
      </c>
      <c r="Y35" s="755"/>
      <c r="Z35" s="755"/>
      <c r="AA35" s="755"/>
      <c r="AB35" s="755"/>
      <c r="AC35" s="755"/>
      <c r="AD35" s="755"/>
      <c r="AE35" s="755"/>
      <c r="AF35" s="755"/>
      <c r="AG35" s="755"/>
      <c r="AH35" s="755"/>
      <c r="AI35" s="755"/>
      <c r="AJ35" s="755"/>
      <c r="AK35" s="755"/>
      <c r="AL35" s="755"/>
      <c r="AM35" s="755"/>
      <c r="AN35" s="755"/>
      <c r="AO35" s="755"/>
      <c r="AP35" s="755"/>
      <c r="AQ35" s="755">
        <v>44.48</v>
      </c>
      <c r="AR35" s="755">
        <v>46.87</v>
      </c>
      <c r="AS35" s="755">
        <v>49.22</v>
      </c>
      <c r="AT35" s="755">
        <v>51.69</v>
      </c>
      <c r="AU35" s="755"/>
      <c r="AV35" s="755"/>
      <c r="AW35" s="755"/>
      <c r="AX35" s="755"/>
      <c r="AY35" s="755"/>
      <c r="BB35" s="749">
        <f>BB21-(BB21*V35%)-BA22</f>
        <v>8100</v>
      </c>
      <c r="BD35" s="749">
        <v>8095</v>
      </c>
      <c r="BE35" s="749">
        <v>19</v>
      </c>
    </row>
    <row r="36" spans="2:57">
      <c r="R36" s="749">
        <v>15</v>
      </c>
      <c r="S36" s="754">
        <f>Data!C148</f>
        <v>23</v>
      </c>
      <c r="T36" s="754">
        <f>Data!C148</f>
        <v>23</v>
      </c>
      <c r="U36" s="757" t="b">
        <f>IF(Y26=AQ21,AQ36,IF(Y26=AR21,AR36,IF(Y26=AS21,AS36,IF(Y26=AT21,AT36))))</f>
        <v>0</v>
      </c>
      <c r="V36" s="754">
        <v>20</v>
      </c>
      <c r="W36" s="749">
        <v>15</v>
      </c>
      <c r="X36" s="754">
        <v>41.65</v>
      </c>
      <c r="Y36" s="754"/>
      <c r="Z36" s="754"/>
      <c r="AA36" s="754"/>
      <c r="AB36" s="754"/>
      <c r="AC36" s="754"/>
      <c r="AD36" s="754"/>
      <c r="AE36" s="754"/>
      <c r="AF36" s="754"/>
      <c r="AG36" s="754"/>
      <c r="AH36" s="754"/>
      <c r="AI36" s="754"/>
      <c r="AJ36" s="754"/>
      <c r="AK36" s="754"/>
      <c r="AL36" s="754"/>
      <c r="AM36" s="754"/>
      <c r="AN36" s="754"/>
      <c r="AO36" s="754"/>
      <c r="AP36" s="754"/>
      <c r="AQ36" s="754">
        <v>41.65</v>
      </c>
      <c r="AR36" s="754">
        <v>43.88</v>
      </c>
      <c r="AS36" s="754">
        <v>46.12</v>
      </c>
      <c r="AT36" s="754">
        <v>48.5</v>
      </c>
      <c r="AU36" s="754"/>
      <c r="AV36" s="754"/>
      <c r="AW36" s="754"/>
      <c r="AX36" s="754"/>
      <c r="AY36" s="754"/>
      <c r="BB36" s="749">
        <f>BB21-(BB21*V36%)-BA22</f>
        <v>8000</v>
      </c>
      <c r="BD36" s="749">
        <v>7995</v>
      </c>
      <c r="BE36" s="749">
        <v>20</v>
      </c>
    </row>
    <row r="37" spans="2:57">
      <c r="R37" s="749">
        <v>16</v>
      </c>
      <c r="S37" s="754">
        <f>Data!J140</f>
        <v>0</v>
      </c>
      <c r="T37" s="754">
        <f>Data!J140</f>
        <v>0</v>
      </c>
      <c r="U37" s="757" t="b">
        <f>IF(Y27=AS21,AS37,IF(Y27=AT21,AT37,IF(Y27=AU21,AU37,IF(Y27=AV21,AV37,IF(Y27=AW21,AW37)))))</f>
        <v>0</v>
      </c>
      <c r="V37" s="754">
        <v>21</v>
      </c>
      <c r="W37" s="749">
        <v>16</v>
      </c>
      <c r="X37" s="755">
        <v>44.7</v>
      </c>
      <c r="Y37" s="755"/>
      <c r="Z37" s="755"/>
      <c r="AA37" s="755"/>
      <c r="AB37" s="755"/>
      <c r="AC37" s="755"/>
      <c r="AD37" s="755"/>
      <c r="AE37" s="755"/>
      <c r="AF37" s="755"/>
      <c r="AG37" s="755"/>
      <c r="AH37" s="755"/>
      <c r="AI37" s="755"/>
      <c r="AJ37" s="755"/>
      <c r="AK37" s="755"/>
      <c r="AL37" s="755"/>
      <c r="AM37" s="755"/>
      <c r="AN37" s="755"/>
      <c r="AO37" s="755"/>
      <c r="AP37" s="755"/>
      <c r="AQ37" s="755"/>
      <c r="AR37" s="755"/>
      <c r="AS37" s="755">
        <v>43.44</v>
      </c>
      <c r="AT37" s="755">
        <v>45.6</v>
      </c>
      <c r="AU37" s="755">
        <v>47.8</v>
      </c>
      <c r="AV37" s="755">
        <v>50.05</v>
      </c>
      <c r="AW37" s="755">
        <v>52.34</v>
      </c>
      <c r="AX37" s="755"/>
      <c r="AY37" s="755"/>
      <c r="BB37" s="749">
        <f>BB21-(BB21*V37%)-BA22</f>
        <v>7900</v>
      </c>
      <c r="BD37" s="749">
        <v>7895</v>
      </c>
      <c r="BE37" s="749">
        <v>21</v>
      </c>
    </row>
    <row r="38" spans="2:57">
      <c r="R38" s="749">
        <v>17</v>
      </c>
      <c r="S38" s="754">
        <f>Data!J140</f>
        <v>0</v>
      </c>
      <c r="T38" s="754">
        <f>Data!J140</f>
        <v>0</v>
      </c>
      <c r="U38" s="757" t="b">
        <f>IF(Y27=AS21,AS38,IF(Y27=AT21,AT38,IF(Y27=AU21,AU38,IF(Y27=AV21,AV38,IF(Y27=AW21,AW38)))))</f>
        <v>0</v>
      </c>
      <c r="V38" s="754">
        <v>22</v>
      </c>
      <c r="W38" s="749">
        <v>17</v>
      </c>
      <c r="X38" s="755">
        <v>42.16</v>
      </c>
      <c r="Y38" s="755"/>
      <c r="Z38" s="755"/>
      <c r="AA38" s="755"/>
      <c r="AB38" s="755"/>
      <c r="AC38" s="755"/>
      <c r="AD38" s="755"/>
      <c r="AE38" s="755"/>
      <c r="AF38" s="755"/>
      <c r="AG38" s="755"/>
      <c r="AH38" s="755"/>
      <c r="AI38" s="755"/>
      <c r="AJ38" s="755"/>
      <c r="AK38" s="755"/>
      <c r="AL38" s="755"/>
      <c r="AM38" s="755"/>
      <c r="AN38" s="755"/>
      <c r="AO38" s="755"/>
      <c r="AP38" s="755"/>
      <c r="AQ38" s="755"/>
      <c r="AR38" s="755"/>
      <c r="AS38" s="755">
        <v>40.950000000000003</v>
      </c>
      <c r="AT38" s="755">
        <v>43</v>
      </c>
      <c r="AU38" s="755">
        <v>45.1</v>
      </c>
      <c r="AV38" s="755">
        <v>47.23</v>
      </c>
      <c r="AW38" s="755">
        <v>49.35</v>
      </c>
      <c r="AX38" s="755"/>
      <c r="AY38" s="755"/>
      <c r="BB38" s="749">
        <f>BB21-(BB21*V38%)-BA22</f>
        <v>7800</v>
      </c>
      <c r="BD38" s="749">
        <v>7795</v>
      </c>
      <c r="BE38" s="749">
        <v>22</v>
      </c>
    </row>
    <row r="39" spans="2:57">
      <c r="R39" s="749">
        <v>18</v>
      </c>
      <c r="S39" s="754">
        <f>Data!J140</f>
        <v>0</v>
      </c>
      <c r="T39" s="754">
        <f>Data!J140</f>
        <v>0</v>
      </c>
      <c r="U39" s="757">
        <f>IF(Y27=AS21,AS39,IF(Y27=AT21,AT39,IF(Y27=AU21,AU39,IF(Y27=AV21,AV39,IF(Y27=AW21,AW39,)))))</f>
        <v>0</v>
      </c>
      <c r="V39" s="754">
        <v>23</v>
      </c>
      <c r="W39" s="749">
        <v>18</v>
      </c>
      <c r="X39" s="755">
        <v>39.92</v>
      </c>
      <c r="Y39" s="755"/>
      <c r="Z39" s="755"/>
      <c r="AA39" s="755"/>
      <c r="AB39" s="755"/>
      <c r="AC39" s="755"/>
      <c r="AD39" s="755"/>
      <c r="AE39" s="755"/>
      <c r="AF39" s="755"/>
      <c r="AG39" s="755"/>
      <c r="AH39" s="755"/>
      <c r="AI39" s="755"/>
      <c r="AJ39" s="755"/>
      <c r="AK39" s="755"/>
      <c r="AL39" s="755"/>
      <c r="AM39" s="755"/>
      <c r="AN39" s="755"/>
      <c r="AO39" s="755"/>
      <c r="AP39" s="755"/>
      <c r="AQ39" s="755"/>
      <c r="AR39" s="755"/>
      <c r="AS39" s="755">
        <v>38.799999999999997</v>
      </c>
      <c r="AT39" s="755">
        <v>40.700000000000003</v>
      </c>
      <c r="AU39" s="755">
        <v>42.65</v>
      </c>
      <c r="AV39" s="755">
        <v>44.68</v>
      </c>
      <c r="AW39" s="755">
        <v>46.75</v>
      </c>
      <c r="AX39" s="755"/>
      <c r="AY39" s="755"/>
      <c r="BB39" s="749">
        <f>BB21-(BB21*V39%)-BA22</f>
        <v>7700</v>
      </c>
      <c r="BD39" s="749">
        <v>7695</v>
      </c>
      <c r="BE39" s="749">
        <v>23</v>
      </c>
    </row>
    <row r="40" spans="2:57">
      <c r="R40" s="749">
        <v>19</v>
      </c>
      <c r="S40" s="754">
        <f>Data!J142</f>
        <v>0</v>
      </c>
      <c r="T40" s="754">
        <f>Data!J142</f>
        <v>0</v>
      </c>
      <c r="U40" s="757" t="b">
        <f>IF(Y28=AS21,AS40,IF(Y28=AT21,AT40,IF(Y28=AU21,AU40,IF(Y28=AV21,AV40,IF(Y28=AW21,AW40,IF(Y28=AX21,AX40))))))</f>
        <v>0</v>
      </c>
      <c r="V40" s="754">
        <v>24</v>
      </c>
      <c r="W40" s="749">
        <v>19</v>
      </c>
      <c r="X40" s="755">
        <v>43.5</v>
      </c>
      <c r="Y40" s="755"/>
      <c r="Z40" s="755"/>
      <c r="AA40" s="755"/>
      <c r="AB40" s="755"/>
      <c r="AC40" s="755"/>
      <c r="AD40" s="755"/>
      <c r="AE40" s="755"/>
      <c r="AF40" s="755"/>
      <c r="AG40" s="755"/>
      <c r="AH40" s="755"/>
      <c r="AI40" s="755"/>
      <c r="AJ40" s="755"/>
      <c r="AK40" s="755"/>
      <c r="AL40" s="755"/>
      <c r="AM40" s="755"/>
      <c r="AN40" s="755"/>
      <c r="AO40" s="755"/>
      <c r="AP40" s="755"/>
      <c r="AQ40" s="755"/>
      <c r="AR40" s="755"/>
      <c r="AS40" s="755">
        <v>36.82</v>
      </c>
      <c r="AT40" s="755">
        <v>38.67</v>
      </c>
      <c r="AU40" s="755">
        <v>40.520000000000003</v>
      </c>
      <c r="AV40" s="749">
        <v>42.44</v>
      </c>
      <c r="AW40" s="755">
        <v>44.38</v>
      </c>
      <c r="AX40" s="755">
        <v>46.39</v>
      </c>
      <c r="AY40" s="755"/>
      <c r="BB40" s="749">
        <f>BB21-(BB21*V40%)-BA22</f>
        <v>7600</v>
      </c>
      <c r="BD40" s="749">
        <v>7595</v>
      </c>
      <c r="BE40" s="749">
        <v>24</v>
      </c>
    </row>
    <row r="41" spans="2:57">
      <c r="R41" s="749">
        <v>20</v>
      </c>
      <c r="S41" s="754">
        <f>Data!J142</f>
        <v>0</v>
      </c>
      <c r="T41" s="754">
        <f>Data!J142</f>
        <v>0</v>
      </c>
      <c r="U41" s="757" t="b">
        <f>IF(Y28=AS21,AS41,IF(Y28=AT21,AT41,IF(Y28=AU21,AU41,IF(Y28=AV21,AV41,IF(Y28=AW21,AW41,IF(Y28=AX21,AX41))))))</f>
        <v>0</v>
      </c>
      <c r="V41" s="754">
        <v>25</v>
      </c>
      <c r="W41" s="749">
        <v>20</v>
      </c>
      <c r="X41" s="755">
        <v>41.37</v>
      </c>
      <c r="Y41" s="755"/>
      <c r="Z41" s="755"/>
      <c r="AA41" s="755"/>
      <c r="AB41" s="755"/>
      <c r="AC41" s="755"/>
      <c r="AD41" s="755"/>
      <c r="AE41" s="755"/>
      <c r="AF41" s="755"/>
      <c r="AG41" s="755"/>
      <c r="AH41" s="755"/>
      <c r="AI41" s="755"/>
      <c r="AJ41" s="755"/>
      <c r="AK41" s="755"/>
      <c r="AL41" s="755"/>
      <c r="AM41" s="755"/>
      <c r="AN41" s="755"/>
      <c r="AO41" s="755"/>
      <c r="AP41" s="755"/>
      <c r="AQ41" s="755"/>
      <c r="AR41" s="755"/>
      <c r="AS41" s="755">
        <v>35.06</v>
      </c>
      <c r="AT41" s="755">
        <v>36.83</v>
      </c>
      <c r="AU41" s="755">
        <v>38.6</v>
      </c>
      <c r="AV41" s="755">
        <v>40.4</v>
      </c>
      <c r="AW41" s="755">
        <v>42.3</v>
      </c>
      <c r="AX41" s="755">
        <v>44.17</v>
      </c>
      <c r="AY41" s="755"/>
      <c r="BB41" s="749">
        <f>BB21-(BB21*V41%)-BA22</f>
        <v>7500</v>
      </c>
      <c r="BD41" s="749">
        <v>7495</v>
      </c>
      <c r="BE41" s="749">
        <v>25</v>
      </c>
    </row>
    <row r="42" spans="2:57">
      <c r="R42" s="749">
        <v>21</v>
      </c>
      <c r="S42" s="754">
        <f>Data!J142</f>
        <v>0</v>
      </c>
      <c r="T42" s="754">
        <f>Data!J142</f>
        <v>0</v>
      </c>
      <c r="U42" s="757" t="b">
        <f>IF(Y28=AS21,AS42,IF(Y28=AT21,AT42,IF(Y28=AU21,AU42,IF(Y28=AV21,AV42,IF(Y28=AW21,AW42,IF(Y28=AX21,AX42))))))</f>
        <v>0</v>
      </c>
      <c r="V42" s="754">
        <v>26</v>
      </c>
      <c r="W42" s="749">
        <v>21</v>
      </c>
      <c r="X42" s="755">
        <v>39.520000000000003</v>
      </c>
      <c r="Y42" s="755"/>
      <c r="Z42" s="755"/>
      <c r="AA42" s="755"/>
      <c r="AB42" s="755"/>
      <c r="AC42" s="755"/>
      <c r="AD42" s="755"/>
      <c r="AE42" s="755"/>
      <c r="AF42" s="755"/>
      <c r="AG42" s="755"/>
      <c r="AH42" s="755"/>
      <c r="AI42" s="755"/>
      <c r="AJ42" s="755"/>
      <c r="AK42" s="755"/>
      <c r="AL42" s="755"/>
      <c r="AM42" s="755"/>
      <c r="AN42" s="755"/>
      <c r="AO42" s="755"/>
      <c r="AP42" s="755"/>
      <c r="AQ42" s="755"/>
      <c r="AR42" s="755"/>
      <c r="AS42" s="755">
        <v>33.5</v>
      </c>
      <c r="AT42" s="755">
        <v>35.119999999999997</v>
      </c>
      <c r="AU42" s="755">
        <v>36.81</v>
      </c>
      <c r="AV42" s="755">
        <v>38.590000000000003</v>
      </c>
      <c r="AW42" s="755">
        <v>40.33</v>
      </c>
      <c r="AX42" s="755">
        <v>42.15</v>
      </c>
      <c r="AY42" s="755"/>
      <c r="BB42" s="749">
        <f>BB21-(BB21*V42%)-BA22</f>
        <v>7400</v>
      </c>
      <c r="BD42" s="749">
        <v>7395</v>
      </c>
      <c r="BE42" s="749">
        <v>26</v>
      </c>
    </row>
    <row r="43" spans="2:57">
      <c r="R43" s="749">
        <v>22</v>
      </c>
      <c r="S43" s="754">
        <f>Data!J142</f>
        <v>0</v>
      </c>
      <c r="T43" s="754">
        <f>Data!J142</f>
        <v>0</v>
      </c>
      <c r="U43" s="757" t="b">
        <f>IF(Y28=AS21,AS43,IF(Y28=AT21,AT43,IF(Y28=AU21,AU43,IF(Y28=AV21,AV43,IF(Y28=AW21,AW43,IF(Y28=AX21,AX43))))))</f>
        <v>0</v>
      </c>
      <c r="V43" s="754">
        <v>27</v>
      </c>
      <c r="W43" s="749">
        <v>22</v>
      </c>
      <c r="X43" s="755">
        <v>37.75</v>
      </c>
      <c r="Y43" s="755"/>
      <c r="Z43" s="755"/>
      <c r="AA43" s="755"/>
      <c r="AB43" s="755"/>
      <c r="AC43" s="755"/>
      <c r="AD43" s="755"/>
      <c r="AE43" s="755"/>
      <c r="AF43" s="755"/>
      <c r="AG43" s="755"/>
      <c r="AH43" s="755"/>
      <c r="AI43" s="755"/>
      <c r="AJ43" s="755"/>
      <c r="AK43" s="755"/>
      <c r="AL43" s="755"/>
      <c r="AM43" s="755"/>
      <c r="AN43" s="755"/>
      <c r="AO43" s="755"/>
      <c r="AP43" s="755"/>
      <c r="AQ43" s="755"/>
      <c r="AR43" s="755"/>
      <c r="AS43" s="755">
        <v>31.95</v>
      </c>
      <c r="AT43" s="755">
        <v>33.57</v>
      </c>
      <c r="AU43" s="755">
        <v>35.200000000000003</v>
      </c>
      <c r="AV43" s="755">
        <v>36.82</v>
      </c>
      <c r="AW43" s="755">
        <v>38.54</v>
      </c>
      <c r="AX43" s="755">
        <v>40.25</v>
      </c>
      <c r="AY43" s="755"/>
      <c r="BB43" s="749">
        <f>BB21-(BB21*V43%)-BA22</f>
        <v>7300</v>
      </c>
      <c r="BD43" s="749">
        <v>7295</v>
      </c>
      <c r="BE43" s="749">
        <v>27</v>
      </c>
    </row>
    <row r="44" spans="2:57">
      <c r="R44" s="749">
        <v>23</v>
      </c>
      <c r="S44" s="754">
        <f>Data!J142</f>
        <v>0</v>
      </c>
      <c r="T44" s="754">
        <f>Data!J142</f>
        <v>0</v>
      </c>
      <c r="U44" s="757" t="b">
        <f>IF(Y28=AS21,AS44,IF(Y28=AT21,AT44,IF(Y28=AU21,AU44,IF(Y28=AV21,AV44,IF(Y28=AW21,AW44,IF(Y28=AX21,AX44))))))</f>
        <v>0</v>
      </c>
      <c r="V44" s="754">
        <v>28</v>
      </c>
      <c r="W44" s="749">
        <v>23</v>
      </c>
      <c r="X44" s="755">
        <v>36.15</v>
      </c>
      <c r="Y44" s="755"/>
      <c r="Z44" s="755"/>
      <c r="AA44" s="755"/>
      <c r="AB44" s="755"/>
      <c r="AC44" s="755"/>
      <c r="AD44" s="755"/>
      <c r="AE44" s="755"/>
      <c r="AF44" s="755"/>
      <c r="AG44" s="755"/>
      <c r="AH44" s="755"/>
      <c r="AI44" s="755"/>
      <c r="AJ44" s="755"/>
      <c r="AK44" s="755"/>
      <c r="AL44" s="755"/>
      <c r="AM44" s="755"/>
      <c r="AN44" s="755"/>
      <c r="AO44" s="755"/>
      <c r="AP44" s="755"/>
      <c r="AQ44" s="755"/>
      <c r="AR44" s="755"/>
      <c r="AS44" s="755">
        <v>30.63</v>
      </c>
      <c r="AT44" s="755">
        <v>32.21</v>
      </c>
      <c r="AU44" s="755">
        <v>33.68</v>
      </c>
      <c r="AV44" s="755">
        <v>35.299999999999997</v>
      </c>
      <c r="AW44" s="755">
        <v>36.97</v>
      </c>
      <c r="AX44" s="755">
        <v>38.54</v>
      </c>
      <c r="AY44" s="755"/>
      <c r="BB44" s="749">
        <f>BB21-(BB21*V44%)-BA22</f>
        <v>7200</v>
      </c>
      <c r="BD44" s="749">
        <v>7195</v>
      </c>
      <c r="BE44" s="749">
        <v>28</v>
      </c>
    </row>
    <row r="45" spans="2:57">
      <c r="R45" s="749">
        <v>24</v>
      </c>
      <c r="S45" s="754">
        <f>Data!J142</f>
        <v>0</v>
      </c>
      <c r="T45" s="754">
        <f>Data!J142</f>
        <v>0</v>
      </c>
      <c r="U45" s="757" t="b">
        <f>IF(Y28=AS21,AS45,IF(Y28=AT21,AT45,IF(Y28=AU21,AU45,IF(Y28=AV21,AV45,IF(Y28=AW21,AW45,IF(Y28=AX21,AX45))))))</f>
        <v>0</v>
      </c>
      <c r="V45" s="754">
        <v>29</v>
      </c>
      <c r="W45" s="749">
        <v>24</v>
      </c>
      <c r="X45" s="755">
        <v>34.75</v>
      </c>
      <c r="Y45" s="755"/>
      <c r="Z45" s="755"/>
      <c r="AA45" s="755"/>
      <c r="AB45" s="755"/>
      <c r="AC45" s="755"/>
      <c r="AD45" s="755"/>
      <c r="AE45" s="755"/>
      <c r="AF45" s="755"/>
      <c r="AG45" s="755"/>
      <c r="AH45" s="755"/>
      <c r="AI45" s="755"/>
      <c r="AJ45" s="755"/>
      <c r="AK45" s="755"/>
      <c r="AL45" s="755"/>
      <c r="AM45" s="755"/>
      <c r="AN45" s="755"/>
      <c r="AO45" s="755"/>
      <c r="AP45" s="755"/>
      <c r="AQ45" s="755"/>
      <c r="AR45" s="755"/>
      <c r="AS45" s="755">
        <v>29.39</v>
      </c>
      <c r="AT45" s="755">
        <v>30.88</v>
      </c>
      <c r="AU45" s="755">
        <v>32.33</v>
      </c>
      <c r="AV45" s="755">
        <v>33.880000000000003</v>
      </c>
      <c r="AW45" s="755">
        <v>35.51</v>
      </c>
      <c r="AX45" s="755">
        <v>37</v>
      </c>
      <c r="AY45" s="755"/>
      <c r="BB45" s="749">
        <f>BB21-(BB21*V45%)-BA22</f>
        <v>7100</v>
      </c>
      <c r="BD45" s="749">
        <v>7095</v>
      </c>
      <c r="BE45" s="749">
        <v>29</v>
      </c>
    </row>
    <row r="46" spans="2:57">
      <c r="V46" s="754">
        <v>30</v>
      </c>
      <c r="BB46" s="749">
        <f>BB21-(BB21*V46%)-BA22</f>
        <v>7000</v>
      </c>
      <c r="BD46" s="749">
        <v>6995</v>
      </c>
      <c r="BE46" s="749">
        <v>30</v>
      </c>
    </row>
    <row r="47" spans="2:57">
      <c r="V47" s="754"/>
    </row>
    <row r="48" spans="2:57">
      <c r="V48" s="754"/>
    </row>
    <row r="49" spans="22:51">
      <c r="V49" s="754"/>
    </row>
    <row r="50" spans="22:51">
      <c r="V50" s="754"/>
    </row>
    <row r="51" spans="22:51">
      <c r="V51" s="754"/>
    </row>
    <row r="52" spans="22:51">
      <c r="V52" s="754"/>
    </row>
    <row r="53" spans="22:51">
      <c r="AY53" s="754"/>
    </row>
  </sheetData>
  <mergeCells count="5">
    <mergeCell ref="BA4:BD4"/>
    <mergeCell ref="B8:AZ8"/>
    <mergeCell ref="B12:AZ12"/>
    <mergeCell ref="B13:AZ13"/>
    <mergeCell ref="B14:AZ14"/>
  </mergeCells>
  <conditionalFormatting sqref="BA4">
    <cfRule type="cellIs" dxfId="0" priority="1" stopIfTrue="1" operator="greaterThan">
      <formula>0</formula>
    </cfRule>
  </conditionalFormatting>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Çalışma Sayfaları</vt:lpstr>
      </vt:variant>
      <vt:variant>
        <vt:i4>38</vt:i4>
      </vt:variant>
      <vt:variant>
        <vt:lpstr>Adlandırılmış Aralıklar</vt:lpstr>
      </vt:variant>
      <vt:variant>
        <vt:i4>12</vt:i4>
      </vt:variant>
    </vt:vector>
  </HeadingPairs>
  <TitlesOfParts>
    <vt:vector size="50" baseType="lpstr">
      <vt:lpstr>Data</vt:lpstr>
      <vt:lpstr>Ərizə</vt:lpstr>
      <vt:lpstr>PP</vt:lpstr>
      <vt:lpstr>KR</vt:lpstr>
      <vt:lpstr>M-Forması</vt:lpstr>
      <vt:lpstr>Kredit sifarişi</vt:lpstr>
      <vt:lpstr>ZAMIN 1</vt:lpstr>
      <vt:lpstr>ZAMIN 2</vt:lpstr>
      <vt:lpstr>TT-Akt-Kart</vt:lpstr>
      <vt:lpstr>Girov</vt:lpstr>
      <vt:lpstr>Rəy</vt:lpstr>
      <vt:lpstr>OPİS</vt:lpstr>
      <vt:lpstr>Ödəniş Tapşırığı</vt:lpstr>
      <vt:lpstr>Məxaric</vt:lpstr>
      <vt:lpstr>Xidmət h</vt:lpstr>
      <vt:lpstr>Sığorta</vt:lpstr>
      <vt:lpstr>İmza n-2</vt:lpstr>
      <vt:lpstr>İmza n-1</vt:lpstr>
      <vt:lpstr>Formula 2</vt:lpstr>
      <vt:lpstr>Лист1</vt:lpstr>
      <vt:lpstr>Лист2</vt:lpstr>
      <vt:lpstr>year</vt:lpstr>
      <vt:lpstr>Annuity</vt:lpstr>
      <vt:lpstr>an</vt:lpstr>
      <vt:lpstr>gr</vt:lpstr>
      <vt:lpstr>am</vt:lpstr>
      <vt:lpstr>am1</vt:lpstr>
      <vt:lpstr>int</vt:lpstr>
      <vt:lpstr>int1</vt:lpstr>
      <vt:lpstr>per</vt:lpstr>
      <vt:lpstr>per2</vt:lpstr>
      <vt:lpstr>per3</vt:lpstr>
      <vt:lpstr>per4</vt:lpstr>
      <vt:lpstr>per5</vt:lpstr>
      <vt:lpstr>per6</vt:lpstr>
      <vt:lpstr>AKB</vt:lpstr>
      <vt:lpstr>ASAN Finans</vt:lpstr>
      <vt:lpstr>Formula 1</vt:lpstr>
      <vt:lpstr>Annuity!am</vt:lpstr>
      <vt:lpstr>Annuity!gr</vt:lpstr>
      <vt:lpstr>Annuity!ir</vt:lpstr>
      <vt:lpstr>Annuity!per</vt:lpstr>
      <vt:lpstr>Annuity!pi</vt:lpstr>
      <vt:lpstr>'ASAN Finans'!Yazdırma_Alanı</vt:lpstr>
      <vt:lpstr>KR!Yazdırma_Alanı</vt:lpstr>
      <vt:lpstr>'Kredit sifarişi'!Yazdırma_Alanı</vt:lpstr>
      <vt:lpstr>PP!Yazdırma_Alanı</vt:lpstr>
      <vt:lpstr>'ZAMIN 1'!Yazdırma_Alanı</vt:lpstr>
      <vt:lpstr>'ZAMIN 2'!Yazdırma_Alanı</vt:lpstr>
      <vt:lpstr>PP!Yazdırma_Başlıkları</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Farid</dc:creator>
  <cp:lastModifiedBy>Cihan  Coşgun</cp:lastModifiedBy>
  <cp:lastPrinted>2025-05-08T09:18:26Z</cp:lastPrinted>
  <dcterms:created xsi:type="dcterms:W3CDTF">2004-03-18T07:44:22Z</dcterms:created>
  <dcterms:modified xsi:type="dcterms:W3CDTF">2025-05-09T09:15:54Z</dcterms:modified>
</cp:coreProperties>
</file>